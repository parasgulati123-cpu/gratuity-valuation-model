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as Gulati\Downloads\"/>
    </mc:Choice>
  </mc:AlternateContent>
  <xr:revisionPtr revIDLastSave="0" documentId="13_ncr:1_{1DCF2489-B6CD-470F-BDC1-BF8FB0A88CB7}" xr6:coauthVersionLast="47" xr6:coauthVersionMax="47" xr10:uidLastSave="{00000000-0000-0000-0000-000000000000}"/>
  <bookViews>
    <workbookView xWindow="-108" yWindow="-108" windowWidth="23256" windowHeight="12456" tabRatio="500" firstSheet="4" activeTab="4" xr2:uid="{00000000-000D-0000-FFFF-FFFF00000000}"/>
  </bookViews>
  <sheets>
    <sheet name="Summary" sheetId="1" r:id="rId1"/>
    <sheet name="Assumptions" sheetId="2" r:id="rId2"/>
    <sheet name="Census" sheetId="3" r:id="rId3"/>
    <sheet name="Decrements" sheetId="4" r:id="rId4"/>
    <sheet name="Benefit_Grid" sheetId="5" r:id="rId5"/>
    <sheet name="Employee_Workings" sheetId="6" r:id="rId6"/>
    <sheet name="Hand_Check" sheetId="7" r:id="rId7"/>
    <sheet name="Check_vs_Python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7" l="1"/>
  <c r="A17" i="6"/>
  <c r="B9" i="6"/>
  <c r="B4" i="6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D5" i="5"/>
  <c r="B7" i="4"/>
  <c r="A7" i="4"/>
  <c r="A8" i="4" s="1"/>
  <c r="C6" i="4"/>
  <c r="E6" i="4" s="1"/>
  <c r="B6" i="4"/>
  <c r="D6" i="4" s="1"/>
  <c r="F6" i="4" s="1"/>
  <c r="G7" i="4" s="1"/>
  <c r="K155" i="3"/>
  <c r="I155" i="3"/>
  <c r="J155" i="3" s="1"/>
  <c r="F155" i="3"/>
  <c r="E155" i="3"/>
  <c r="G155" i="3" s="1"/>
  <c r="H155" i="3" s="1"/>
  <c r="B155" i="5" s="1"/>
  <c r="K154" i="3"/>
  <c r="I154" i="3"/>
  <c r="J154" i="3" s="1"/>
  <c r="G154" i="3"/>
  <c r="H154" i="3" s="1"/>
  <c r="B154" i="5" s="1"/>
  <c r="F154" i="3"/>
  <c r="E154" i="3"/>
  <c r="K153" i="3"/>
  <c r="I153" i="3"/>
  <c r="J153" i="3" s="1"/>
  <c r="G153" i="3"/>
  <c r="H153" i="3" s="1"/>
  <c r="B153" i="5" s="1"/>
  <c r="F153" i="3"/>
  <c r="E153" i="3"/>
  <c r="K152" i="3"/>
  <c r="J152" i="3"/>
  <c r="I152" i="3"/>
  <c r="F152" i="3"/>
  <c r="E152" i="3"/>
  <c r="G152" i="3" s="1"/>
  <c r="H152" i="3" s="1"/>
  <c r="B152" i="5" s="1"/>
  <c r="G151" i="3"/>
  <c r="H151" i="3" s="1"/>
  <c r="B151" i="5" s="1"/>
  <c r="F151" i="3"/>
  <c r="K151" i="3" s="1"/>
  <c r="E151" i="3"/>
  <c r="I150" i="3"/>
  <c r="J150" i="3" s="1"/>
  <c r="G150" i="3"/>
  <c r="H150" i="3" s="1"/>
  <c r="B150" i="5" s="1"/>
  <c r="F150" i="3"/>
  <c r="K150" i="3" s="1"/>
  <c r="E150" i="3"/>
  <c r="F149" i="3"/>
  <c r="K149" i="3" s="1"/>
  <c r="E149" i="3"/>
  <c r="G149" i="3" s="1"/>
  <c r="H149" i="3" s="1"/>
  <c r="B149" i="5" s="1"/>
  <c r="K148" i="3"/>
  <c r="F148" i="3"/>
  <c r="I148" i="3" s="1"/>
  <c r="J148" i="3" s="1"/>
  <c r="E148" i="3"/>
  <c r="G148" i="3" s="1"/>
  <c r="H148" i="3" s="1"/>
  <c r="B148" i="5" s="1"/>
  <c r="K147" i="3"/>
  <c r="I147" i="3"/>
  <c r="J147" i="3" s="1"/>
  <c r="F147" i="3"/>
  <c r="E147" i="3"/>
  <c r="G147" i="3" s="1"/>
  <c r="H147" i="3" s="1"/>
  <c r="B147" i="5" s="1"/>
  <c r="K146" i="3"/>
  <c r="G146" i="3"/>
  <c r="H146" i="3" s="1"/>
  <c r="B146" i="5" s="1"/>
  <c r="F146" i="3"/>
  <c r="I146" i="3" s="1"/>
  <c r="J146" i="3" s="1"/>
  <c r="E146" i="3"/>
  <c r="F145" i="3"/>
  <c r="K145" i="3" s="1"/>
  <c r="E145" i="3"/>
  <c r="G145" i="3" s="1"/>
  <c r="H145" i="3" s="1"/>
  <c r="B145" i="5" s="1"/>
  <c r="I144" i="3"/>
  <c r="J144" i="3" s="1"/>
  <c r="G144" i="3"/>
  <c r="H144" i="3" s="1"/>
  <c r="B144" i="5" s="1"/>
  <c r="F144" i="3"/>
  <c r="K144" i="3" s="1"/>
  <c r="E144" i="3"/>
  <c r="F143" i="3"/>
  <c r="K143" i="3" s="1"/>
  <c r="E143" i="3"/>
  <c r="G143" i="3" s="1"/>
  <c r="H143" i="3" s="1"/>
  <c r="B143" i="5" s="1"/>
  <c r="K142" i="3"/>
  <c r="F142" i="3"/>
  <c r="I142" i="3" s="1"/>
  <c r="J142" i="3" s="1"/>
  <c r="E142" i="3"/>
  <c r="G142" i="3" s="1"/>
  <c r="H142" i="3" s="1"/>
  <c r="B142" i="5" s="1"/>
  <c r="K141" i="3"/>
  <c r="I141" i="3"/>
  <c r="J141" i="3" s="1"/>
  <c r="F141" i="3"/>
  <c r="E141" i="3"/>
  <c r="G141" i="3" s="1"/>
  <c r="H141" i="3" s="1"/>
  <c r="B141" i="5" s="1"/>
  <c r="K140" i="3"/>
  <c r="G140" i="3"/>
  <c r="H140" i="3" s="1"/>
  <c r="B140" i="5" s="1"/>
  <c r="F140" i="3"/>
  <c r="I140" i="3" s="1"/>
  <c r="J140" i="3" s="1"/>
  <c r="E140" i="3"/>
  <c r="F139" i="3"/>
  <c r="K139" i="3" s="1"/>
  <c r="E139" i="3"/>
  <c r="G139" i="3" s="1"/>
  <c r="H139" i="3" s="1"/>
  <c r="B139" i="5" s="1"/>
  <c r="I138" i="3"/>
  <c r="J138" i="3" s="1"/>
  <c r="G138" i="3"/>
  <c r="H138" i="3" s="1"/>
  <c r="B138" i="5" s="1"/>
  <c r="F138" i="3"/>
  <c r="K138" i="3" s="1"/>
  <c r="E138" i="3"/>
  <c r="F137" i="3"/>
  <c r="K137" i="3" s="1"/>
  <c r="E137" i="3"/>
  <c r="G137" i="3" s="1"/>
  <c r="H137" i="3" s="1"/>
  <c r="B137" i="5" s="1"/>
  <c r="K136" i="3"/>
  <c r="F136" i="3"/>
  <c r="I136" i="3" s="1"/>
  <c r="J136" i="3" s="1"/>
  <c r="E136" i="3"/>
  <c r="G136" i="3" s="1"/>
  <c r="H136" i="3" s="1"/>
  <c r="B136" i="5" s="1"/>
  <c r="K135" i="3"/>
  <c r="I135" i="3"/>
  <c r="J135" i="3" s="1"/>
  <c r="F135" i="3"/>
  <c r="E135" i="3"/>
  <c r="G135" i="3" s="1"/>
  <c r="H135" i="3" s="1"/>
  <c r="B135" i="5" s="1"/>
  <c r="K134" i="3"/>
  <c r="G134" i="3"/>
  <c r="H134" i="3" s="1"/>
  <c r="B134" i="5" s="1"/>
  <c r="F134" i="3"/>
  <c r="I134" i="3" s="1"/>
  <c r="J134" i="3" s="1"/>
  <c r="E134" i="3"/>
  <c r="F133" i="3"/>
  <c r="K133" i="3" s="1"/>
  <c r="E133" i="3"/>
  <c r="G133" i="3" s="1"/>
  <c r="H133" i="3" s="1"/>
  <c r="B133" i="5" s="1"/>
  <c r="I132" i="3"/>
  <c r="J132" i="3" s="1"/>
  <c r="G132" i="3"/>
  <c r="H132" i="3" s="1"/>
  <c r="B132" i="5" s="1"/>
  <c r="F132" i="3"/>
  <c r="K132" i="3" s="1"/>
  <c r="E132" i="3"/>
  <c r="F131" i="3"/>
  <c r="K131" i="3" s="1"/>
  <c r="E131" i="3"/>
  <c r="G131" i="3" s="1"/>
  <c r="H131" i="3" s="1"/>
  <c r="B131" i="5" s="1"/>
  <c r="K130" i="3"/>
  <c r="F130" i="3"/>
  <c r="I130" i="3" s="1"/>
  <c r="J130" i="3" s="1"/>
  <c r="E130" i="3"/>
  <c r="G130" i="3" s="1"/>
  <c r="H130" i="3" s="1"/>
  <c r="B130" i="5" s="1"/>
  <c r="K129" i="3"/>
  <c r="I129" i="3"/>
  <c r="J129" i="3" s="1"/>
  <c r="F129" i="3"/>
  <c r="E129" i="3"/>
  <c r="G129" i="3" s="1"/>
  <c r="H129" i="3" s="1"/>
  <c r="B129" i="5" s="1"/>
  <c r="K128" i="3"/>
  <c r="G128" i="3"/>
  <c r="H128" i="3" s="1"/>
  <c r="B128" i="5" s="1"/>
  <c r="F128" i="3"/>
  <c r="I128" i="3" s="1"/>
  <c r="J128" i="3" s="1"/>
  <c r="E128" i="3"/>
  <c r="F127" i="3"/>
  <c r="K127" i="3" s="1"/>
  <c r="E127" i="3"/>
  <c r="G127" i="3" s="1"/>
  <c r="H127" i="3" s="1"/>
  <c r="B127" i="5" s="1"/>
  <c r="I126" i="3"/>
  <c r="J126" i="3" s="1"/>
  <c r="G126" i="3"/>
  <c r="H126" i="3" s="1"/>
  <c r="B126" i="5" s="1"/>
  <c r="F126" i="3"/>
  <c r="K126" i="3" s="1"/>
  <c r="E126" i="3"/>
  <c r="F125" i="3"/>
  <c r="K125" i="3" s="1"/>
  <c r="E125" i="3"/>
  <c r="G125" i="3" s="1"/>
  <c r="H125" i="3" s="1"/>
  <c r="B125" i="5" s="1"/>
  <c r="K124" i="3"/>
  <c r="F124" i="3"/>
  <c r="I124" i="3" s="1"/>
  <c r="J124" i="3" s="1"/>
  <c r="E124" i="3"/>
  <c r="G124" i="3" s="1"/>
  <c r="H124" i="3" s="1"/>
  <c r="B124" i="5" s="1"/>
  <c r="K123" i="3"/>
  <c r="I123" i="3"/>
  <c r="J123" i="3" s="1"/>
  <c r="F123" i="3"/>
  <c r="E123" i="3"/>
  <c r="G123" i="3" s="1"/>
  <c r="H123" i="3" s="1"/>
  <c r="B123" i="5" s="1"/>
  <c r="K122" i="3"/>
  <c r="G122" i="3"/>
  <c r="H122" i="3" s="1"/>
  <c r="B122" i="5" s="1"/>
  <c r="F122" i="3"/>
  <c r="I122" i="3" s="1"/>
  <c r="J122" i="3" s="1"/>
  <c r="E122" i="3"/>
  <c r="F121" i="3"/>
  <c r="K121" i="3" s="1"/>
  <c r="E121" i="3"/>
  <c r="G121" i="3" s="1"/>
  <c r="H121" i="3" s="1"/>
  <c r="B121" i="5" s="1"/>
  <c r="I120" i="3"/>
  <c r="J120" i="3" s="1"/>
  <c r="G120" i="3"/>
  <c r="H120" i="3" s="1"/>
  <c r="B120" i="5" s="1"/>
  <c r="F120" i="3"/>
  <c r="K120" i="3" s="1"/>
  <c r="E120" i="3"/>
  <c r="F119" i="3"/>
  <c r="K119" i="3" s="1"/>
  <c r="E119" i="3"/>
  <c r="G119" i="3" s="1"/>
  <c r="H119" i="3" s="1"/>
  <c r="B119" i="5" s="1"/>
  <c r="K118" i="3"/>
  <c r="F118" i="3"/>
  <c r="I118" i="3" s="1"/>
  <c r="J118" i="3" s="1"/>
  <c r="E118" i="3"/>
  <c r="G118" i="3" s="1"/>
  <c r="H118" i="3" s="1"/>
  <c r="B118" i="5" s="1"/>
  <c r="K117" i="3"/>
  <c r="I117" i="3"/>
  <c r="J117" i="3" s="1"/>
  <c r="F117" i="3"/>
  <c r="E117" i="3"/>
  <c r="G117" i="3" s="1"/>
  <c r="H117" i="3" s="1"/>
  <c r="B117" i="5" s="1"/>
  <c r="K116" i="3"/>
  <c r="G116" i="3"/>
  <c r="H116" i="3" s="1"/>
  <c r="B116" i="5" s="1"/>
  <c r="F116" i="3"/>
  <c r="I116" i="3" s="1"/>
  <c r="J116" i="3" s="1"/>
  <c r="E116" i="3"/>
  <c r="F115" i="3"/>
  <c r="K115" i="3" s="1"/>
  <c r="E115" i="3"/>
  <c r="G115" i="3" s="1"/>
  <c r="H115" i="3" s="1"/>
  <c r="B115" i="5" s="1"/>
  <c r="I114" i="3"/>
  <c r="J114" i="3" s="1"/>
  <c r="G114" i="3"/>
  <c r="H114" i="3" s="1"/>
  <c r="B114" i="5" s="1"/>
  <c r="F114" i="3"/>
  <c r="K114" i="3" s="1"/>
  <c r="E114" i="3"/>
  <c r="F113" i="3"/>
  <c r="K113" i="3" s="1"/>
  <c r="E113" i="3"/>
  <c r="G113" i="3" s="1"/>
  <c r="H113" i="3" s="1"/>
  <c r="B113" i="5" s="1"/>
  <c r="K112" i="3"/>
  <c r="F112" i="3"/>
  <c r="I112" i="3" s="1"/>
  <c r="J112" i="3" s="1"/>
  <c r="E112" i="3"/>
  <c r="G112" i="3" s="1"/>
  <c r="H112" i="3" s="1"/>
  <c r="B112" i="5" s="1"/>
  <c r="K111" i="3"/>
  <c r="I111" i="3"/>
  <c r="J111" i="3" s="1"/>
  <c r="F111" i="3"/>
  <c r="E111" i="3"/>
  <c r="G111" i="3" s="1"/>
  <c r="H111" i="3" s="1"/>
  <c r="B111" i="5" s="1"/>
  <c r="K110" i="3"/>
  <c r="G110" i="3"/>
  <c r="H110" i="3" s="1"/>
  <c r="B110" i="5" s="1"/>
  <c r="F110" i="3"/>
  <c r="I110" i="3" s="1"/>
  <c r="J110" i="3" s="1"/>
  <c r="E110" i="3"/>
  <c r="F109" i="3"/>
  <c r="K109" i="3" s="1"/>
  <c r="E109" i="3"/>
  <c r="G109" i="3" s="1"/>
  <c r="H109" i="3" s="1"/>
  <c r="B109" i="5" s="1"/>
  <c r="I108" i="3"/>
  <c r="J108" i="3" s="1"/>
  <c r="G108" i="3"/>
  <c r="H108" i="3" s="1"/>
  <c r="B108" i="5" s="1"/>
  <c r="F108" i="3"/>
  <c r="K108" i="3" s="1"/>
  <c r="E108" i="3"/>
  <c r="F107" i="3"/>
  <c r="K107" i="3" s="1"/>
  <c r="E107" i="3"/>
  <c r="G107" i="3" s="1"/>
  <c r="H107" i="3" s="1"/>
  <c r="B107" i="5" s="1"/>
  <c r="K106" i="3"/>
  <c r="F106" i="3"/>
  <c r="I106" i="3" s="1"/>
  <c r="J106" i="3" s="1"/>
  <c r="E106" i="3"/>
  <c r="G106" i="3" s="1"/>
  <c r="H106" i="3" s="1"/>
  <c r="B106" i="5" s="1"/>
  <c r="K105" i="3"/>
  <c r="I105" i="3"/>
  <c r="J105" i="3" s="1"/>
  <c r="H105" i="3"/>
  <c r="B105" i="5" s="1"/>
  <c r="G105" i="3"/>
  <c r="F105" i="3"/>
  <c r="E105" i="3"/>
  <c r="K104" i="3"/>
  <c r="G104" i="3"/>
  <c r="H104" i="3" s="1"/>
  <c r="B104" i="5" s="1"/>
  <c r="F104" i="3"/>
  <c r="I104" i="3" s="1"/>
  <c r="J104" i="3" s="1"/>
  <c r="E104" i="3"/>
  <c r="F103" i="3"/>
  <c r="K103" i="3" s="1"/>
  <c r="E103" i="3"/>
  <c r="G103" i="3" s="1"/>
  <c r="H103" i="3" s="1"/>
  <c r="B103" i="5" s="1"/>
  <c r="I102" i="3"/>
  <c r="J102" i="3" s="1"/>
  <c r="G102" i="3"/>
  <c r="H102" i="3" s="1"/>
  <c r="B102" i="5" s="1"/>
  <c r="F102" i="3"/>
  <c r="K102" i="3" s="1"/>
  <c r="E102" i="3"/>
  <c r="F101" i="3"/>
  <c r="K101" i="3" s="1"/>
  <c r="E101" i="3"/>
  <c r="G101" i="3" s="1"/>
  <c r="H101" i="3" s="1"/>
  <c r="B101" i="5" s="1"/>
  <c r="K100" i="3"/>
  <c r="F100" i="3"/>
  <c r="I100" i="3" s="1"/>
  <c r="J100" i="3" s="1"/>
  <c r="E100" i="3"/>
  <c r="G100" i="3" s="1"/>
  <c r="H100" i="3" s="1"/>
  <c r="B100" i="5" s="1"/>
  <c r="K99" i="3"/>
  <c r="I99" i="3"/>
  <c r="J99" i="3" s="1"/>
  <c r="F99" i="3"/>
  <c r="E99" i="3"/>
  <c r="G99" i="3" s="1"/>
  <c r="H99" i="3" s="1"/>
  <c r="B99" i="5" s="1"/>
  <c r="K98" i="3"/>
  <c r="G98" i="3"/>
  <c r="H98" i="3" s="1"/>
  <c r="B98" i="5" s="1"/>
  <c r="F98" i="3"/>
  <c r="I98" i="3" s="1"/>
  <c r="J98" i="3" s="1"/>
  <c r="E98" i="3"/>
  <c r="F97" i="3"/>
  <c r="K97" i="3" s="1"/>
  <c r="E97" i="3"/>
  <c r="G97" i="3" s="1"/>
  <c r="H97" i="3" s="1"/>
  <c r="B97" i="5" s="1"/>
  <c r="I96" i="3"/>
  <c r="J96" i="3" s="1"/>
  <c r="G96" i="3"/>
  <c r="H96" i="3" s="1"/>
  <c r="B96" i="5" s="1"/>
  <c r="F96" i="3"/>
  <c r="K96" i="3" s="1"/>
  <c r="E96" i="3"/>
  <c r="F95" i="3"/>
  <c r="K95" i="3" s="1"/>
  <c r="E95" i="3"/>
  <c r="G95" i="3" s="1"/>
  <c r="H95" i="3" s="1"/>
  <c r="B95" i="5" s="1"/>
  <c r="K94" i="3"/>
  <c r="F94" i="3"/>
  <c r="I94" i="3" s="1"/>
  <c r="J94" i="3" s="1"/>
  <c r="E94" i="3"/>
  <c r="G94" i="3" s="1"/>
  <c r="H94" i="3" s="1"/>
  <c r="B94" i="5" s="1"/>
  <c r="K93" i="3"/>
  <c r="I93" i="3"/>
  <c r="J93" i="3" s="1"/>
  <c r="F93" i="3"/>
  <c r="E93" i="3"/>
  <c r="G93" i="3" s="1"/>
  <c r="H93" i="3" s="1"/>
  <c r="B93" i="5" s="1"/>
  <c r="K92" i="3"/>
  <c r="G92" i="3"/>
  <c r="H92" i="3" s="1"/>
  <c r="B92" i="5" s="1"/>
  <c r="F92" i="3"/>
  <c r="I92" i="3" s="1"/>
  <c r="J92" i="3" s="1"/>
  <c r="E92" i="3"/>
  <c r="F91" i="3"/>
  <c r="K91" i="3" s="1"/>
  <c r="E91" i="3"/>
  <c r="G91" i="3" s="1"/>
  <c r="H91" i="3" s="1"/>
  <c r="B91" i="5" s="1"/>
  <c r="I90" i="3"/>
  <c r="J90" i="3" s="1"/>
  <c r="G90" i="3"/>
  <c r="H90" i="3" s="1"/>
  <c r="B90" i="5" s="1"/>
  <c r="F90" i="3"/>
  <c r="K90" i="3" s="1"/>
  <c r="E90" i="3"/>
  <c r="F89" i="3"/>
  <c r="K89" i="3" s="1"/>
  <c r="E89" i="3"/>
  <c r="G89" i="3" s="1"/>
  <c r="H89" i="3" s="1"/>
  <c r="B89" i="5" s="1"/>
  <c r="K88" i="3"/>
  <c r="F88" i="3"/>
  <c r="I88" i="3" s="1"/>
  <c r="J88" i="3" s="1"/>
  <c r="E88" i="3"/>
  <c r="G88" i="3" s="1"/>
  <c r="H88" i="3" s="1"/>
  <c r="B88" i="5" s="1"/>
  <c r="K87" i="3"/>
  <c r="I87" i="3"/>
  <c r="J87" i="3" s="1"/>
  <c r="F87" i="3"/>
  <c r="E87" i="3"/>
  <c r="G87" i="3" s="1"/>
  <c r="H87" i="3" s="1"/>
  <c r="B87" i="5" s="1"/>
  <c r="K86" i="3"/>
  <c r="G86" i="3"/>
  <c r="H86" i="3" s="1"/>
  <c r="B86" i="5" s="1"/>
  <c r="F86" i="3"/>
  <c r="I86" i="3" s="1"/>
  <c r="J86" i="3" s="1"/>
  <c r="E86" i="3"/>
  <c r="F85" i="3"/>
  <c r="K85" i="3" s="1"/>
  <c r="E85" i="3"/>
  <c r="G85" i="3" s="1"/>
  <c r="H85" i="3" s="1"/>
  <c r="B85" i="5" s="1"/>
  <c r="I84" i="3"/>
  <c r="J84" i="3" s="1"/>
  <c r="G84" i="3"/>
  <c r="H84" i="3" s="1"/>
  <c r="B84" i="5" s="1"/>
  <c r="F84" i="3"/>
  <c r="K84" i="3" s="1"/>
  <c r="E84" i="3"/>
  <c r="F83" i="3"/>
  <c r="K83" i="3" s="1"/>
  <c r="E83" i="3"/>
  <c r="G83" i="3" s="1"/>
  <c r="H83" i="3" s="1"/>
  <c r="B83" i="5" s="1"/>
  <c r="K82" i="3"/>
  <c r="F82" i="3"/>
  <c r="I82" i="3" s="1"/>
  <c r="J82" i="3" s="1"/>
  <c r="E82" i="3"/>
  <c r="G82" i="3" s="1"/>
  <c r="H82" i="3" s="1"/>
  <c r="B82" i="5" s="1"/>
  <c r="K81" i="3"/>
  <c r="I81" i="3"/>
  <c r="J81" i="3" s="1"/>
  <c r="F81" i="3"/>
  <c r="E81" i="3"/>
  <c r="G81" i="3" s="1"/>
  <c r="H81" i="3" s="1"/>
  <c r="B81" i="5" s="1"/>
  <c r="K80" i="3"/>
  <c r="G80" i="3"/>
  <c r="H80" i="3" s="1"/>
  <c r="B80" i="5" s="1"/>
  <c r="F80" i="3"/>
  <c r="I80" i="3" s="1"/>
  <c r="J80" i="3" s="1"/>
  <c r="E80" i="3"/>
  <c r="F79" i="3"/>
  <c r="K79" i="3" s="1"/>
  <c r="E79" i="3"/>
  <c r="G79" i="3" s="1"/>
  <c r="H79" i="3" s="1"/>
  <c r="B79" i="5" s="1"/>
  <c r="I78" i="3"/>
  <c r="J78" i="3" s="1"/>
  <c r="G78" i="3"/>
  <c r="H78" i="3" s="1"/>
  <c r="B78" i="5" s="1"/>
  <c r="F78" i="3"/>
  <c r="K78" i="3" s="1"/>
  <c r="E78" i="3"/>
  <c r="F77" i="3"/>
  <c r="K77" i="3" s="1"/>
  <c r="E77" i="3"/>
  <c r="G77" i="3" s="1"/>
  <c r="H77" i="3" s="1"/>
  <c r="B77" i="5" s="1"/>
  <c r="K76" i="3"/>
  <c r="F76" i="3"/>
  <c r="I76" i="3" s="1"/>
  <c r="J76" i="3" s="1"/>
  <c r="E76" i="3"/>
  <c r="G76" i="3" s="1"/>
  <c r="H76" i="3" s="1"/>
  <c r="B76" i="5" s="1"/>
  <c r="K75" i="3"/>
  <c r="I75" i="3"/>
  <c r="J75" i="3" s="1"/>
  <c r="F75" i="3"/>
  <c r="E75" i="3"/>
  <c r="G75" i="3" s="1"/>
  <c r="H75" i="3" s="1"/>
  <c r="B75" i="5" s="1"/>
  <c r="K74" i="3"/>
  <c r="G74" i="3"/>
  <c r="H74" i="3" s="1"/>
  <c r="B74" i="5" s="1"/>
  <c r="F74" i="3"/>
  <c r="I74" i="3" s="1"/>
  <c r="J74" i="3" s="1"/>
  <c r="E74" i="3"/>
  <c r="F73" i="3"/>
  <c r="K73" i="3" s="1"/>
  <c r="E73" i="3"/>
  <c r="G73" i="3" s="1"/>
  <c r="H73" i="3" s="1"/>
  <c r="B73" i="5" s="1"/>
  <c r="I72" i="3"/>
  <c r="J72" i="3" s="1"/>
  <c r="G72" i="3"/>
  <c r="H72" i="3" s="1"/>
  <c r="B72" i="5" s="1"/>
  <c r="F72" i="3"/>
  <c r="K72" i="3" s="1"/>
  <c r="E72" i="3"/>
  <c r="F71" i="3"/>
  <c r="K71" i="3" s="1"/>
  <c r="E71" i="3"/>
  <c r="G71" i="3" s="1"/>
  <c r="H71" i="3" s="1"/>
  <c r="B71" i="5" s="1"/>
  <c r="K70" i="3"/>
  <c r="F70" i="3"/>
  <c r="I70" i="3" s="1"/>
  <c r="J70" i="3" s="1"/>
  <c r="E70" i="3"/>
  <c r="G70" i="3" s="1"/>
  <c r="H70" i="3" s="1"/>
  <c r="B70" i="5" s="1"/>
  <c r="K69" i="3"/>
  <c r="I69" i="3"/>
  <c r="J69" i="3" s="1"/>
  <c r="F69" i="3"/>
  <c r="E69" i="3"/>
  <c r="G69" i="3" s="1"/>
  <c r="H69" i="3" s="1"/>
  <c r="B69" i="5" s="1"/>
  <c r="K68" i="3"/>
  <c r="G68" i="3"/>
  <c r="H68" i="3" s="1"/>
  <c r="B68" i="5" s="1"/>
  <c r="F68" i="3"/>
  <c r="I68" i="3" s="1"/>
  <c r="J68" i="3" s="1"/>
  <c r="E68" i="3"/>
  <c r="F67" i="3"/>
  <c r="K67" i="3" s="1"/>
  <c r="E67" i="3"/>
  <c r="G67" i="3" s="1"/>
  <c r="H67" i="3" s="1"/>
  <c r="B67" i="5" s="1"/>
  <c r="K66" i="3"/>
  <c r="I66" i="3"/>
  <c r="J66" i="3" s="1"/>
  <c r="G66" i="3"/>
  <c r="H66" i="3" s="1"/>
  <c r="B66" i="5" s="1"/>
  <c r="F66" i="3"/>
  <c r="E66" i="3"/>
  <c r="F65" i="3"/>
  <c r="K65" i="3" s="1"/>
  <c r="E65" i="3"/>
  <c r="G65" i="3" s="1"/>
  <c r="H65" i="3" s="1"/>
  <c r="B65" i="5" s="1"/>
  <c r="K64" i="3"/>
  <c r="F64" i="3"/>
  <c r="I64" i="3" s="1"/>
  <c r="J64" i="3" s="1"/>
  <c r="E64" i="3"/>
  <c r="G64" i="3" s="1"/>
  <c r="H64" i="3" s="1"/>
  <c r="B64" i="5" s="1"/>
  <c r="K63" i="3"/>
  <c r="I63" i="3"/>
  <c r="J63" i="3" s="1"/>
  <c r="F63" i="3"/>
  <c r="E63" i="3"/>
  <c r="G63" i="3" s="1"/>
  <c r="H63" i="3" s="1"/>
  <c r="B63" i="5" s="1"/>
  <c r="K62" i="3"/>
  <c r="G62" i="3"/>
  <c r="H62" i="3" s="1"/>
  <c r="B62" i="5" s="1"/>
  <c r="F62" i="3"/>
  <c r="I62" i="3" s="1"/>
  <c r="J62" i="3" s="1"/>
  <c r="E62" i="3"/>
  <c r="F61" i="3"/>
  <c r="K61" i="3" s="1"/>
  <c r="E61" i="3"/>
  <c r="G61" i="3" s="1"/>
  <c r="H61" i="3" s="1"/>
  <c r="B61" i="5" s="1"/>
  <c r="K60" i="3"/>
  <c r="I60" i="3"/>
  <c r="J60" i="3" s="1"/>
  <c r="G60" i="3"/>
  <c r="H60" i="3" s="1"/>
  <c r="B60" i="5" s="1"/>
  <c r="F60" i="3"/>
  <c r="E60" i="3"/>
  <c r="F59" i="3"/>
  <c r="K59" i="3" s="1"/>
  <c r="E59" i="3"/>
  <c r="G59" i="3" s="1"/>
  <c r="H59" i="3" s="1"/>
  <c r="B59" i="5" s="1"/>
  <c r="K58" i="3"/>
  <c r="F58" i="3"/>
  <c r="I58" i="3" s="1"/>
  <c r="J58" i="3" s="1"/>
  <c r="E58" i="3"/>
  <c r="G58" i="3" s="1"/>
  <c r="H58" i="3" s="1"/>
  <c r="B58" i="5" s="1"/>
  <c r="K57" i="3"/>
  <c r="I57" i="3"/>
  <c r="J57" i="3" s="1"/>
  <c r="F57" i="3"/>
  <c r="E57" i="3"/>
  <c r="G57" i="3" s="1"/>
  <c r="H57" i="3" s="1"/>
  <c r="B57" i="5" s="1"/>
  <c r="K56" i="3"/>
  <c r="G56" i="3"/>
  <c r="H56" i="3" s="1"/>
  <c r="B56" i="5" s="1"/>
  <c r="F56" i="3"/>
  <c r="I56" i="3" s="1"/>
  <c r="J56" i="3" s="1"/>
  <c r="E56" i="3"/>
  <c r="F55" i="3"/>
  <c r="K55" i="3" s="1"/>
  <c r="E55" i="3"/>
  <c r="G55" i="3" s="1"/>
  <c r="H55" i="3" s="1"/>
  <c r="B55" i="5" s="1"/>
  <c r="K54" i="3"/>
  <c r="I54" i="3"/>
  <c r="J54" i="3" s="1"/>
  <c r="G54" i="3"/>
  <c r="H54" i="3" s="1"/>
  <c r="B54" i="5" s="1"/>
  <c r="F54" i="3"/>
  <c r="E54" i="3"/>
  <c r="F53" i="3"/>
  <c r="K53" i="3" s="1"/>
  <c r="E53" i="3"/>
  <c r="G53" i="3" s="1"/>
  <c r="H53" i="3" s="1"/>
  <c r="B53" i="5" s="1"/>
  <c r="K52" i="3"/>
  <c r="F52" i="3"/>
  <c r="I52" i="3" s="1"/>
  <c r="J52" i="3" s="1"/>
  <c r="E52" i="3"/>
  <c r="G52" i="3" s="1"/>
  <c r="H52" i="3" s="1"/>
  <c r="B52" i="5" s="1"/>
  <c r="K51" i="3"/>
  <c r="I51" i="3"/>
  <c r="J51" i="3" s="1"/>
  <c r="F51" i="3"/>
  <c r="E51" i="3"/>
  <c r="G51" i="3" s="1"/>
  <c r="H51" i="3" s="1"/>
  <c r="B51" i="5" s="1"/>
  <c r="K50" i="3"/>
  <c r="G50" i="3"/>
  <c r="H50" i="3" s="1"/>
  <c r="B50" i="5" s="1"/>
  <c r="F50" i="3"/>
  <c r="I50" i="3" s="1"/>
  <c r="J50" i="3" s="1"/>
  <c r="E50" i="3"/>
  <c r="F49" i="3"/>
  <c r="K49" i="3" s="1"/>
  <c r="E49" i="3"/>
  <c r="G49" i="3" s="1"/>
  <c r="H49" i="3" s="1"/>
  <c r="B49" i="5" s="1"/>
  <c r="K48" i="3"/>
  <c r="I48" i="3"/>
  <c r="J48" i="3" s="1"/>
  <c r="G48" i="3"/>
  <c r="H48" i="3" s="1"/>
  <c r="B48" i="5" s="1"/>
  <c r="F48" i="3"/>
  <c r="E48" i="3"/>
  <c r="F47" i="3"/>
  <c r="K47" i="3" s="1"/>
  <c r="E47" i="3"/>
  <c r="G47" i="3" s="1"/>
  <c r="H47" i="3" s="1"/>
  <c r="B47" i="5" s="1"/>
  <c r="K46" i="3"/>
  <c r="F46" i="3"/>
  <c r="I46" i="3" s="1"/>
  <c r="J46" i="3" s="1"/>
  <c r="E46" i="3"/>
  <c r="G46" i="3" s="1"/>
  <c r="H46" i="3" s="1"/>
  <c r="B46" i="5" s="1"/>
  <c r="K45" i="3"/>
  <c r="I45" i="3"/>
  <c r="J45" i="3" s="1"/>
  <c r="F45" i="3"/>
  <c r="E45" i="3"/>
  <c r="G45" i="3" s="1"/>
  <c r="H45" i="3" s="1"/>
  <c r="B45" i="5" s="1"/>
  <c r="K44" i="3"/>
  <c r="G44" i="3"/>
  <c r="H44" i="3" s="1"/>
  <c r="B44" i="5" s="1"/>
  <c r="F44" i="3"/>
  <c r="I44" i="3" s="1"/>
  <c r="J44" i="3" s="1"/>
  <c r="E44" i="3"/>
  <c r="F43" i="3"/>
  <c r="K43" i="3" s="1"/>
  <c r="E43" i="3"/>
  <c r="G43" i="3" s="1"/>
  <c r="H43" i="3" s="1"/>
  <c r="B43" i="5" s="1"/>
  <c r="K42" i="3"/>
  <c r="I42" i="3"/>
  <c r="J42" i="3" s="1"/>
  <c r="G42" i="3"/>
  <c r="H42" i="3" s="1"/>
  <c r="B42" i="5" s="1"/>
  <c r="F42" i="3"/>
  <c r="E42" i="3"/>
  <c r="F41" i="3"/>
  <c r="K41" i="3" s="1"/>
  <c r="E41" i="3"/>
  <c r="G41" i="3" s="1"/>
  <c r="H41" i="3" s="1"/>
  <c r="B41" i="5" s="1"/>
  <c r="K40" i="3"/>
  <c r="F40" i="3"/>
  <c r="I40" i="3" s="1"/>
  <c r="J40" i="3" s="1"/>
  <c r="E40" i="3"/>
  <c r="G40" i="3" s="1"/>
  <c r="H40" i="3" s="1"/>
  <c r="B40" i="5" s="1"/>
  <c r="K39" i="3"/>
  <c r="I39" i="3"/>
  <c r="J39" i="3" s="1"/>
  <c r="F39" i="3"/>
  <c r="E39" i="3"/>
  <c r="G39" i="3" s="1"/>
  <c r="H39" i="3" s="1"/>
  <c r="B39" i="5" s="1"/>
  <c r="K38" i="3"/>
  <c r="G38" i="3"/>
  <c r="H38" i="3" s="1"/>
  <c r="B38" i="5" s="1"/>
  <c r="F38" i="3"/>
  <c r="I38" i="3" s="1"/>
  <c r="J38" i="3" s="1"/>
  <c r="E38" i="3"/>
  <c r="F37" i="3"/>
  <c r="K37" i="3" s="1"/>
  <c r="E37" i="3"/>
  <c r="G37" i="3" s="1"/>
  <c r="H37" i="3" s="1"/>
  <c r="B37" i="5" s="1"/>
  <c r="K36" i="3"/>
  <c r="I36" i="3"/>
  <c r="J36" i="3" s="1"/>
  <c r="G36" i="3"/>
  <c r="H36" i="3" s="1"/>
  <c r="B36" i="5" s="1"/>
  <c r="F36" i="3"/>
  <c r="E36" i="3"/>
  <c r="F35" i="3"/>
  <c r="K35" i="3" s="1"/>
  <c r="E35" i="3"/>
  <c r="G35" i="3" s="1"/>
  <c r="H35" i="3" s="1"/>
  <c r="B35" i="5" s="1"/>
  <c r="K34" i="3"/>
  <c r="F34" i="3"/>
  <c r="I34" i="3" s="1"/>
  <c r="J34" i="3" s="1"/>
  <c r="E34" i="3"/>
  <c r="G34" i="3" s="1"/>
  <c r="H34" i="3" s="1"/>
  <c r="B34" i="5" s="1"/>
  <c r="K33" i="3"/>
  <c r="I33" i="3"/>
  <c r="J33" i="3" s="1"/>
  <c r="F33" i="3"/>
  <c r="E33" i="3"/>
  <c r="G33" i="3" s="1"/>
  <c r="H33" i="3" s="1"/>
  <c r="B33" i="5" s="1"/>
  <c r="K32" i="3"/>
  <c r="I32" i="3"/>
  <c r="J32" i="3" s="1"/>
  <c r="G32" i="3"/>
  <c r="H32" i="3" s="1"/>
  <c r="B32" i="5" s="1"/>
  <c r="F32" i="3"/>
  <c r="E32" i="3"/>
  <c r="F31" i="3"/>
  <c r="K31" i="3" s="1"/>
  <c r="E31" i="3"/>
  <c r="G31" i="3" s="1"/>
  <c r="H31" i="3" s="1"/>
  <c r="B31" i="5" s="1"/>
  <c r="I30" i="3"/>
  <c r="J30" i="3" s="1"/>
  <c r="G30" i="3"/>
  <c r="H30" i="3" s="1"/>
  <c r="B30" i="5" s="1"/>
  <c r="F30" i="3"/>
  <c r="K30" i="3" s="1"/>
  <c r="E30" i="3"/>
  <c r="F29" i="3"/>
  <c r="K29" i="3" s="1"/>
  <c r="E29" i="3"/>
  <c r="G29" i="3" s="1"/>
  <c r="H29" i="3" s="1"/>
  <c r="B29" i="5" s="1"/>
  <c r="K28" i="3"/>
  <c r="F28" i="3"/>
  <c r="I28" i="3" s="1"/>
  <c r="J28" i="3" s="1"/>
  <c r="E28" i="3"/>
  <c r="G28" i="3" s="1"/>
  <c r="H28" i="3" s="1"/>
  <c r="B28" i="5" s="1"/>
  <c r="K27" i="3"/>
  <c r="I27" i="3"/>
  <c r="J27" i="3" s="1"/>
  <c r="F27" i="3"/>
  <c r="E27" i="3"/>
  <c r="G27" i="3" s="1"/>
  <c r="H27" i="3" s="1"/>
  <c r="B27" i="5" s="1"/>
  <c r="K26" i="3"/>
  <c r="I26" i="3"/>
  <c r="J26" i="3" s="1"/>
  <c r="G26" i="3"/>
  <c r="H26" i="3" s="1"/>
  <c r="B26" i="5" s="1"/>
  <c r="F26" i="3"/>
  <c r="E26" i="3"/>
  <c r="F25" i="3"/>
  <c r="K25" i="3" s="1"/>
  <c r="E25" i="3"/>
  <c r="G25" i="3" s="1"/>
  <c r="H25" i="3" s="1"/>
  <c r="B25" i="5" s="1"/>
  <c r="K24" i="3"/>
  <c r="I24" i="3"/>
  <c r="J24" i="3" s="1"/>
  <c r="G24" i="3"/>
  <c r="H24" i="3" s="1"/>
  <c r="B24" i="5" s="1"/>
  <c r="F24" i="3"/>
  <c r="E24" i="3"/>
  <c r="F23" i="3"/>
  <c r="K23" i="3" s="1"/>
  <c r="E23" i="3"/>
  <c r="G23" i="3" s="1"/>
  <c r="H23" i="3" s="1"/>
  <c r="B23" i="5" s="1"/>
  <c r="K22" i="3"/>
  <c r="F22" i="3"/>
  <c r="I22" i="3" s="1"/>
  <c r="J22" i="3" s="1"/>
  <c r="E22" i="3"/>
  <c r="G22" i="3" s="1"/>
  <c r="H22" i="3" s="1"/>
  <c r="B22" i="5" s="1"/>
  <c r="K21" i="3"/>
  <c r="I21" i="3"/>
  <c r="J21" i="3" s="1"/>
  <c r="F21" i="3"/>
  <c r="E21" i="3"/>
  <c r="G21" i="3" s="1"/>
  <c r="H21" i="3" s="1"/>
  <c r="B21" i="5" s="1"/>
  <c r="K20" i="3"/>
  <c r="I20" i="3"/>
  <c r="J20" i="3" s="1"/>
  <c r="G20" i="3"/>
  <c r="H20" i="3" s="1"/>
  <c r="B20" i="5" s="1"/>
  <c r="F20" i="3"/>
  <c r="E20" i="3"/>
  <c r="F19" i="3"/>
  <c r="K19" i="3" s="1"/>
  <c r="E19" i="3"/>
  <c r="G19" i="3" s="1"/>
  <c r="H19" i="3" s="1"/>
  <c r="B19" i="5" s="1"/>
  <c r="K18" i="3"/>
  <c r="I18" i="3"/>
  <c r="J18" i="3" s="1"/>
  <c r="G18" i="3"/>
  <c r="H18" i="3" s="1"/>
  <c r="B18" i="5" s="1"/>
  <c r="F18" i="3"/>
  <c r="E18" i="3"/>
  <c r="F17" i="3"/>
  <c r="K17" i="3" s="1"/>
  <c r="E17" i="3"/>
  <c r="G17" i="3" s="1"/>
  <c r="H17" i="3" s="1"/>
  <c r="B17" i="5" s="1"/>
  <c r="K16" i="3"/>
  <c r="F16" i="3"/>
  <c r="I16" i="3" s="1"/>
  <c r="J16" i="3" s="1"/>
  <c r="E16" i="3"/>
  <c r="G16" i="3" s="1"/>
  <c r="H16" i="3" s="1"/>
  <c r="B16" i="5" s="1"/>
  <c r="K15" i="3"/>
  <c r="I15" i="3"/>
  <c r="J15" i="3" s="1"/>
  <c r="F15" i="3"/>
  <c r="E15" i="3"/>
  <c r="G15" i="3" s="1"/>
  <c r="H15" i="3" s="1"/>
  <c r="B15" i="5" s="1"/>
  <c r="K14" i="3"/>
  <c r="I14" i="3"/>
  <c r="J14" i="3" s="1"/>
  <c r="G14" i="3"/>
  <c r="H14" i="3" s="1"/>
  <c r="B14" i="5" s="1"/>
  <c r="F14" i="3"/>
  <c r="E14" i="3"/>
  <c r="F13" i="3"/>
  <c r="K13" i="3" s="1"/>
  <c r="E13" i="3"/>
  <c r="G13" i="3" s="1"/>
  <c r="H13" i="3" s="1"/>
  <c r="B13" i="5" s="1"/>
  <c r="K12" i="3"/>
  <c r="I12" i="3"/>
  <c r="J12" i="3" s="1"/>
  <c r="G12" i="3"/>
  <c r="H12" i="3" s="1"/>
  <c r="B12" i="5" s="1"/>
  <c r="F12" i="3"/>
  <c r="E12" i="3"/>
  <c r="F11" i="3"/>
  <c r="K11" i="3" s="1"/>
  <c r="E11" i="3"/>
  <c r="G11" i="3" s="1"/>
  <c r="H11" i="3" s="1"/>
  <c r="B11" i="5" s="1"/>
  <c r="K10" i="3"/>
  <c r="F10" i="3"/>
  <c r="I10" i="3" s="1"/>
  <c r="J10" i="3" s="1"/>
  <c r="E10" i="3"/>
  <c r="G10" i="3" s="1"/>
  <c r="H10" i="3" s="1"/>
  <c r="B10" i="5" s="1"/>
  <c r="K9" i="3"/>
  <c r="I9" i="3"/>
  <c r="J9" i="3" s="1"/>
  <c r="F9" i="3"/>
  <c r="E9" i="3"/>
  <c r="G9" i="3" s="1"/>
  <c r="H9" i="3" s="1"/>
  <c r="B9" i="5" s="1"/>
  <c r="K8" i="3"/>
  <c r="I8" i="3"/>
  <c r="J8" i="3" s="1"/>
  <c r="G8" i="3"/>
  <c r="H8" i="3" s="1"/>
  <c r="B8" i="5" s="1"/>
  <c r="F8" i="3"/>
  <c r="E8" i="3"/>
  <c r="F7" i="3"/>
  <c r="K7" i="3" s="1"/>
  <c r="E7" i="3"/>
  <c r="G7" i="3" s="1"/>
  <c r="H7" i="3" s="1"/>
  <c r="B7" i="5" s="1"/>
  <c r="K6" i="3"/>
  <c r="I6" i="3"/>
  <c r="J6" i="3" s="1"/>
  <c r="G6" i="3"/>
  <c r="H6" i="3" s="1"/>
  <c r="B6" i="5" s="1"/>
  <c r="F6" i="3"/>
  <c r="E6" i="3"/>
  <c r="A21" i="1"/>
  <c r="A22" i="1" s="1"/>
  <c r="C20" i="1"/>
  <c r="B5" i="1"/>
  <c r="A23" i="1" l="1"/>
  <c r="C22" i="1"/>
  <c r="B6" i="1"/>
  <c r="I151" i="3"/>
  <c r="J151" i="3" s="1"/>
  <c r="I19" i="3"/>
  <c r="J19" i="3" s="1"/>
  <c r="I25" i="3"/>
  <c r="J25" i="3" s="1"/>
  <c r="I31" i="3"/>
  <c r="J31" i="3" s="1"/>
  <c r="I37" i="3"/>
  <c r="J37" i="3" s="1"/>
  <c r="I43" i="3"/>
  <c r="J43" i="3" s="1"/>
  <c r="I49" i="3"/>
  <c r="J49" i="3" s="1"/>
  <c r="I55" i="3"/>
  <c r="J55" i="3" s="1"/>
  <c r="I61" i="3"/>
  <c r="J61" i="3" s="1"/>
  <c r="I67" i="3"/>
  <c r="J67" i="3" s="1"/>
  <c r="I73" i="3"/>
  <c r="J73" i="3" s="1"/>
  <c r="I79" i="3"/>
  <c r="J79" i="3" s="1"/>
  <c r="I85" i="3"/>
  <c r="J85" i="3" s="1"/>
  <c r="I91" i="3"/>
  <c r="J91" i="3" s="1"/>
  <c r="I97" i="3"/>
  <c r="J97" i="3" s="1"/>
  <c r="I103" i="3"/>
  <c r="J103" i="3" s="1"/>
  <c r="I109" i="3"/>
  <c r="J109" i="3" s="1"/>
  <c r="I115" i="3"/>
  <c r="J115" i="3" s="1"/>
  <c r="I121" i="3"/>
  <c r="J121" i="3" s="1"/>
  <c r="I127" i="3"/>
  <c r="J127" i="3" s="1"/>
  <c r="I133" i="3"/>
  <c r="J133" i="3" s="1"/>
  <c r="I139" i="3"/>
  <c r="J139" i="3" s="1"/>
  <c r="I145" i="3"/>
  <c r="J145" i="3" s="1"/>
  <c r="I7" i="3"/>
  <c r="J7" i="3" s="1"/>
  <c r="I13" i="3"/>
  <c r="J13" i="3" s="1"/>
  <c r="C21" i="1"/>
  <c r="I11" i="3"/>
  <c r="J11" i="3" s="1"/>
  <c r="I17" i="3"/>
  <c r="J17" i="3" s="1"/>
  <c r="B12" i="1" s="1"/>
  <c r="B9" i="8" s="1"/>
  <c r="D9" i="8" s="1"/>
  <c r="F9" i="8" s="1"/>
  <c r="I23" i="3"/>
  <c r="J23" i="3" s="1"/>
  <c r="I29" i="3"/>
  <c r="J29" i="3" s="1"/>
  <c r="I35" i="3"/>
  <c r="J35" i="3" s="1"/>
  <c r="I41" i="3"/>
  <c r="J41" i="3" s="1"/>
  <c r="I47" i="3"/>
  <c r="J47" i="3" s="1"/>
  <c r="I53" i="3"/>
  <c r="J53" i="3" s="1"/>
  <c r="I59" i="3"/>
  <c r="J59" i="3" s="1"/>
  <c r="I65" i="3"/>
  <c r="J65" i="3" s="1"/>
  <c r="I71" i="3"/>
  <c r="J71" i="3" s="1"/>
  <c r="I77" i="3"/>
  <c r="J77" i="3" s="1"/>
  <c r="I83" i="3"/>
  <c r="J83" i="3" s="1"/>
  <c r="I89" i="3"/>
  <c r="J89" i="3" s="1"/>
  <c r="I95" i="3"/>
  <c r="J95" i="3" s="1"/>
  <c r="I101" i="3"/>
  <c r="J101" i="3" s="1"/>
  <c r="I107" i="3"/>
  <c r="J107" i="3" s="1"/>
  <c r="I113" i="3"/>
  <c r="J113" i="3" s="1"/>
  <c r="I119" i="3"/>
  <c r="J119" i="3" s="1"/>
  <c r="I125" i="3"/>
  <c r="J125" i="3" s="1"/>
  <c r="I131" i="3"/>
  <c r="J131" i="3" s="1"/>
  <c r="I137" i="3"/>
  <c r="J137" i="3" s="1"/>
  <c r="I143" i="3"/>
  <c r="J143" i="3" s="1"/>
  <c r="I149" i="3"/>
  <c r="J149" i="3" s="1"/>
  <c r="C8" i="4"/>
  <c r="B8" i="4"/>
  <c r="D8" i="4" s="1"/>
  <c r="A9" i="4"/>
  <c r="C7" i="4"/>
  <c r="E7" i="4" s="1"/>
  <c r="E5" i="5"/>
  <c r="B17" i="7"/>
  <c r="B14" i="7"/>
  <c r="B13" i="7"/>
  <c r="B15" i="7" s="1"/>
  <c r="B16" i="7" s="1"/>
  <c r="B8" i="6"/>
  <c r="B6" i="6"/>
  <c r="B5" i="6"/>
  <c r="B7" i="6"/>
  <c r="B17" i="6" s="1"/>
  <c r="A18" i="6"/>
  <c r="A24" i="1" l="1"/>
  <c r="C23" i="1"/>
  <c r="A10" i="4"/>
  <c r="C9" i="4"/>
  <c r="B9" i="4"/>
  <c r="D9" i="4" s="1"/>
  <c r="F16" i="6"/>
  <c r="N16" i="6"/>
  <c r="B16" i="6"/>
  <c r="G17" i="6"/>
  <c r="I17" i="6" s="1"/>
  <c r="H16" i="6"/>
  <c r="G16" i="6"/>
  <c r="M16" i="6" s="1"/>
  <c r="D7" i="4"/>
  <c r="F7" i="4" s="1"/>
  <c r="G8" i="4" s="1"/>
  <c r="M17" i="6"/>
  <c r="E8" i="4"/>
  <c r="F8" i="4" s="1"/>
  <c r="F5" i="5"/>
  <c r="H17" i="6"/>
  <c r="N17" i="6"/>
  <c r="F17" i="6"/>
  <c r="H18" i="6"/>
  <c r="G18" i="6"/>
  <c r="M18" i="6" s="1"/>
  <c r="F18" i="6"/>
  <c r="N18" i="6"/>
  <c r="B18" i="6"/>
  <c r="A19" i="6"/>
  <c r="B19" i="7"/>
  <c r="B18" i="7"/>
  <c r="B23" i="7" s="1"/>
  <c r="F12" i="8" s="1"/>
  <c r="J17" i="6" l="1"/>
  <c r="I18" i="6"/>
  <c r="J18" i="6" s="1"/>
  <c r="E9" i="4"/>
  <c r="F9" i="4" s="1"/>
  <c r="G5" i="5"/>
  <c r="G9" i="4"/>
  <c r="I16" i="6"/>
  <c r="J16" i="6" s="1"/>
  <c r="C10" i="4"/>
  <c r="E10" i="4" s="1"/>
  <c r="B10" i="4"/>
  <c r="A11" i="4"/>
  <c r="F19" i="6"/>
  <c r="A20" i="6"/>
  <c r="N19" i="6"/>
  <c r="B19" i="6"/>
  <c r="H19" i="6"/>
  <c r="G19" i="6"/>
  <c r="I19" i="6" s="1"/>
  <c r="A25" i="1"/>
  <c r="C24" i="1"/>
  <c r="J19" i="6" l="1"/>
  <c r="G10" i="4"/>
  <c r="M19" i="6"/>
  <c r="H5" i="5"/>
  <c r="N20" i="6"/>
  <c r="B20" i="6"/>
  <c r="H20" i="6"/>
  <c r="F20" i="6"/>
  <c r="A21" i="6"/>
  <c r="G20" i="6"/>
  <c r="M20" i="6" s="1"/>
  <c r="D10" i="4"/>
  <c r="F10" i="4" s="1"/>
  <c r="C25" i="1"/>
  <c r="A26" i="1"/>
  <c r="A12" i="4"/>
  <c r="C11" i="4"/>
  <c r="B11" i="4"/>
  <c r="D11" i="4" s="1"/>
  <c r="A13" i="4" l="1"/>
  <c r="B12" i="4"/>
  <c r="C12" i="4"/>
  <c r="E12" i="4" s="1"/>
  <c r="A27" i="1"/>
  <c r="C26" i="1"/>
  <c r="F11" i="4"/>
  <c r="H21" i="6"/>
  <c r="G21" i="6"/>
  <c r="M21" i="6" s="1"/>
  <c r="F21" i="6"/>
  <c r="N21" i="6"/>
  <c r="B21" i="6"/>
  <c r="A22" i="6"/>
  <c r="E11" i="4"/>
  <c r="G11" i="4"/>
  <c r="C20" i="5"/>
  <c r="H66" i="5"/>
  <c r="H68" i="5"/>
  <c r="H97" i="5"/>
  <c r="I5" i="5"/>
  <c r="I20" i="6"/>
  <c r="J20" i="6" s="1"/>
  <c r="I21" i="6" l="1"/>
  <c r="J21" i="6" s="1"/>
  <c r="A28" i="1"/>
  <c r="C27" i="1"/>
  <c r="D12" i="4"/>
  <c r="F12" i="4" s="1"/>
  <c r="F22" i="6"/>
  <c r="A23" i="6"/>
  <c r="N22" i="6"/>
  <c r="B22" i="6"/>
  <c r="I22" i="6"/>
  <c r="H22" i="6"/>
  <c r="J22" i="6" s="1"/>
  <c r="G22" i="6"/>
  <c r="M22" i="6" s="1"/>
  <c r="G12" i="4"/>
  <c r="C110" i="5"/>
  <c r="D20" i="5"/>
  <c r="C13" i="4"/>
  <c r="B13" i="4"/>
  <c r="D13" i="4" s="1"/>
  <c r="A14" i="4"/>
  <c r="I97" i="5"/>
  <c r="I68" i="5"/>
  <c r="I66" i="5"/>
  <c r="I77" i="5"/>
  <c r="J5" i="5"/>
  <c r="N23" i="6" l="1"/>
  <c r="B23" i="6"/>
  <c r="H23" i="6"/>
  <c r="F23" i="6"/>
  <c r="A24" i="6"/>
  <c r="G23" i="6"/>
  <c r="M23" i="6" s="1"/>
  <c r="A15" i="4"/>
  <c r="B14" i="4"/>
  <c r="C14" i="4"/>
  <c r="E14" i="4" s="1"/>
  <c r="E13" i="4"/>
  <c r="F13" i="4" s="1"/>
  <c r="C28" i="1"/>
  <c r="A29" i="1"/>
  <c r="J152" i="5"/>
  <c r="J146" i="5"/>
  <c r="J68" i="5"/>
  <c r="J70" i="5"/>
  <c r="J97" i="5"/>
  <c r="J77" i="5"/>
  <c r="J66" i="5"/>
  <c r="K5" i="5"/>
  <c r="G13" i="4"/>
  <c r="C63" i="5"/>
  <c r="D110" i="5"/>
  <c r="C59" i="5"/>
  <c r="C126" i="5"/>
  <c r="C25" i="5"/>
  <c r="E20" i="5"/>
  <c r="C29" i="1" l="1"/>
  <c r="A30" i="1"/>
  <c r="I24" i="6"/>
  <c r="J24" i="6" s="1"/>
  <c r="H24" i="6"/>
  <c r="G24" i="6"/>
  <c r="F24" i="6"/>
  <c r="N24" i="6"/>
  <c r="B24" i="6"/>
  <c r="M24" i="6"/>
  <c r="A25" i="6"/>
  <c r="D14" i="4"/>
  <c r="F14" i="4" s="1"/>
  <c r="K152" i="5"/>
  <c r="K146" i="5"/>
  <c r="K117" i="5"/>
  <c r="K70" i="5"/>
  <c r="K66" i="5"/>
  <c r="K47" i="5"/>
  <c r="K97" i="5"/>
  <c r="K68" i="5"/>
  <c r="K77" i="5"/>
  <c r="L5" i="5"/>
  <c r="C15" i="4"/>
  <c r="B15" i="4"/>
  <c r="D15" i="4" s="1"/>
  <c r="A16" i="4"/>
  <c r="G14" i="4"/>
  <c r="C100" i="5"/>
  <c r="D25" i="5"/>
  <c r="D63" i="5"/>
  <c r="D59" i="5"/>
  <c r="D126" i="5"/>
  <c r="E110" i="5"/>
  <c r="F20" i="5"/>
  <c r="I23" i="6"/>
  <c r="J23" i="6" s="1"/>
  <c r="A17" i="4" l="1"/>
  <c r="C16" i="4"/>
  <c r="E16" i="4" s="1"/>
  <c r="B16" i="4"/>
  <c r="L152" i="5"/>
  <c r="L117" i="5"/>
  <c r="L146" i="5"/>
  <c r="L97" i="5"/>
  <c r="L70" i="5"/>
  <c r="L77" i="5"/>
  <c r="L66" i="5"/>
  <c r="L47" i="5"/>
  <c r="L68" i="5"/>
  <c r="M5" i="5"/>
  <c r="L38" i="5"/>
  <c r="F25" i="6"/>
  <c r="A26" i="6"/>
  <c r="N25" i="6"/>
  <c r="B25" i="6"/>
  <c r="H25" i="6"/>
  <c r="G25" i="6"/>
  <c r="I25" i="6" s="1"/>
  <c r="E15" i="4"/>
  <c r="F15" i="4" s="1"/>
  <c r="A31" i="1"/>
  <c r="C30" i="1"/>
  <c r="G15" i="4"/>
  <c r="C73" i="5"/>
  <c r="C106" i="5"/>
  <c r="D100" i="5"/>
  <c r="C22" i="5"/>
  <c r="E126" i="5"/>
  <c r="E25" i="5"/>
  <c r="E63" i="5"/>
  <c r="E59" i="5"/>
  <c r="F110" i="5"/>
  <c r="G20" i="5"/>
  <c r="J25" i="6" l="1"/>
  <c r="D16" i="4"/>
  <c r="F16" i="4" s="1"/>
  <c r="G16" i="4"/>
  <c r="D106" i="5"/>
  <c r="D73" i="5"/>
  <c r="C107" i="5"/>
  <c r="C93" i="5"/>
  <c r="D22" i="5"/>
  <c r="C57" i="5"/>
  <c r="C113" i="5"/>
  <c r="E100" i="5"/>
  <c r="F59" i="5"/>
  <c r="F25" i="5"/>
  <c r="F63" i="5"/>
  <c r="F126" i="5"/>
  <c r="G110" i="5"/>
  <c r="H20" i="5"/>
  <c r="B17" i="4"/>
  <c r="D17" i="4" s="1"/>
  <c r="A18" i="4"/>
  <c r="C17" i="4"/>
  <c r="M25" i="6"/>
  <c r="N26" i="6"/>
  <c r="B26" i="6"/>
  <c r="H26" i="6"/>
  <c r="F26" i="6"/>
  <c r="A27" i="6"/>
  <c r="G26" i="6"/>
  <c r="M26" i="6" s="1"/>
  <c r="C31" i="1"/>
  <c r="A32" i="1"/>
  <c r="M146" i="5"/>
  <c r="M136" i="5"/>
  <c r="M152" i="5"/>
  <c r="M96" i="5"/>
  <c r="M97" i="5"/>
  <c r="M117" i="5"/>
  <c r="M77" i="5"/>
  <c r="M68" i="5"/>
  <c r="M49" i="5"/>
  <c r="M70" i="5"/>
  <c r="M38" i="5"/>
  <c r="M47" i="5"/>
  <c r="M66" i="5"/>
  <c r="N5" i="5"/>
  <c r="N152" i="5" l="1"/>
  <c r="N146" i="5"/>
  <c r="N136" i="5"/>
  <c r="N120" i="5"/>
  <c r="N135" i="5"/>
  <c r="N117" i="5"/>
  <c r="N96" i="5"/>
  <c r="N97" i="5"/>
  <c r="N112" i="5"/>
  <c r="N77" i="5"/>
  <c r="N49" i="5"/>
  <c r="N70" i="5"/>
  <c r="N66" i="5"/>
  <c r="N38" i="5"/>
  <c r="N68" i="5"/>
  <c r="N28" i="5"/>
  <c r="N43" i="5"/>
  <c r="O5" i="5"/>
  <c r="N47" i="5"/>
  <c r="I26" i="6"/>
  <c r="J26" i="6" s="1"/>
  <c r="G17" i="4"/>
  <c r="C129" i="5"/>
  <c r="D57" i="5"/>
  <c r="D93" i="5"/>
  <c r="C42" i="5"/>
  <c r="D113" i="5"/>
  <c r="D107" i="5"/>
  <c r="C41" i="5"/>
  <c r="E73" i="5"/>
  <c r="E106" i="5"/>
  <c r="E22" i="5"/>
  <c r="F100" i="5"/>
  <c r="G25" i="5"/>
  <c r="G63" i="5"/>
  <c r="G126" i="5"/>
  <c r="G59" i="5"/>
  <c r="H110" i="5"/>
  <c r="I20" i="5"/>
  <c r="C32" i="1"/>
  <c r="A33" i="1"/>
  <c r="I27" i="6"/>
  <c r="J27" i="6" s="1"/>
  <c r="H27" i="6"/>
  <c r="G27" i="6"/>
  <c r="M27" i="6" s="1"/>
  <c r="F27" i="6"/>
  <c r="N27" i="6"/>
  <c r="B27" i="6"/>
  <c r="A28" i="6"/>
  <c r="E17" i="4"/>
  <c r="F17" i="4" s="1"/>
  <c r="C18" i="4"/>
  <c r="B18" i="4"/>
  <c r="D18" i="4" s="1"/>
  <c r="A19" i="4"/>
  <c r="O152" i="5" l="1"/>
  <c r="O146" i="5"/>
  <c r="O120" i="5"/>
  <c r="O135" i="5"/>
  <c r="O136" i="5"/>
  <c r="O130" i="5"/>
  <c r="O96" i="5"/>
  <c r="O97" i="5"/>
  <c r="O117" i="5"/>
  <c r="O77" i="5"/>
  <c r="O66" i="5"/>
  <c r="O90" i="5"/>
  <c r="O108" i="5"/>
  <c r="O70" i="5"/>
  <c r="O112" i="5"/>
  <c r="O68" i="5"/>
  <c r="O38" i="5"/>
  <c r="O43" i="5"/>
  <c r="O28" i="5"/>
  <c r="O47" i="5"/>
  <c r="O49" i="5"/>
  <c r="O15" i="5"/>
  <c r="P5" i="5"/>
  <c r="A34" i="1"/>
  <c r="C33" i="1"/>
  <c r="F28" i="6"/>
  <c r="A29" i="6"/>
  <c r="N28" i="6"/>
  <c r="B28" i="6"/>
  <c r="I28" i="6"/>
  <c r="H28" i="6"/>
  <c r="J28" i="6" s="1"/>
  <c r="M28" i="6"/>
  <c r="G28" i="6"/>
  <c r="A20" i="4"/>
  <c r="C19" i="4"/>
  <c r="E19" i="4" s="1"/>
  <c r="B19" i="4"/>
  <c r="F18" i="4"/>
  <c r="E18" i="4"/>
  <c r="G18" i="4"/>
  <c r="C53" i="5"/>
  <c r="D41" i="5"/>
  <c r="C149" i="5"/>
  <c r="C125" i="5"/>
  <c r="C92" i="5"/>
  <c r="D129" i="5"/>
  <c r="D42" i="5"/>
  <c r="E93" i="5"/>
  <c r="E57" i="5"/>
  <c r="E113" i="5"/>
  <c r="E107" i="5"/>
  <c r="F22" i="5"/>
  <c r="F106" i="5"/>
  <c r="F73" i="5"/>
  <c r="G100" i="5"/>
  <c r="H25" i="5"/>
  <c r="H59" i="5"/>
  <c r="H126" i="5"/>
  <c r="H63" i="5"/>
  <c r="I110" i="5"/>
  <c r="J20" i="5"/>
  <c r="P142" i="5" l="1"/>
  <c r="P152" i="5"/>
  <c r="P146" i="5"/>
  <c r="P136" i="5"/>
  <c r="P135" i="5"/>
  <c r="P130" i="5"/>
  <c r="P99" i="5"/>
  <c r="P120" i="5"/>
  <c r="P117" i="5"/>
  <c r="P96" i="5"/>
  <c r="P97" i="5"/>
  <c r="P87" i="5"/>
  <c r="P112" i="5"/>
  <c r="P77" i="5"/>
  <c r="P66" i="5"/>
  <c r="P90" i="5"/>
  <c r="P70" i="5"/>
  <c r="P108" i="5"/>
  <c r="P43" i="5"/>
  <c r="P68" i="5"/>
  <c r="P49" i="5"/>
  <c r="P24" i="5"/>
  <c r="P38" i="5"/>
  <c r="P28" i="5"/>
  <c r="P15" i="5"/>
  <c r="Q5" i="5"/>
  <c r="P47" i="5"/>
  <c r="D19" i="4"/>
  <c r="F19" i="4" s="1"/>
  <c r="C34" i="1"/>
  <c r="A35" i="1"/>
  <c r="G19" i="4"/>
  <c r="C56" i="5"/>
  <c r="D149" i="5"/>
  <c r="D92" i="5"/>
  <c r="C84" i="5"/>
  <c r="C141" i="5"/>
  <c r="D53" i="5"/>
  <c r="C6" i="5"/>
  <c r="C58" i="5"/>
  <c r="C119" i="5"/>
  <c r="D125" i="5"/>
  <c r="C45" i="5"/>
  <c r="C48" i="5"/>
  <c r="C39" i="5"/>
  <c r="C105" i="5"/>
  <c r="E129" i="5"/>
  <c r="E41" i="5"/>
  <c r="E42" i="5"/>
  <c r="F113" i="5"/>
  <c r="F93" i="5"/>
  <c r="F107" i="5"/>
  <c r="F57" i="5"/>
  <c r="G73" i="5"/>
  <c r="G22" i="5"/>
  <c r="G106" i="5"/>
  <c r="H100" i="5"/>
  <c r="I25" i="5"/>
  <c r="I59" i="5"/>
  <c r="I63" i="5"/>
  <c r="I126" i="5"/>
  <c r="J110" i="5"/>
  <c r="K20" i="5"/>
  <c r="C20" i="4"/>
  <c r="B20" i="4"/>
  <c r="D20" i="4" s="1"/>
  <c r="A21" i="4"/>
  <c r="N29" i="6"/>
  <c r="B29" i="6"/>
  <c r="H29" i="6"/>
  <c r="F29" i="6"/>
  <c r="A30" i="6"/>
  <c r="G29" i="6"/>
  <c r="I29" i="6" s="1"/>
  <c r="J29" i="6" l="1"/>
  <c r="M29" i="6"/>
  <c r="G20" i="4"/>
  <c r="C35" i="5"/>
  <c r="D45" i="5"/>
  <c r="D84" i="5"/>
  <c r="C46" i="5"/>
  <c r="C16" i="5"/>
  <c r="D6" i="5"/>
  <c r="D105" i="5"/>
  <c r="D141" i="5"/>
  <c r="D39" i="5"/>
  <c r="C145" i="5"/>
  <c r="D58" i="5"/>
  <c r="C30" i="5"/>
  <c r="C124" i="5"/>
  <c r="D119" i="5"/>
  <c r="D48" i="5"/>
  <c r="D56" i="5"/>
  <c r="E149" i="5"/>
  <c r="E53" i="5"/>
  <c r="E125" i="5"/>
  <c r="E92" i="5"/>
  <c r="F42" i="5"/>
  <c r="F129" i="5"/>
  <c r="F41" i="5"/>
  <c r="G113" i="5"/>
  <c r="G107" i="5"/>
  <c r="G57" i="5"/>
  <c r="G93" i="5"/>
  <c r="H106" i="5"/>
  <c r="H73" i="5"/>
  <c r="H22" i="5"/>
  <c r="I100" i="5"/>
  <c r="J126" i="5"/>
  <c r="J25" i="5"/>
  <c r="J59" i="5"/>
  <c r="J63" i="5"/>
  <c r="K110" i="5"/>
  <c r="L20" i="5"/>
  <c r="H30" i="6"/>
  <c r="G30" i="6"/>
  <c r="I30" i="6" s="1"/>
  <c r="J30" i="6" s="1"/>
  <c r="F30" i="6"/>
  <c r="N30" i="6"/>
  <c r="B30" i="6"/>
  <c r="M30" i="6"/>
  <c r="A31" i="6"/>
  <c r="Q152" i="5"/>
  <c r="Q142" i="5"/>
  <c r="Q146" i="5"/>
  <c r="Q151" i="5"/>
  <c r="Q135" i="5"/>
  <c r="Q130" i="5"/>
  <c r="Q136" i="5"/>
  <c r="Q99" i="5"/>
  <c r="Q120" i="5"/>
  <c r="Q117" i="5"/>
  <c r="Q112" i="5"/>
  <c r="Q96" i="5"/>
  <c r="Q97" i="5"/>
  <c r="Q87" i="5"/>
  <c r="Q108" i="5"/>
  <c r="Q90" i="5"/>
  <c r="Q77" i="5"/>
  <c r="Q66" i="5"/>
  <c r="Q68" i="5"/>
  <c r="Q70" i="5"/>
  <c r="Q49" i="5"/>
  <c r="Q24" i="5"/>
  <c r="Q38" i="5"/>
  <c r="Q28" i="5"/>
  <c r="Q43" i="5"/>
  <c r="Q51" i="5"/>
  <c r="Q15" i="5"/>
  <c r="R5" i="5"/>
  <c r="Q47" i="5"/>
  <c r="E20" i="4"/>
  <c r="F20" i="4" s="1"/>
  <c r="A22" i="4"/>
  <c r="C21" i="4"/>
  <c r="E21" i="4" s="1"/>
  <c r="B21" i="4"/>
  <c r="A36" i="1"/>
  <c r="C35" i="1"/>
  <c r="D21" i="4" l="1"/>
  <c r="F21" i="4" s="1"/>
  <c r="G21" i="4"/>
  <c r="D16" i="5"/>
  <c r="C94" i="5"/>
  <c r="D124" i="5"/>
  <c r="C111" i="5"/>
  <c r="C104" i="5"/>
  <c r="C123" i="5"/>
  <c r="D35" i="5"/>
  <c r="D30" i="5"/>
  <c r="C55" i="5"/>
  <c r="C148" i="5"/>
  <c r="D46" i="5"/>
  <c r="C34" i="5"/>
  <c r="C118" i="5"/>
  <c r="D145" i="5"/>
  <c r="E119" i="5"/>
  <c r="E58" i="5"/>
  <c r="E6" i="5"/>
  <c r="E84" i="5"/>
  <c r="E56" i="5"/>
  <c r="E39" i="5"/>
  <c r="E105" i="5"/>
  <c r="E48" i="5"/>
  <c r="E141" i="5"/>
  <c r="E45" i="5"/>
  <c r="F92" i="5"/>
  <c r="F149" i="5"/>
  <c r="F125" i="5"/>
  <c r="F53" i="5"/>
  <c r="G129" i="5"/>
  <c r="G41" i="5"/>
  <c r="G42" i="5"/>
  <c r="H113" i="5"/>
  <c r="H93" i="5"/>
  <c r="H57" i="5"/>
  <c r="H107" i="5"/>
  <c r="I22" i="5"/>
  <c r="I73" i="5"/>
  <c r="I106" i="5"/>
  <c r="J100" i="5"/>
  <c r="K126" i="5"/>
  <c r="K25" i="5"/>
  <c r="K63" i="5"/>
  <c r="K59" i="5"/>
  <c r="L110" i="5"/>
  <c r="M20" i="5"/>
  <c r="C22" i="4"/>
  <c r="B22" i="4"/>
  <c r="D22" i="4" s="1"/>
  <c r="A23" i="4"/>
  <c r="F31" i="6"/>
  <c r="A32" i="6"/>
  <c r="N31" i="6"/>
  <c r="B31" i="6"/>
  <c r="H31" i="6"/>
  <c r="G31" i="6"/>
  <c r="I31" i="6" s="1"/>
  <c r="J31" i="6" s="1"/>
  <c r="R152" i="5"/>
  <c r="R151" i="5"/>
  <c r="R146" i="5"/>
  <c r="R142" i="5"/>
  <c r="R135" i="5"/>
  <c r="R112" i="5"/>
  <c r="R130" i="5"/>
  <c r="R136" i="5"/>
  <c r="R120" i="5"/>
  <c r="R117" i="5"/>
  <c r="R128" i="5"/>
  <c r="R97" i="5"/>
  <c r="R85" i="5"/>
  <c r="R87" i="5"/>
  <c r="R98" i="5"/>
  <c r="R89" i="5"/>
  <c r="R108" i="5"/>
  <c r="R90" i="5"/>
  <c r="R99" i="5"/>
  <c r="R96" i="5"/>
  <c r="R77" i="5"/>
  <c r="R66" i="5"/>
  <c r="R68" i="5"/>
  <c r="R83" i="5"/>
  <c r="R70" i="5"/>
  <c r="R43" i="5"/>
  <c r="R51" i="5"/>
  <c r="R38" i="5"/>
  <c r="R15" i="5"/>
  <c r="R28" i="5"/>
  <c r="R47" i="5"/>
  <c r="S5" i="5"/>
  <c r="R49" i="5"/>
  <c r="R24" i="5"/>
  <c r="A37" i="1"/>
  <c r="C36" i="1"/>
  <c r="M31" i="6" l="1"/>
  <c r="N32" i="6"/>
  <c r="B32" i="6"/>
  <c r="H32" i="6"/>
  <c r="F32" i="6"/>
  <c r="A33" i="6"/>
  <c r="G32" i="6"/>
  <c r="M32" i="6" s="1"/>
  <c r="S151" i="5"/>
  <c r="S152" i="5"/>
  <c r="S146" i="5"/>
  <c r="S155" i="5"/>
  <c r="S130" i="5"/>
  <c r="S142" i="5"/>
  <c r="S135" i="5"/>
  <c r="S112" i="5"/>
  <c r="S136" i="5"/>
  <c r="S128" i="5"/>
  <c r="S120" i="5"/>
  <c r="S117" i="5"/>
  <c r="S115" i="5"/>
  <c r="S87" i="5"/>
  <c r="S98" i="5"/>
  <c r="S89" i="5"/>
  <c r="S108" i="5"/>
  <c r="S90" i="5"/>
  <c r="S97" i="5"/>
  <c r="S77" i="5"/>
  <c r="S85" i="5"/>
  <c r="S66" i="5"/>
  <c r="S68" i="5"/>
  <c r="S83" i="5"/>
  <c r="S70" i="5"/>
  <c r="S99" i="5"/>
  <c r="S43" i="5"/>
  <c r="S96" i="5"/>
  <c r="S51" i="5"/>
  <c r="S38" i="5"/>
  <c r="S15" i="5"/>
  <c r="S28" i="5"/>
  <c r="S47" i="5"/>
  <c r="S50" i="5"/>
  <c r="S49" i="5"/>
  <c r="T5" i="5"/>
  <c r="S24" i="5"/>
  <c r="A24" i="4"/>
  <c r="C23" i="4"/>
  <c r="B23" i="4"/>
  <c r="D23" i="4" s="1"/>
  <c r="G22" i="4"/>
  <c r="D148" i="5"/>
  <c r="C65" i="5"/>
  <c r="C78" i="5"/>
  <c r="D118" i="5"/>
  <c r="C40" i="5"/>
  <c r="D123" i="5"/>
  <c r="D111" i="5"/>
  <c r="D104" i="5"/>
  <c r="D34" i="5"/>
  <c r="C36" i="5"/>
  <c r="C131" i="5"/>
  <c r="C7" i="5"/>
  <c r="D94" i="5"/>
  <c r="D55" i="5"/>
  <c r="C14" i="5"/>
  <c r="E124" i="5"/>
  <c r="E46" i="5"/>
  <c r="E35" i="5"/>
  <c r="E30" i="5"/>
  <c r="E16" i="5"/>
  <c r="E145" i="5"/>
  <c r="F84" i="5"/>
  <c r="F39" i="5"/>
  <c r="F48" i="5"/>
  <c r="F6" i="5"/>
  <c r="F119" i="5"/>
  <c r="F58" i="5"/>
  <c r="F141" i="5"/>
  <c r="F105" i="5"/>
  <c r="F56" i="5"/>
  <c r="F45" i="5"/>
  <c r="G125" i="5"/>
  <c r="G92" i="5"/>
  <c r="G53" i="5"/>
  <c r="G149" i="5"/>
  <c r="H129" i="5"/>
  <c r="H41" i="5"/>
  <c r="H42" i="5"/>
  <c r="I57" i="5"/>
  <c r="I93" i="5"/>
  <c r="I113" i="5"/>
  <c r="I107" i="5"/>
  <c r="J106" i="5"/>
  <c r="J73" i="5"/>
  <c r="J22" i="5"/>
  <c r="K100" i="5"/>
  <c r="L126" i="5"/>
  <c r="L59" i="5"/>
  <c r="L63" i="5"/>
  <c r="L25" i="5"/>
  <c r="M110" i="5"/>
  <c r="N20" i="5"/>
  <c r="C37" i="1"/>
  <c r="A38" i="1"/>
  <c r="E22" i="4"/>
  <c r="F22" i="4" s="1"/>
  <c r="A25" i="4" l="1"/>
  <c r="B24" i="4"/>
  <c r="C24" i="4"/>
  <c r="E24" i="4" s="1"/>
  <c r="G23" i="4"/>
  <c r="D40" i="5"/>
  <c r="C88" i="5"/>
  <c r="D14" i="5"/>
  <c r="D131" i="5"/>
  <c r="D78" i="5"/>
  <c r="C121" i="5"/>
  <c r="C122" i="5"/>
  <c r="C82" i="5"/>
  <c r="D7" i="5"/>
  <c r="D36" i="5"/>
  <c r="C114" i="5"/>
  <c r="C132" i="5"/>
  <c r="C101" i="5"/>
  <c r="C75" i="5"/>
  <c r="D65" i="5"/>
  <c r="E55" i="5"/>
  <c r="E34" i="5"/>
  <c r="E94" i="5"/>
  <c r="E123" i="5"/>
  <c r="E111" i="5"/>
  <c r="E148" i="5"/>
  <c r="E104" i="5"/>
  <c r="E118" i="5"/>
  <c r="F46" i="5"/>
  <c r="F145" i="5"/>
  <c r="F124" i="5"/>
  <c r="F35" i="5"/>
  <c r="F16" i="5"/>
  <c r="F30" i="5"/>
  <c r="G56" i="5"/>
  <c r="G48" i="5"/>
  <c r="G39" i="5"/>
  <c r="G141" i="5"/>
  <c r="G45" i="5"/>
  <c r="G105" i="5"/>
  <c r="G84" i="5"/>
  <c r="G119" i="5"/>
  <c r="G58" i="5"/>
  <c r="G6" i="5"/>
  <c r="H92" i="5"/>
  <c r="H53" i="5"/>
  <c r="H149" i="5"/>
  <c r="H125" i="5"/>
  <c r="I41" i="5"/>
  <c r="I129" i="5"/>
  <c r="I42" i="5"/>
  <c r="J113" i="5"/>
  <c r="J107" i="5"/>
  <c r="J57" i="5"/>
  <c r="J93" i="5"/>
  <c r="K106" i="5"/>
  <c r="K22" i="5"/>
  <c r="K73" i="5"/>
  <c r="L100" i="5"/>
  <c r="M126" i="5"/>
  <c r="M59" i="5"/>
  <c r="M25" i="5"/>
  <c r="M63" i="5"/>
  <c r="N110" i="5"/>
  <c r="O20" i="5"/>
  <c r="I32" i="6"/>
  <c r="J32" i="6" s="1"/>
  <c r="A39" i="1"/>
  <c r="C38" i="1"/>
  <c r="T152" i="5"/>
  <c r="T155" i="5"/>
  <c r="T146" i="5"/>
  <c r="T151" i="5"/>
  <c r="T142" i="5"/>
  <c r="T140" i="5"/>
  <c r="T136" i="5"/>
  <c r="T130" i="5"/>
  <c r="T128" i="5"/>
  <c r="T153" i="5"/>
  <c r="T135" i="5"/>
  <c r="T120" i="5"/>
  <c r="T117" i="5"/>
  <c r="T112" i="5"/>
  <c r="T115" i="5"/>
  <c r="T109" i="5"/>
  <c r="T87" i="5"/>
  <c r="T98" i="5"/>
  <c r="T89" i="5"/>
  <c r="T108" i="5"/>
  <c r="T90" i="5"/>
  <c r="T99" i="5"/>
  <c r="T96" i="5"/>
  <c r="T85" i="5"/>
  <c r="T66" i="5"/>
  <c r="T68" i="5"/>
  <c r="T83" i="5"/>
  <c r="T70" i="5"/>
  <c r="T97" i="5"/>
  <c r="T43" i="5"/>
  <c r="T47" i="5"/>
  <c r="T49" i="5"/>
  <c r="T15" i="5"/>
  <c r="T28" i="5"/>
  <c r="T77" i="5"/>
  <c r="T38" i="5"/>
  <c r="T51" i="5"/>
  <c r="U5" i="5"/>
  <c r="T50" i="5"/>
  <c r="T24" i="5"/>
  <c r="E23" i="4"/>
  <c r="F23" i="4" s="1"/>
  <c r="I33" i="6"/>
  <c r="H33" i="6"/>
  <c r="J33" i="6" s="1"/>
  <c r="G33" i="6"/>
  <c r="F33" i="6"/>
  <c r="N33" i="6"/>
  <c r="B33" i="6"/>
  <c r="M33" i="6"/>
  <c r="A34" i="6"/>
  <c r="D24" i="4" l="1"/>
  <c r="F24" i="4" s="1"/>
  <c r="F34" i="6"/>
  <c r="A35" i="6"/>
  <c r="N34" i="6"/>
  <c r="B34" i="6"/>
  <c r="I34" i="6"/>
  <c r="J34" i="6" s="1"/>
  <c r="H34" i="6"/>
  <c r="M34" i="6"/>
  <c r="G34" i="6"/>
  <c r="C25" i="4"/>
  <c r="E25" i="4" s="1"/>
  <c r="B25" i="4"/>
  <c r="A26" i="4"/>
  <c r="G24" i="4"/>
  <c r="C12" i="5"/>
  <c r="D121" i="5"/>
  <c r="D75" i="5"/>
  <c r="D82" i="5"/>
  <c r="D122" i="5"/>
  <c r="C71" i="5"/>
  <c r="D132" i="5"/>
  <c r="D88" i="5"/>
  <c r="C13" i="5"/>
  <c r="D114" i="5"/>
  <c r="C19" i="5"/>
  <c r="D101" i="5"/>
  <c r="C10" i="5"/>
  <c r="E65" i="5"/>
  <c r="E40" i="5"/>
  <c r="E14" i="5"/>
  <c r="E7" i="5"/>
  <c r="E131" i="5"/>
  <c r="E78" i="5"/>
  <c r="E36" i="5"/>
  <c r="F94" i="5"/>
  <c r="F104" i="5"/>
  <c r="F118" i="5"/>
  <c r="F111" i="5"/>
  <c r="F55" i="5"/>
  <c r="F148" i="5"/>
  <c r="F34" i="5"/>
  <c r="F123" i="5"/>
  <c r="G30" i="5"/>
  <c r="G124" i="5"/>
  <c r="G46" i="5"/>
  <c r="G145" i="5"/>
  <c r="G35" i="5"/>
  <c r="G16" i="5"/>
  <c r="H105" i="5"/>
  <c r="H84" i="5"/>
  <c r="H58" i="5"/>
  <c r="H48" i="5"/>
  <c r="H56" i="5"/>
  <c r="H141" i="5"/>
  <c r="H119" i="5"/>
  <c r="H45" i="5"/>
  <c r="H39" i="5"/>
  <c r="H6" i="5"/>
  <c r="I125" i="5"/>
  <c r="I53" i="5"/>
  <c r="I149" i="5"/>
  <c r="I92" i="5"/>
  <c r="J42" i="5"/>
  <c r="J41" i="5"/>
  <c r="J129" i="5"/>
  <c r="K113" i="5"/>
  <c r="K107" i="5"/>
  <c r="K57" i="5"/>
  <c r="K93" i="5"/>
  <c r="L22" i="5"/>
  <c r="L106" i="5"/>
  <c r="L73" i="5"/>
  <c r="M100" i="5"/>
  <c r="N59" i="5"/>
  <c r="N126" i="5"/>
  <c r="N25" i="5"/>
  <c r="N63" i="5"/>
  <c r="O110" i="5"/>
  <c r="P20" i="5"/>
  <c r="U153" i="5"/>
  <c r="U146" i="5"/>
  <c r="U155" i="5"/>
  <c r="U152" i="5"/>
  <c r="U142" i="5"/>
  <c r="U138" i="5"/>
  <c r="U135" i="5"/>
  <c r="U140" i="5"/>
  <c r="U115" i="5"/>
  <c r="U136" i="5"/>
  <c r="U130" i="5"/>
  <c r="U128" i="5"/>
  <c r="U151" i="5"/>
  <c r="U117" i="5"/>
  <c r="U116" i="5"/>
  <c r="U112" i="5"/>
  <c r="U109" i="5"/>
  <c r="U137" i="5"/>
  <c r="U98" i="5"/>
  <c r="U89" i="5"/>
  <c r="U77" i="5"/>
  <c r="U120" i="5"/>
  <c r="U108" i="5"/>
  <c r="U90" i="5"/>
  <c r="U91" i="5"/>
  <c r="U97" i="5"/>
  <c r="U68" i="5"/>
  <c r="U83" i="5"/>
  <c r="U87" i="5"/>
  <c r="U70" i="5"/>
  <c r="U96" i="5"/>
  <c r="U47" i="5"/>
  <c r="U49" i="5"/>
  <c r="U85" i="5"/>
  <c r="U50" i="5"/>
  <c r="U66" i="5"/>
  <c r="U28" i="5"/>
  <c r="U43" i="5"/>
  <c r="U99" i="5"/>
  <c r="V5" i="5"/>
  <c r="U52" i="5"/>
  <c r="U24" i="5"/>
  <c r="U38" i="5"/>
  <c r="U51" i="5"/>
  <c r="U15" i="5"/>
  <c r="A40" i="1"/>
  <c r="C39" i="1"/>
  <c r="G25" i="4" l="1"/>
  <c r="C67" i="5"/>
  <c r="D13" i="5"/>
  <c r="D10" i="5"/>
  <c r="C27" i="5"/>
  <c r="D71" i="5"/>
  <c r="C72" i="5"/>
  <c r="D12" i="5"/>
  <c r="C144" i="5"/>
  <c r="C86" i="5"/>
  <c r="C11" i="5"/>
  <c r="C64" i="5"/>
  <c r="C21" i="5"/>
  <c r="D19" i="5"/>
  <c r="C26" i="5"/>
  <c r="C79" i="5"/>
  <c r="E122" i="5"/>
  <c r="E101" i="5"/>
  <c r="E82" i="5"/>
  <c r="E114" i="5"/>
  <c r="E132" i="5"/>
  <c r="E121" i="5"/>
  <c r="E88" i="5"/>
  <c r="E75" i="5"/>
  <c r="F14" i="5"/>
  <c r="F78" i="5"/>
  <c r="F36" i="5"/>
  <c r="F7" i="5"/>
  <c r="F40" i="5"/>
  <c r="F65" i="5"/>
  <c r="F131" i="5"/>
  <c r="G118" i="5"/>
  <c r="G111" i="5"/>
  <c r="G123" i="5"/>
  <c r="G94" i="5"/>
  <c r="G104" i="5"/>
  <c r="G34" i="5"/>
  <c r="G55" i="5"/>
  <c r="G148" i="5"/>
  <c r="H46" i="5"/>
  <c r="H16" i="5"/>
  <c r="H35" i="5"/>
  <c r="H30" i="5"/>
  <c r="H145" i="5"/>
  <c r="H124" i="5"/>
  <c r="I105" i="5"/>
  <c r="I56" i="5"/>
  <c r="I58" i="5"/>
  <c r="I84" i="5"/>
  <c r="I48" i="5"/>
  <c r="I119" i="5"/>
  <c r="I39" i="5"/>
  <c r="I141" i="5"/>
  <c r="I45" i="5"/>
  <c r="I6" i="5"/>
  <c r="J149" i="5"/>
  <c r="J53" i="5"/>
  <c r="J92" i="5"/>
  <c r="J125" i="5"/>
  <c r="K129" i="5"/>
  <c r="K41" i="5"/>
  <c r="K42" i="5"/>
  <c r="L57" i="5"/>
  <c r="L107" i="5"/>
  <c r="L113" i="5"/>
  <c r="L93" i="5"/>
  <c r="M73" i="5"/>
  <c r="M106" i="5"/>
  <c r="M22" i="5"/>
  <c r="N100" i="5"/>
  <c r="O126" i="5"/>
  <c r="O59" i="5"/>
  <c r="O25" i="5"/>
  <c r="O63" i="5"/>
  <c r="P110" i="5"/>
  <c r="Q20" i="5"/>
  <c r="A27" i="4"/>
  <c r="B26" i="4"/>
  <c r="C26" i="4"/>
  <c r="E26" i="4" s="1"/>
  <c r="D25" i="4"/>
  <c r="F25" i="4" s="1"/>
  <c r="N35" i="6"/>
  <c r="B35" i="6"/>
  <c r="H35" i="6"/>
  <c r="F35" i="6"/>
  <c r="A36" i="6"/>
  <c r="G35" i="6"/>
  <c r="M35" i="6" s="1"/>
  <c r="C40" i="1"/>
  <c r="A41" i="1"/>
  <c r="V153" i="5"/>
  <c r="V147" i="5"/>
  <c r="V136" i="5"/>
  <c r="V151" i="5"/>
  <c r="V140" i="5"/>
  <c r="V142" i="5"/>
  <c r="V139" i="5"/>
  <c r="V138" i="5"/>
  <c r="V135" i="5"/>
  <c r="V137" i="5"/>
  <c r="V146" i="5"/>
  <c r="V155" i="5"/>
  <c r="V115" i="5"/>
  <c r="V130" i="5"/>
  <c r="V116" i="5"/>
  <c r="V117" i="5"/>
  <c r="V152" i="5"/>
  <c r="V128" i="5"/>
  <c r="V120" i="5"/>
  <c r="V112" i="5"/>
  <c r="V108" i="5"/>
  <c r="V98" i="5"/>
  <c r="V89" i="5"/>
  <c r="V90" i="5"/>
  <c r="V91" i="5"/>
  <c r="V109" i="5"/>
  <c r="V68" i="5"/>
  <c r="V83" i="5"/>
  <c r="V80" i="5"/>
  <c r="V87" i="5"/>
  <c r="V70" i="5"/>
  <c r="V97" i="5"/>
  <c r="V96" i="5"/>
  <c r="V99" i="5"/>
  <c r="V47" i="5"/>
  <c r="V49" i="5"/>
  <c r="V85" i="5"/>
  <c r="V50" i="5"/>
  <c r="V77" i="5"/>
  <c r="V76" i="5"/>
  <c r="V51" i="5"/>
  <c r="V43" i="5"/>
  <c r="V66" i="5"/>
  <c r="V52" i="5"/>
  <c r="V38" i="5"/>
  <c r="V28" i="5"/>
  <c r="W5" i="5"/>
  <c r="V24" i="5"/>
  <c r="V15" i="5"/>
  <c r="W155" i="5" l="1"/>
  <c r="W136" i="5"/>
  <c r="W137" i="5"/>
  <c r="W138" i="5"/>
  <c r="W151" i="5"/>
  <c r="W153" i="5"/>
  <c r="W152" i="5"/>
  <c r="W146" i="5"/>
  <c r="W140" i="5"/>
  <c r="W130" i="5"/>
  <c r="W116" i="5"/>
  <c r="W139" i="5"/>
  <c r="W117" i="5"/>
  <c r="W128" i="5"/>
  <c r="W142" i="5"/>
  <c r="W120" i="5"/>
  <c r="W147" i="5"/>
  <c r="W112" i="5"/>
  <c r="W135" i="5"/>
  <c r="W108" i="5"/>
  <c r="W109" i="5"/>
  <c r="W115" i="5"/>
  <c r="W90" i="5"/>
  <c r="W91" i="5"/>
  <c r="W80" i="5"/>
  <c r="W95" i="5"/>
  <c r="W99" i="5"/>
  <c r="W96" i="5"/>
  <c r="W98" i="5"/>
  <c r="W83" i="5"/>
  <c r="W87" i="5"/>
  <c r="W70" i="5"/>
  <c r="W97" i="5"/>
  <c r="W76" i="5"/>
  <c r="W85" i="5"/>
  <c r="W77" i="5"/>
  <c r="W66" i="5"/>
  <c r="W89" i="5"/>
  <c r="W47" i="5"/>
  <c r="W49" i="5"/>
  <c r="W68" i="5"/>
  <c r="W50" i="5"/>
  <c r="W51" i="5"/>
  <c r="W52" i="5"/>
  <c r="W43" i="5"/>
  <c r="W33" i="5"/>
  <c r="W24" i="5"/>
  <c r="W28" i="5"/>
  <c r="W44" i="5"/>
  <c r="W38" i="5"/>
  <c r="W37" i="5"/>
  <c r="W15" i="5"/>
  <c r="X5" i="5"/>
  <c r="G26" i="4"/>
  <c r="D21" i="5"/>
  <c r="D72" i="5"/>
  <c r="C81" i="5"/>
  <c r="C23" i="5"/>
  <c r="D26" i="5"/>
  <c r="D86" i="5"/>
  <c r="C133" i="5"/>
  <c r="D64" i="5"/>
  <c r="D27" i="5"/>
  <c r="D144" i="5"/>
  <c r="C134" i="5"/>
  <c r="D79" i="5"/>
  <c r="C154" i="5"/>
  <c r="D67" i="5"/>
  <c r="D11" i="5"/>
  <c r="E12" i="5"/>
  <c r="E10" i="5"/>
  <c r="E13" i="5"/>
  <c r="E71" i="5"/>
  <c r="E19" i="5"/>
  <c r="F114" i="5"/>
  <c r="F101" i="5"/>
  <c r="F121" i="5"/>
  <c r="F122" i="5"/>
  <c r="F75" i="5"/>
  <c r="F88" i="5"/>
  <c r="F132" i="5"/>
  <c r="F82" i="5"/>
  <c r="G7" i="5"/>
  <c r="G36" i="5"/>
  <c r="G131" i="5"/>
  <c r="G14" i="5"/>
  <c r="G40" i="5"/>
  <c r="G78" i="5"/>
  <c r="G65" i="5"/>
  <c r="H94" i="5"/>
  <c r="H34" i="5"/>
  <c r="H55" i="5"/>
  <c r="H104" i="5"/>
  <c r="H123" i="5"/>
  <c r="H111" i="5"/>
  <c r="H148" i="5"/>
  <c r="H118" i="5"/>
  <c r="I124" i="5"/>
  <c r="I16" i="5"/>
  <c r="I46" i="5"/>
  <c r="I35" i="5"/>
  <c r="I30" i="5"/>
  <c r="I145" i="5"/>
  <c r="J58" i="5"/>
  <c r="J48" i="5"/>
  <c r="J39" i="5"/>
  <c r="J105" i="5"/>
  <c r="J141" i="5"/>
  <c r="J6" i="5"/>
  <c r="J45" i="5"/>
  <c r="J56" i="5"/>
  <c r="J84" i="5"/>
  <c r="J119" i="5"/>
  <c r="K125" i="5"/>
  <c r="K92" i="5"/>
  <c r="K53" i="5"/>
  <c r="K149" i="5"/>
  <c r="L42" i="5"/>
  <c r="L41" i="5"/>
  <c r="L129" i="5"/>
  <c r="M57" i="5"/>
  <c r="M113" i="5"/>
  <c r="M107" i="5"/>
  <c r="M93" i="5"/>
  <c r="N73" i="5"/>
  <c r="N106" i="5"/>
  <c r="N22" i="5"/>
  <c r="O100" i="5"/>
  <c r="P25" i="5"/>
  <c r="P126" i="5"/>
  <c r="P63" i="5"/>
  <c r="P59" i="5"/>
  <c r="Q110" i="5"/>
  <c r="R20" i="5"/>
  <c r="C41" i="1"/>
  <c r="A42" i="1"/>
  <c r="D26" i="4"/>
  <c r="F26" i="4" s="1"/>
  <c r="H36" i="6"/>
  <c r="G36" i="6"/>
  <c r="M36" i="6" s="1"/>
  <c r="N36" i="6"/>
  <c r="B36" i="6"/>
  <c r="A37" i="6"/>
  <c r="C27" i="4"/>
  <c r="E27" i="4" s="1"/>
  <c r="B27" i="4"/>
  <c r="A28" i="4"/>
  <c r="I35" i="6"/>
  <c r="J35" i="6" s="1"/>
  <c r="X155" i="5" l="1"/>
  <c r="X137" i="5"/>
  <c r="X150" i="5"/>
  <c r="X138" i="5"/>
  <c r="X139" i="5"/>
  <c r="X153" i="5"/>
  <c r="X142" i="5"/>
  <c r="X152" i="5"/>
  <c r="X135" i="5"/>
  <c r="X146" i="5"/>
  <c r="X140" i="5"/>
  <c r="X151" i="5"/>
  <c r="X147" i="5"/>
  <c r="X117" i="5"/>
  <c r="X136" i="5"/>
  <c r="X128" i="5"/>
  <c r="X120" i="5"/>
  <c r="X130" i="5"/>
  <c r="X116" i="5"/>
  <c r="X112" i="5"/>
  <c r="X108" i="5"/>
  <c r="X109" i="5"/>
  <c r="X115" i="5"/>
  <c r="X91" i="5"/>
  <c r="X80" i="5"/>
  <c r="X95" i="5"/>
  <c r="X83" i="5"/>
  <c r="X99" i="5"/>
  <c r="X96" i="5"/>
  <c r="X97" i="5"/>
  <c r="X87" i="5"/>
  <c r="X70" i="5"/>
  <c r="X61" i="5"/>
  <c r="X90" i="5"/>
  <c r="X76" i="5"/>
  <c r="X98" i="5"/>
  <c r="X47" i="5"/>
  <c r="X49" i="5"/>
  <c r="X68" i="5"/>
  <c r="X50" i="5"/>
  <c r="X85" i="5"/>
  <c r="X51" i="5"/>
  <c r="X77" i="5"/>
  <c r="X52" i="5"/>
  <c r="X31" i="5"/>
  <c r="X69" i="5"/>
  <c r="X43" i="5"/>
  <c r="X33" i="5"/>
  <c r="X89" i="5"/>
  <c r="X54" i="5"/>
  <c r="X66" i="5"/>
  <c r="X24" i="5"/>
  <c r="X44" i="5"/>
  <c r="X37" i="5"/>
  <c r="X28" i="5"/>
  <c r="X8" i="5"/>
  <c r="X29" i="5"/>
  <c r="X9" i="5"/>
  <c r="X38" i="5"/>
  <c r="X15" i="5"/>
  <c r="Y5" i="5"/>
  <c r="X18" i="5"/>
  <c r="I36" i="6"/>
  <c r="J36" i="6" s="1"/>
  <c r="F37" i="6"/>
  <c r="A38" i="6"/>
  <c r="E37" i="6"/>
  <c r="P37" i="6"/>
  <c r="D37" i="6"/>
  <c r="O37" i="6"/>
  <c r="C37" i="6"/>
  <c r="N37" i="6"/>
  <c r="B37" i="6"/>
  <c r="L37" i="6"/>
  <c r="J37" i="6"/>
  <c r="I37" i="6"/>
  <c r="H37" i="6"/>
  <c r="M37" i="6"/>
  <c r="K37" i="6"/>
  <c r="G37" i="6"/>
  <c r="A29" i="4"/>
  <c r="C28" i="4"/>
  <c r="B28" i="4"/>
  <c r="D28" i="4" s="1"/>
  <c r="D27" i="4"/>
  <c r="F27" i="4" s="1"/>
  <c r="A43" i="1"/>
  <c r="C42" i="1"/>
  <c r="G27" i="4"/>
  <c r="C32" i="5"/>
  <c r="C74" i="5"/>
  <c r="D81" i="5"/>
  <c r="C60" i="5"/>
  <c r="D23" i="5"/>
  <c r="C103" i="5"/>
  <c r="C127" i="5"/>
  <c r="C62" i="5"/>
  <c r="C143" i="5"/>
  <c r="D154" i="5"/>
  <c r="C102" i="5"/>
  <c r="D134" i="5"/>
  <c r="D133" i="5"/>
  <c r="C17" i="5"/>
  <c r="E144" i="5"/>
  <c r="E86" i="5"/>
  <c r="E21" i="5"/>
  <c r="E79" i="5"/>
  <c r="E72" i="5"/>
  <c r="E67" i="5"/>
  <c r="E11" i="5"/>
  <c r="E64" i="5"/>
  <c r="E27" i="5"/>
  <c r="E26" i="5"/>
  <c r="F13" i="5"/>
  <c r="F19" i="5"/>
  <c r="F71" i="5"/>
  <c r="F12" i="5"/>
  <c r="F10" i="5"/>
  <c r="G82" i="5"/>
  <c r="G88" i="5"/>
  <c r="G75" i="5"/>
  <c r="G122" i="5"/>
  <c r="G121" i="5"/>
  <c r="G132" i="5"/>
  <c r="G101" i="5"/>
  <c r="G114" i="5"/>
  <c r="H131" i="5"/>
  <c r="H14" i="5"/>
  <c r="H40" i="5"/>
  <c r="H78" i="5"/>
  <c r="H65" i="5"/>
  <c r="H36" i="5"/>
  <c r="H7" i="5"/>
  <c r="I94" i="5"/>
  <c r="I118" i="5"/>
  <c r="I123" i="5"/>
  <c r="I111" i="5"/>
  <c r="I104" i="5"/>
  <c r="I55" i="5"/>
  <c r="I148" i="5"/>
  <c r="I34" i="5"/>
  <c r="J30" i="5"/>
  <c r="J35" i="5"/>
  <c r="J124" i="5"/>
  <c r="J145" i="5"/>
  <c r="J16" i="5"/>
  <c r="J46" i="5"/>
  <c r="K45" i="5"/>
  <c r="K39" i="5"/>
  <c r="K119" i="5"/>
  <c r="K56" i="5"/>
  <c r="K84" i="5"/>
  <c r="K48" i="5"/>
  <c r="K58" i="5"/>
  <c r="K6" i="5"/>
  <c r="K141" i="5"/>
  <c r="K105" i="5"/>
  <c r="L125" i="5"/>
  <c r="L53" i="5"/>
  <c r="L92" i="5"/>
  <c r="L149" i="5"/>
  <c r="M42" i="5"/>
  <c r="M41" i="5"/>
  <c r="M129" i="5"/>
  <c r="N57" i="5"/>
  <c r="N93" i="5"/>
  <c r="N107" i="5"/>
  <c r="N113" i="5"/>
  <c r="O73" i="5"/>
  <c r="O106" i="5"/>
  <c r="O22" i="5"/>
  <c r="P100" i="5"/>
  <c r="Q63" i="5"/>
  <c r="Q25" i="5"/>
  <c r="Q59" i="5"/>
  <c r="Q126" i="5"/>
  <c r="R110" i="5"/>
  <c r="S20" i="5"/>
  <c r="Y150" i="5" l="1"/>
  <c r="Y151" i="5"/>
  <c r="Y138" i="5"/>
  <c r="Y139" i="5"/>
  <c r="Y155" i="5"/>
  <c r="Y140" i="5"/>
  <c r="Y143" i="5"/>
  <c r="Y152" i="5"/>
  <c r="Y146" i="5"/>
  <c r="Y147" i="5"/>
  <c r="Y153" i="5"/>
  <c r="Y142" i="5"/>
  <c r="Y137" i="5"/>
  <c r="Y136" i="5"/>
  <c r="Y128" i="5"/>
  <c r="Y120" i="5"/>
  <c r="Y135" i="5"/>
  <c r="Y116" i="5"/>
  <c r="Y112" i="5"/>
  <c r="Y117" i="5"/>
  <c r="Y108" i="5"/>
  <c r="Y109" i="5"/>
  <c r="Y115" i="5"/>
  <c r="Y127" i="5"/>
  <c r="Y103" i="5"/>
  <c r="Y80" i="5"/>
  <c r="Y95" i="5"/>
  <c r="Y99" i="5"/>
  <c r="Y96" i="5"/>
  <c r="Y130" i="5"/>
  <c r="Y97" i="5"/>
  <c r="Y98" i="5"/>
  <c r="Y102" i="5"/>
  <c r="Y91" i="5"/>
  <c r="Y60" i="5"/>
  <c r="Y61" i="5"/>
  <c r="Y90" i="5"/>
  <c r="Y74" i="5"/>
  <c r="Y62" i="5"/>
  <c r="Y76" i="5"/>
  <c r="Y85" i="5"/>
  <c r="Y77" i="5"/>
  <c r="Y89" i="5"/>
  <c r="Y68" i="5"/>
  <c r="Y87" i="5"/>
  <c r="Y49" i="5"/>
  <c r="Y50" i="5"/>
  <c r="Y51" i="5"/>
  <c r="Y52" i="5"/>
  <c r="Y66" i="5"/>
  <c r="Y54" i="5"/>
  <c r="Y83" i="5"/>
  <c r="Y69" i="5"/>
  <c r="Y43" i="5"/>
  <c r="Y32" i="5"/>
  <c r="Y33" i="5"/>
  <c r="Y47" i="5"/>
  <c r="Y24" i="5"/>
  <c r="Y44" i="5"/>
  <c r="Y37" i="5"/>
  <c r="Y38" i="5"/>
  <c r="Y70" i="5"/>
  <c r="Y29" i="5"/>
  <c r="Y31" i="5"/>
  <c r="Y8" i="5"/>
  <c r="Y9" i="5"/>
  <c r="Y28" i="5"/>
  <c r="Y17" i="5"/>
  <c r="Y15" i="5"/>
  <c r="Z5" i="5"/>
  <c r="Y18" i="5"/>
  <c r="N38" i="6"/>
  <c r="B38" i="6"/>
  <c r="M38" i="6"/>
  <c r="L38" i="6"/>
  <c r="K38" i="6"/>
  <c r="J38" i="6"/>
  <c r="H38" i="6"/>
  <c r="F38" i="6"/>
  <c r="A39" i="6"/>
  <c r="E38" i="6"/>
  <c r="P38" i="6"/>
  <c r="D38" i="6"/>
  <c r="C38" i="6"/>
  <c r="O38" i="6"/>
  <c r="G38" i="6"/>
  <c r="I38" i="6"/>
  <c r="B29" i="4"/>
  <c r="A30" i="4"/>
  <c r="C29" i="4"/>
  <c r="E29" i="4" s="1"/>
  <c r="G28" i="4"/>
  <c r="C31" i="5"/>
  <c r="D32" i="5"/>
  <c r="D17" i="5"/>
  <c r="D60" i="5"/>
  <c r="D74" i="5"/>
  <c r="C8" i="5"/>
  <c r="D102" i="5"/>
  <c r="C150" i="5"/>
  <c r="D127" i="5"/>
  <c r="C69" i="5"/>
  <c r="D103" i="5"/>
  <c r="D143" i="5"/>
  <c r="C29" i="5"/>
  <c r="C61" i="5"/>
  <c r="C54" i="5"/>
  <c r="C9" i="5"/>
  <c r="C18" i="5"/>
  <c r="D62" i="5"/>
  <c r="E134" i="5"/>
  <c r="E81" i="5"/>
  <c r="E133" i="5"/>
  <c r="E23" i="5"/>
  <c r="C16" i="6"/>
  <c r="E154" i="5"/>
  <c r="F27" i="5"/>
  <c r="F21" i="5"/>
  <c r="F86" i="5"/>
  <c r="F79" i="5"/>
  <c r="F11" i="5"/>
  <c r="F144" i="5"/>
  <c r="F67" i="5"/>
  <c r="F72" i="5"/>
  <c r="F64" i="5"/>
  <c r="F26" i="5"/>
  <c r="G19" i="5"/>
  <c r="G12" i="5"/>
  <c r="G13" i="5"/>
  <c r="G10" i="5"/>
  <c r="G71" i="5"/>
  <c r="H88" i="5"/>
  <c r="H132" i="5"/>
  <c r="H122" i="5"/>
  <c r="H114" i="5"/>
  <c r="H75" i="5"/>
  <c r="H101" i="5"/>
  <c r="H82" i="5"/>
  <c r="H121" i="5"/>
  <c r="I36" i="5"/>
  <c r="I65" i="5"/>
  <c r="I78" i="5"/>
  <c r="I14" i="5"/>
  <c r="I131" i="5"/>
  <c r="I7" i="5"/>
  <c r="I40" i="5"/>
  <c r="J104" i="5"/>
  <c r="J118" i="5"/>
  <c r="J94" i="5"/>
  <c r="J34" i="5"/>
  <c r="J148" i="5"/>
  <c r="J111" i="5"/>
  <c r="J55" i="5"/>
  <c r="J123" i="5"/>
  <c r="K124" i="5"/>
  <c r="K35" i="5"/>
  <c r="K46" i="5"/>
  <c r="K16" i="5"/>
  <c r="K145" i="5"/>
  <c r="K30" i="5"/>
  <c r="L56" i="5"/>
  <c r="L39" i="5"/>
  <c r="L58" i="5"/>
  <c r="L48" i="5"/>
  <c r="L119" i="5"/>
  <c r="L6" i="5"/>
  <c r="L84" i="5"/>
  <c r="L45" i="5"/>
  <c r="L105" i="5"/>
  <c r="L141" i="5"/>
  <c r="M125" i="5"/>
  <c r="M92" i="5"/>
  <c r="M149" i="5"/>
  <c r="M53" i="5"/>
  <c r="N41" i="5"/>
  <c r="N42" i="5"/>
  <c r="N129" i="5"/>
  <c r="O57" i="5"/>
  <c r="O93" i="5"/>
  <c r="O107" i="5"/>
  <c r="O113" i="5"/>
  <c r="P22" i="5"/>
  <c r="P106" i="5"/>
  <c r="P73" i="5"/>
  <c r="Q100" i="5"/>
  <c r="R59" i="5"/>
  <c r="R63" i="5"/>
  <c r="R126" i="5"/>
  <c r="R25" i="5"/>
  <c r="S110" i="5"/>
  <c r="T20" i="5"/>
  <c r="C43" i="1"/>
  <c r="A44" i="1"/>
  <c r="E28" i="4"/>
  <c r="F28" i="4" s="1"/>
  <c r="A45" i="1" l="1"/>
  <c r="C44" i="1"/>
  <c r="G29" i="4"/>
  <c r="D9" i="5"/>
  <c r="D31" i="5"/>
  <c r="C95" i="5"/>
  <c r="D8" i="5"/>
  <c r="D18" i="5"/>
  <c r="D54" i="5"/>
  <c r="D61" i="5"/>
  <c r="C37" i="5"/>
  <c r="D150" i="5"/>
  <c r="C44" i="5"/>
  <c r="D69" i="5"/>
  <c r="D29" i="5"/>
  <c r="C33" i="5"/>
  <c r="E103" i="5"/>
  <c r="E60" i="5"/>
  <c r="E143" i="5"/>
  <c r="E62" i="5"/>
  <c r="E17" i="5"/>
  <c r="E32" i="5"/>
  <c r="C17" i="6"/>
  <c r="E127" i="5"/>
  <c r="E74" i="5"/>
  <c r="E102" i="5"/>
  <c r="F134" i="5"/>
  <c r="F23" i="5"/>
  <c r="F81" i="5"/>
  <c r="F154" i="5"/>
  <c r="F133" i="5"/>
  <c r="G79" i="5"/>
  <c r="G72" i="5"/>
  <c r="G27" i="5"/>
  <c r="G64" i="5"/>
  <c r="G67" i="5"/>
  <c r="G26" i="5"/>
  <c r="G144" i="5"/>
  <c r="G21" i="5"/>
  <c r="G86" i="5"/>
  <c r="G11" i="5"/>
  <c r="H19" i="5"/>
  <c r="H12" i="5"/>
  <c r="H13" i="5"/>
  <c r="H71" i="5"/>
  <c r="H10" i="5"/>
  <c r="I122" i="5"/>
  <c r="I75" i="5"/>
  <c r="I132" i="5"/>
  <c r="I121" i="5"/>
  <c r="I114" i="5"/>
  <c r="I101" i="5"/>
  <c r="I88" i="5"/>
  <c r="I82" i="5"/>
  <c r="J36" i="5"/>
  <c r="J14" i="5"/>
  <c r="J78" i="5"/>
  <c r="J40" i="5"/>
  <c r="J7" i="5"/>
  <c r="J131" i="5"/>
  <c r="J65" i="5"/>
  <c r="K123" i="5"/>
  <c r="K111" i="5"/>
  <c r="K104" i="5"/>
  <c r="K148" i="5"/>
  <c r="K55" i="5"/>
  <c r="K94" i="5"/>
  <c r="K34" i="5"/>
  <c r="K118" i="5"/>
  <c r="L46" i="5"/>
  <c r="L145" i="5"/>
  <c r="L30" i="5"/>
  <c r="L124" i="5"/>
  <c r="L35" i="5"/>
  <c r="L16" i="5"/>
  <c r="M48" i="5"/>
  <c r="M6" i="5"/>
  <c r="M119" i="5"/>
  <c r="M56" i="5"/>
  <c r="M39" i="5"/>
  <c r="M84" i="5"/>
  <c r="M58" i="5"/>
  <c r="M141" i="5"/>
  <c r="M105" i="5"/>
  <c r="M45" i="5"/>
  <c r="N53" i="5"/>
  <c r="N125" i="5"/>
  <c r="N92" i="5"/>
  <c r="N149" i="5"/>
  <c r="O42" i="5"/>
  <c r="O41" i="5"/>
  <c r="O129" i="5"/>
  <c r="P113" i="5"/>
  <c r="P107" i="5"/>
  <c r="P93" i="5"/>
  <c r="P57" i="5"/>
  <c r="Q106" i="5"/>
  <c r="Q73" i="5"/>
  <c r="Q22" i="5"/>
  <c r="R100" i="5"/>
  <c r="S25" i="5"/>
  <c r="S59" i="5"/>
  <c r="S63" i="5"/>
  <c r="S126" i="5"/>
  <c r="T110" i="5"/>
  <c r="U20" i="5"/>
  <c r="C30" i="4"/>
  <c r="B30" i="4"/>
  <c r="D30" i="4" s="1"/>
  <c r="A31" i="4"/>
  <c r="E16" i="6"/>
  <c r="D16" i="6"/>
  <c r="K16" i="6" s="1"/>
  <c r="L16" i="6" s="1"/>
  <c r="D29" i="4"/>
  <c r="F29" i="4" s="1"/>
  <c r="J39" i="6"/>
  <c r="I39" i="6"/>
  <c r="H39" i="6"/>
  <c r="G39" i="6"/>
  <c r="F39" i="6"/>
  <c r="P39" i="6"/>
  <c r="D39" i="6"/>
  <c r="N39" i="6"/>
  <c r="B39" i="6"/>
  <c r="M39" i="6"/>
  <c r="L39" i="6"/>
  <c r="A40" i="6"/>
  <c r="O39" i="6"/>
  <c r="E39" i="6"/>
  <c r="C39" i="6"/>
  <c r="K39" i="6"/>
  <c r="Z155" i="5"/>
  <c r="Z151" i="5"/>
  <c r="Z152" i="5"/>
  <c r="Z150" i="5"/>
  <c r="Z139" i="5"/>
  <c r="Z154" i="5"/>
  <c r="Z140" i="5"/>
  <c r="Z153" i="5"/>
  <c r="Z143" i="5"/>
  <c r="Z146" i="5"/>
  <c r="Z147" i="5"/>
  <c r="Z120" i="5"/>
  <c r="Z142" i="5"/>
  <c r="Z138" i="5"/>
  <c r="Z133" i="5"/>
  <c r="Z127" i="5"/>
  <c r="Z130" i="5"/>
  <c r="Z136" i="5"/>
  <c r="Z128" i="5"/>
  <c r="Z117" i="5"/>
  <c r="Z108" i="5"/>
  <c r="Z109" i="5"/>
  <c r="Z135" i="5"/>
  <c r="Z115" i="5"/>
  <c r="Z81" i="5"/>
  <c r="Z116" i="5"/>
  <c r="Z95" i="5"/>
  <c r="Z83" i="5"/>
  <c r="Z134" i="5"/>
  <c r="Z99" i="5"/>
  <c r="Z96" i="5"/>
  <c r="Z137" i="5"/>
  <c r="Z97" i="5"/>
  <c r="Z85" i="5"/>
  <c r="Z90" i="5"/>
  <c r="Z103" i="5"/>
  <c r="Z102" i="5"/>
  <c r="Z80" i="5"/>
  <c r="Z60" i="5"/>
  <c r="Z61" i="5"/>
  <c r="Z74" i="5"/>
  <c r="Z62" i="5"/>
  <c r="Z76" i="5"/>
  <c r="Z98" i="5"/>
  <c r="Z77" i="5"/>
  <c r="Z112" i="5"/>
  <c r="Z69" i="5"/>
  <c r="Z87" i="5"/>
  <c r="Z49" i="5"/>
  <c r="Z50" i="5"/>
  <c r="Z68" i="5"/>
  <c r="Z51" i="5"/>
  <c r="Z91" i="5"/>
  <c r="Z52" i="5"/>
  <c r="Z66" i="5"/>
  <c r="Z54" i="5"/>
  <c r="Z89" i="5"/>
  <c r="Z70" i="5"/>
  <c r="Z33" i="5"/>
  <c r="Z23" i="5"/>
  <c r="Z47" i="5"/>
  <c r="Z24" i="5"/>
  <c r="Z44" i="5"/>
  <c r="Z37" i="5"/>
  <c r="Z38" i="5"/>
  <c r="Z43" i="5"/>
  <c r="Z32" i="5"/>
  <c r="Z8" i="5"/>
  <c r="Z9" i="5"/>
  <c r="Z31" i="5"/>
  <c r="Z29" i="5"/>
  <c r="Z28" i="5"/>
  <c r="Z17" i="5"/>
  <c r="Z15" i="5"/>
  <c r="AA5" i="5"/>
  <c r="Z18" i="5"/>
  <c r="E30" i="4" l="1"/>
  <c r="A46" i="1"/>
  <c r="C45" i="1"/>
  <c r="D17" i="6"/>
  <c r="E17" i="6"/>
  <c r="F40" i="6"/>
  <c r="A41" i="6"/>
  <c r="E40" i="6"/>
  <c r="P40" i="6"/>
  <c r="D40" i="6"/>
  <c r="O40" i="6"/>
  <c r="C40" i="6"/>
  <c r="N40" i="6"/>
  <c r="B40" i="6"/>
  <c r="L40" i="6"/>
  <c r="J40" i="6"/>
  <c r="I40" i="6"/>
  <c r="H40" i="6"/>
  <c r="M40" i="6"/>
  <c r="K40" i="6"/>
  <c r="G40" i="6"/>
  <c r="P16" i="6"/>
  <c r="O16" i="6"/>
  <c r="F30" i="4"/>
  <c r="AA150" i="5"/>
  <c r="AA152" i="5"/>
  <c r="AA153" i="5"/>
  <c r="AA154" i="5"/>
  <c r="AA140" i="5"/>
  <c r="AA155" i="5"/>
  <c r="AA151" i="5"/>
  <c r="AA142" i="5"/>
  <c r="AA144" i="5"/>
  <c r="AA147" i="5"/>
  <c r="AA139" i="5"/>
  <c r="AA138" i="5"/>
  <c r="AA137" i="5"/>
  <c r="AA146" i="5"/>
  <c r="AA136" i="5"/>
  <c r="AA143" i="5"/>
  <c r="AA120" i="5"/>
  <c r="AA133" i="5"/>
  <c r="AA127" i="5"/>
  <c r="AA134" i="5"/>
  <c r="AA109" i="5"/>
  <c r="AA135" i="5"/>
  <c r="AA115" i="5"/>
  <c r="AA128" i="5"/>
  <c r="AA130" i="5"/>
  <c r="AA116" i="5"/>
  <c r="AA108" i="5"/>
  <c r="AA95" i="5"/>
  <c r="AA83" i="5"/>
  <c r="AA99" i="5"/>
  <c r="AA96" i="5"/>
  <c r="AA97" i="5"/>
  <c r="AA117" i="5"/>
  <c r="AA86" i="5"/>
  <c r="AA102" i="5"/>
  <c r="AA91" i="5"/>
  <c r="AA61" i="5"/>
  <c r="AA74" i="5"/>
  <c r="AA62" i="5"/>
  <c r="AA103" i="5"/>
  <c r="AA90" i="5"/>
  <c r="AA81" i="5"/>
  <c r="AA76" i="5"/>
  <c r="AA64" i="5"/>
  <c r="AA98" i="5"/>
  <c r="AA77" i="5"/>
  <c r="AA66" i="5"/>
  <c r="AA112" i="5"/>
  <c r="AA85" i="5"/>
  <c r="AA89" i="5"/>
  <c r="AA87" i="5"/>
  <c r="AA70" i="5"/>
  <c r="AA50" i="5"/>
  <c r="AA38" i="5"/>
  <c r="AA68" i="5"/>
  <c r="AA51" i="5"/>
  <c r="AA52" i="5"/>
  <c r="AA54" i="5"/>
  <c r="AA72" i="5"/>
  <c r="AA69" i="5"/>
  <c r="AA67" i="5"/>
  <c r="AA60" i="5"/>
  <c r="AA23" i="5"/>
  <c r="AA47" i="5"/>
  <c r="AA24" i="5"/>
  <c r="AA44" i="5"/>
  <c r="AA37" i="5"/>
  <c r="AA26" i="5"/>
  <c r="AA27" i="5"/>
  <c r="AA80" i="5"/>
  <c r="AA28" i="5"/>
  <c r="AA79" i="5"/>
  <c r="AA31" i="5"/>
  <c r="AA33" i="5"/>
  <c r="AA9" i="5"/>
  <c r="AA32" i="5"/>
  <c r="AA29" i="5"/>
  <c r="AA17" i="5"/>
  <c r="AA11" i="5"/>
  <c r="AA15" i="5"/>
  <c r="AA43" i="5"/>
  <c r="AB5" i="5"/>
  <c r="AA49" i="5"/>
  <c r="AA18" i="5"/>
  <c r="AA21" i="5"/>
  <c r="AA8" i="5"/>
  <c r="G30" i="4"/>
  <c r="C76" i="5"/>
  <c r="D33" i="5"/>
  <c r="C139" i="5"/>
  <c r="C147" i="5"/>
  <c r="D44" i="5"/>
  <c r="C80" i="5"/>
  <c r="D95" i="5"/>
  <c r="D37" i="5"/>
  <c r="E61" i="5"/>
  <c r="E18" i="5"/>
  <c r="E150" i="5"/>
  <c r="E9" i="5"/>
  <c r="E29" i="5"/>
  <c r="E31" i="5"/>
  <c r="E54" i="5"/>
  <c r="E8" i="5"/>
  <c r="C18" i="6"/>
  <c r="E69" i="5"/>
  <c r="F127" i="5"/>
  <c r="F60" i="5"/>
  <c r="F103" i="5"/>
  <c r="F102" i="5"/>
  <c r="F74" i="5"/>
  <c r="F62" i="5"/>
  <c r="F17" i="5"/>
  <c r="F32" i="5"/>
  <c r="F143" i="5"/>
  <c r="G81" i="5"/>
  <c r="G154" i="5"/>
  <c r="G134" i="5"/>
  <c r="G133" i="5"/>
  <c r="G23" i="5"/>
  <c r="H79" i="5"/>
  <c r="H144" i="5"/>
  <c r="H21" i="5"/>
  <c r="H72" i="5"/>
  <c r="H11" i="5"/>
  <c r="H86" i="5"/>
  <c r="H67" i="5"/>
  <c r="H26" i="5"/>
  <c r="H64" i="5"/>
  <c r="H27" i="5"/>
  <c r="I19" i="5"/>
  <c r="I12" i="5"/>
  <c r="I13" i="5"/>
  <c r="I10" i="5"/>
  <c r="I71" i="5"/>
  <c r="J82" i="5"/>
  <c r="J122" i="5"/>
  <c r="J101" i="5"/>
  <c r="J121" i="5"/>
  <c r="J88" i="5"/>
  <c r="J132" i="5"/>
  <c r="J114" i="5"/>
  <c r="J75" i="5"/>
  <c r="K40" i="5"/>
  <c r="K78" i="5"/>
  <c r="K14" i="5"/>
  <c r="K36" i="5"/>
  <c r="K131" i="5"/>
  <c r="K65" i="5"/>
  <c r="K7" i="5"/>
  <c r="L148" i="5"/>
  <c r="L123" i="5"/>
  <c r="L34" i="5"/>
  <c r="L118" i="5"/>
  <c r="L94" i="5"/>
  <c r="L55" i="5"/>
  <c r="L111" i="5"/>
  <c r="L104" i="5"/>
  <c r="M35" i="5"/>
  <c r="M124" i="5"/>
  <c r="M30" i="5"/>
  <c r="M16" i="5"/>
  <c r="M46" i="5"/>
  <c r="M145" i="5"/>
  <c r="N58" i="5"/>
  <c r="N56" i="5"/>
  <c r="N6" i="5"/>
  <c r="N141" i="5"/>
  <c r="N39" i="5"/>
  <c r="N119" i="5"/>
  <c r="N84" i="5"/>
  <c r="N105" i="5"/>
  <c r="N45" i="5"/>
  <c r="N48" i="5"/>
  <c r="O125" i="5"/>
  <c r="O92" i="5"/>
  <c r="O149" i="5"/>
  <c r="O53" i="5"/>
  <c r="P129" i="5"/>
  <c r="P41" i="5"/>
  <c r="P42" i="5"/>
  <c r="Q113" i="5"/>
  <c r="Q93" i="5"/>
  <c r="Q57" i="5"/>
  <c r="Q107" i="5"/>
  <c r="R22" i="5"/>
  <c r="R73" i="5"/>
  <c r="R106" i="5"/>
  <c r="S100" i="5"/>
  <c r="T126" i="5"/>
  <c r="T25" i="5"/>
  <c r="T59" i="5"/>
  <c r="T63" i="5"/>
  <c r="U110" i="5"/>
  <c r="V20" i="5"/>
  <c r="A32" i="4"/>
  <c r="C31" i="4"/>
  <c r="E31" i="4" s="1"/>
  <c r="B31" i="4"/>
  <c r="K17" i="6" l="1"/>
  <c r="L17" i="6" s="1"/>
  <c r="C46" i="1"/>
  <c r="A47" i="1"/>
  <c r="D31" i="4"/>
  <c r="F31" i="4" s="1"/>
  <c r="C32" i="4"/>
  <c r="B32" i="4"/>
  <c r="D32" i="4" s="1"/>
  <c r="A33" i="4"/>
  <c r="D18" i="6"/>
  <c r="E18" i="6"/>
  <c r="AB151" i="5"/>
  <c r="AB153" i="5"/>
  <c r="AB154" i="5"/>
  <c r="AB155" i="5"/>
  <c r="AB142" i="5"/>
  <c r="AB143" i="5"/>
  <c r="AB146" i="5"/>
  <c r="AB127" i="5"/>
  <c r="AB144" i="5"/>
  <c r="AB140" i="5"/>
  <c r="AB136" i="5"/>
  <c r="AB150" i="5"/>
  <c r="AB139" i="5"/>
  <c r="AB152" i="5"/>
  <c r="AB147" i="5"/>
  <c r="AB133" i="5"/>
  <c r="AB138" i="5"/>
  <c r="AB134" i="5"/>
  <c r="AB137" i="5"/>
  <c r="AB135" i="5"/>
  <c r="AB128" i="5"/>
  <c r="AB115" i="5"/>
  <c r="AB98" i="5"/>
  <c r="AB99" i="5"/>
  <c r="AB130" i="5"/>
  <c r="AB116" i="5"/>
  <c r="AB108" i="5"/>
  <c r="AB95" i="5"/>
  <c r="AB83" i="5"/>
  <c r="AB120" i="5"/>
  <c r="AB96" i="5"/>
  <c r="AB97" i="5"/>
  <c r="AB85" i="5"/>
  <c r="AB117" i="5"/>
  <c r="AB86" i="5"/>
  <c r="AB87" i="5"/>
  <c r="AB112" i="5"/>
  <c r="AB103" i="5"/>
  <c r="AB109" i="5"/>
  <c r="AB74" i="5"/>
  <c r="AB62" i="5"/>
  <c r="AB90" i="5"/>
  <c r="AB81" i="5"/>
  <c r="AB76" i="5"/>
  <c r="AB64" i="5"/>
  <c r="AB77" i="5"/>
  <c r="AB66" i="5"/>
  <c r="AB67" i="5"/>
  <c r="AB89" i="5"/>
  <c r="AB69" i="5"/>
  <c r="AB79" i="5"/>
  <c r="AB71" i="5"/>
  <c r="AB68" i="5"/>
  <c r="AB61" i="5"/>
  <c r="AB51" i="5"/>
  <c r="AB52" i="5"/>
  <c r="AB91" i="5"/>
  <c r="AB54" i="5"/>
  <c r="AB43" i="5"/>
  <c r="AB102" i="5"/>
  <c r="AB70" i="5"/>
  <c r="AB80" i="5"/>
  <c r="AB49" i="5"/>
  <c r="AB72" i="5"/>
  <c r="AB23" i="5"/>
  <c r="AB11" i="5"/>
  <c r="AB47" i="5"/>
  <c r="AB24" i="5"/>
  <c r="AB12" i="5"/>
  <c r="AB44" i="5"/>
  <c r="AB37" i="5"/>
  <c r="AB13" i="5"/>
  <c r="AB60" i="5"/>
  <c r="AB26" i="5"/>
  <c r="AB38" i="5"/>
  <c r="AB27" i="5"/>
  <c r="AB28" i="5"/>
  <c r="AB29" i="5"/>
  <c r="AB32" i="5"/>
  <c r="AB33" i="5"/>
  <c r="AB19" i="5"/>
  <c r="AB10" i="5"/>
  <c r="AB31" i="5"/>
  <c r="AB17" i="5"/>
  <c r="AB50" i="5"/>
  <c r="AB15" i="5"/>
  <c r="AC5" i="5"/>
  <c r="AB18" i="5"/>
  <c r="AB21" i="5"/>
  <c r="AB8" i="5"/>
  <c r="AB9" i="5"/>
  <c r="G31" i="4"/>
  <c r="C137" i="5"/>
  <c r="D139" i="5"/>
  <c r="C116" i="5"/>
  <c r="D76" i="5"/>
  <c r="C138" i="5"/>
  <c r="D147" i="5"/>
  <c r="D80" i="5"/>
  <c r="C91" i="5"/>
  <c r="C52" i="5"/>
  <c r="E95" i="5"/>
  <c r="E37" i="5"/>
  <c r="E44" i="5"/>
  <c r="E33" i="5"/>
  <c r="F150" i="5"/>
  <c r="F18" i="5"/>
  <c r="C19" i="6"/>
  <c r="F9" i="5"/>
  <c r="F69" i="5"/>
  <c r="F61" i="5"/>
  <c r="F29" i="5"/>
  <c r="F31" i="5"/>
  <c r="F8" i="5"/>
  <c r="F54" i="5"/>
  <c r="G17" i="5"/>
  <c r="G102" i="5"/>
  <c r="G62" i="5"/>
  <c r="G74" i="5"/>
  <c r="G143" i="5"/>
  <c r="G32" i="5"/>
  <c r="G60" i="5"/>
  <c r="G103" i="5"/>
  <c r="G127" i="5"/>
  <c r="H133" i="5"/>
  <c r="H134" i="5"/>
  <c r="H154" i="5"/>
  <c r="H23" i="5"/>
  <c r="H81" i="5"/>
  <c r="I67" i="5"/>
  <c r="I72" i="5"/>
  <c r="I86" i="5"/>
  <c r="I27" i="5"/>
  <c r="I64" i="5"/>
  <c r="I144" i="5"/>
  <c r="I21" i="5"/>
  <c r="I79" i="5"/>
  <c r="I11" i="5"/>
  <c r="I26" i="5"/>
  <c r="J13" i="5"/>
  <c r="J71" i="5"/>
  <c r="J10" i="5"/>
  <c r="J19" i="5"/>
  <c r="J12" i="5"/>
  <c r="K82" i="5"/>
  <c r="K132" i="5"/>
  <c r="K121" i="5"/>
  <c r="K114" i="5"/>
  <c r="K101" i="5"/>
  <c r="K88" i="5"/>
  <c r="K122" i="5"/>
  <c r="K75" i="5"/>
  <c r="L78" i="5"/>
  <c r="L65" i="5"/>
  <c r="L14" i="5"/>
  <c r="L131" i="5"/>
  <c r="L40" i="5"/>
  <c r="L7" i="5"/>
  <c r="L36" i="5"/>
  <c r="M104" i="5"/>
  <c r="M118" i="5"/>
  <c r="M123" i="5"/>
  <c r="M55" i="5"/>
  <c r="M34" i="5"/>
  <c r="M148" i="5"/>
  <c r="M94" i="5"/>
  <c r="M111" i="5"/>
  <c r="N35" i="5"/>
  <c r="N30" i="5"/>
  <c r="N145" i="5"/>
  <c r="N124" i="5"/>
  <c r="N46" i="5"/>
  <c r="N16" i="5"/>
  <c r="O6" i="5"/>
  <c r="O141" i="5"/>
  <c r="O105" i="5"/>
  <c r="O39" i="5"/>
  <c r="O119" i="5"/>
  <c r="O56" i="5"/>
  <c r="O58" i="5"/>
  <c r="O48" i="5"/>
  <c r="O45" i="5"/>
  <c r="O84" i="5"/>
  <c r="P125" i="5"/>
  <c r="P53" i="5"/>
  <c r="P149" i="5"/>
  <c r="P92" i="5"/>
  <c r="Q129" i="5"/>
  <c r="Q42" i="5"/>
  <c r="Q41" i="5"/>
  <c r="R113" i="5"/>
  <c r="R57" i="5"/>
  <c r="R93" i="5"/>
  <c r="R107" i="5"/>
  <c r="S73" i="5"/>
  <c r="S22" i="5"/>
  <c r="S106" i="5"/>
  <c r="T100" i="5"/>
  <c r="U59" i="5"/>
  <c r="U25" i="5"/>
  <c r="U126" i="5"/>
  <c r="U63" i="5"/>
  <c r="V110" i="5"/>
  <c r="W20" i="5"/>
  <c r="N41" i="6"/>
  <c r="B41" i="6"/>
  <c r="M41" i="6"/>
  <c r="L41" i="6"/>
  <c r="K41" i="6"/>
  <c r="J41" i="6"/>
  <c r="H41" i="6"/>
  <c r="F41" i="6"/>
  <c r="A42" i="6"/>
  <c r="E41" i="6"/>
  <c r="P41" i="6"/>
  <c r="D41" i="6"/>
  <c r="C41" i="6"/>
  <c r="O41" i="6"/>
  <c r="G41" i="6"/>
  <c r="I41" i="6"/>
  <c r="G32" i="4" l="1"/>
  <c r="D91" i="5"/>
  <c r="C140" i="5"/>
  <c r="C109" i="5"/>
  <c r="C153" i="5"/>
  <c r="D138" i="5"/>
  <c r="D116" i="5"/>
  <c r="D137" i="5"/>
  <c r="D52" i="5"/>
  <c r="E80" i="5"/>
  <c r="E76" i="5"/>
  <c r="E147" i="5"/>
  <c r="E139" i="5"/>
  <c r="F37" i="5"/>
  <c r="F44" i="5"/>
  <c r="F95" i="5"/>
  <c r="F33" i="5"/>
  <c r="G29" i="5"/>
  <c r="G8" i="5"/>
  <c r="G31" i="5"/>
  <c r="G150" i="5"/>
  <c r="G18" i="5"/>
  <c r="G54" i="5"/>
  <c r="G9" i="5"/>
  <c r="G69" i="5"/>
  <c r="G61" i="5"/>
  <c r="C20" i="6"/>
  <c r="H32" i="5"/>
  <c r="H60" i="5"/>
  <c r="H102" i="5"/>
  <c r="H143" i="5"/>
  <c r="H103" i="5"/>
  <c r="H17" i="5"/>
  <c r="H62" i="5"/>
  <c r="H127" i="5"/>
  <c r="H74" i="5"/>
  <c r="I133" i="5"/>
  <c r="I154" i="5"/>
  <c r="I81" i="5"/>
  <c r="I134" i="5"/>
  <c r="I23" i="5"/>
  <c r="J21" i="5"/>
  <c r="J27" i="5"/>
  <c r="J26" i="5"/>
  <c r="J67" i="5"/>
  <c r="J79" i="5"/>
  <c r="J64" i="5"/>
  <c r="J72" i="5"/>
  <c r="J11" i="5"/>
  <c r="J86" i="5"/>
  <c r="J144" i="5"/>
  <c r="K19" i="5"/>
  <c r="K12" i="5"/>
  <c r="K13" i="5"/>
  <c r="K10" i="5"/>
  <c r="K71" i="5"/>
  <c r="L88" i="5"/>
  <c r="L75" i="5"/>
  <c r="L132" i="5"/>
  <c r="L122" i="5"/>
  <c r="L121" i="5"/>
  <c r="L82" i="5"/>
  <c r="L114" i="5"/>
  <c r="L101" i="5"/>
  <c r="M40" i="5"/>
  <c r="M131" i="5"/>
  <c r="M65" i="5"/>
  <c r="M36" i="5"/>
  <c r="M7" i="5"/>
  <c r="M14" i="5"/>
  <c r="M78" i="5"/>
  <c r="N123" i="5"/>
  <c r="N118" i="5"/>
  <c r="N104" i="5"/>
  <c r="N148" i="5"/>
  <c r="N55" i="5"/>
  <c r="N94" i="5"/>
  <c r="N34" i="5"/>
  <c r="N111" i="5"/>
  <c r="O124" i="5"/>
  <c r="O35" i="5"/>
  <c r="O145" i="5"/>
  <c r="O30" i="5"/>
  <c r="O46" i="5"/>
  <c r="O16" i="5"/>
  <c r="P141" i="5"/>
  <c r="P105" i="5"/>
  <c r="P39" i="5"/>
  <c r="P58" i="5"/>
  <c r="P56" i="5"/>
  <c r="P45" i="5"/>
  <c r="P48" i="5"/>
  <c r="P6" i="5"/>
  <c r="P119" i="5"/>
  <c r="P84" i="5"/>
  <c r="Q92" i="5"/>
  <c r="Q125" i="5"/>
  <c r="Q53" i="5"/>
  <c r="Q149" i="5"/>
  <c r="R129" i="5"/>
  <c r="R42" i="5"/>
  <c r="R41" i="5"/>
  <c r="S107" i="5"/>
  <c r="S93" i="5"/>
  <c r="S57" i="5"/>
  <c r="S113" i="5"/>
  <c r="T106" i="5"/>
  <c r="T73" i="5"/>
  <c r="T22" i="5"/>
  <c r="U100" i="5"/>
  <c r="V126" i="5"/>
  <c r="V63" i="5"/>
  <c r="V59" i="5"/>
  <c r="V25" i="5"/>
  <c r="W110" i="5"/>
  <c r="X20" i="5"/>
  <c r="K18" i="6"/>
  <c r="L18" i="6" s="1"/>
  <c r="AC152" i="5"/>
  <c r="AC154" i="5"/>
  <c r="AC155" i="5"/>
  <c r="AC142" i="5"/>
  <c r="AC153" i="5"/>
  <c r="AC151" i="5"/>
  <c r="AC143" i="5"/>
  <c r="AC144" i="5"/>
  <c r="AC146" i="5"/>
  <c r="AC147" i="5"/>
  <c r="AC128" i="5"/>
  <c r="AC140" i="5"/>
  <c r="AC122" i="5"/>
  <c r="AC133" i="5"/>
  <c r="AC138" i="5"/>
  <c r="AC134" i="5"/>
  <c r="AC127" i="5"/>
  <c r="AC137" i="5"/>
  <c r="AC135" i="5"/>
  <c r="AC132" i="5"/>
  <c r="AC130" i="5"/>
  <c r="AC150" i="5"/>
  <c r="AC139" i="5"/>
  <c r="AC121" i="5"/>
  <c r="AC99" i="5"/>
  <c r="AC114" i="5"/>
  <c r="AC102" i="5"/>
  <c r="AC136" i="5"/>
  <c r="AC120" i="5"/>
  <c r="AC117" i="5"/>
  <c r="AC116" i="5"/>
  <c r="AC96" i="5"/>
  <c r="AC115" i="5"/>
  <c r="AC97" i="5"/>
  <c r="AC85" i="5"/>
  <c r="AC86" i="5"/>
  <c r="AC87" i="5"/>
  <c r="AC88" i="5"/>
  <c r="AC112" i="5"/>
  <c r="AC89" i="5"/>
  <c r="AC98" i="5"/>
  <c r="AC90" i="5"/>
  <c r="AC109" i="5"/>
  <c r="AC108" i="5"/>
  <c r="AC95" i="5"/>
  <c r="AC75" i="5"/>
  <c r="AC103" i="5"/>
  <c r="AC81" i="5"/>
  <c r="AC76" i="5"/>
  <c r="AC64" i="5"/>
  <c r="AC77" i="5"/>
  <c r="AC66" i="5"/>
  <c r="AC67" i="5"/>
  <c r="AC82" i="5"/>
  <c r="AC68" i="5"/>
  <c r="AC69" i="5"/>
  <c r="AC70" i="5"/>
  <c r="AC91" i="5"/>
  <c r="AC80" i="5"/>
  <c r="AC72" i="5"/>
  <c r="AC52" i="5"/>
  <c r="AC54" i="5"/>
  <c r="AC44" i="5"/>
  <c r="AC62" i="5"/>
  <c r="AC83" i="5"/>
  <c r="AC49" i="5"/>
  <c r="AC50" i="5"/>
  <c r="AC47" i="5"/>
  <c r="AC24" i="5"/>
  <c r="AC12" i="5"/>
  <c r="AC37" i="5"/>
  <c r="AC13" i="5"/>
  <c r="AC60" i="5"/>
  <c r="AC26" i="5"/>
  <c r="AC74" i="5"/>
  <c r="AC38" i="5"/>
  <c r="AC27" i="5"/>
  <c r="AC15" i="5"/>
  <c r="AC71" i="5"/>
  <c r="AC28" i="5"/>
  <c r="AC29" i="5"/>
  <c r="AC101" i="5"/>
  <c r="AC61" i="5"/>
  <c r="AC51" i="5"/>
  <c r="AC43" i="5"/>
  <c r="AC33" i="5"/>
  <c r="AC32" i="5"/>
  <c r="AC31" i="5"/>
  <c r="AC17" i="5"/>
  <c r="AC79" i="5"/>
  <c r="AC11" i="5"/>
  <c r="AD5" i="5"/>
  <c r="AC23" i="5"/>
  <c r="AC18" i="5"/>
  <c r="AC21" i="5"/>
  <c r="AC8" i="5"/>
  <c r="AC9" i="5"/>
  <c r="AC19" i="5"/>
  <c r="AC10" i="5"/>
  <c r="A34" i="4"/>
  <c r="C33" i="4"/>
  <c r="E33" i="4" s="1"/>
  <c r="B33" i="4"/>
  <c r="P17" i="6"/>
  <c r="O17" i="6"/>
  <c r="E32" i="4"/>
  <c r="F32" i="4" s="1"/>
  <c r="A48" i="1"/>
  <c r="C47" i="1"/>
  <c r="E19" i="6"/>
  <c r="D19" i="6"/>
  <c r="J42" i="6"/>
  <c r="I42" i="6"/>
  <c r="H42" i="6"/>
  <c r="G42" i="6"/>
  <c r="F42" i="6"/>
  <c r="P42" i="6"/>
  <c r="D42" i="6"/>
  <c r="N42" i="6"/>
  <c r="B42" i="6"/>
  <c r="M42" i="6"/>
  <c r="L42" i="6"/>
  <c r="A43" i="6"/>
  <c r="O42" i="6"/>
  <c r="E42" i="6"/>
  <c r="C42" i="6"/>
  <c r="K42" i="6"/>
  <c r="A49" i="1" l="1"/>
  <c r="C48" i="1"/>
  <c r="D33" i="4"/>
  <c r="F33" i="4" s="1"/>
  <c r="F43" i="6"/>
  <c r="A44" i="6"/>
  <c r="E43" i="6"/>
  <c r="P43" i="6"/>
  <c r="D43" i="6"/>
  <c r="O43" i="6"/>
  <c r="C43" i="6"/>
  <c r="N43" i="6"/>
  <c r="B43" i="6"/>
  <c r="L43" i="6"/>
  <c r="J43" i="6"/>
  <c r="I43" i="6"/>
  <c r="H43" i="6"/>
  <c r="M43" i="6"/>
  <c r="K43" i="6"/>
  <c r="G43" i="6"/>
  <c r="K19" i="6"/>
  <c r="L19" i="6" s="1"/>
  <c r="E20" i="6"/>
  <c r="D20" i="6"/>
  <c r="K20" i="6" s="1"/>
  <c r="L20" i="6" s="1"/>
  <c r="P18" i="6"/>
  <c r="O18" i="6"/>
  <c r="AD150" i="5"/>
  <c r="AD153" i="5"/>
  <c r="AD155" i="5"/>
  <c r="AD151" i="5"/>
  <c r="AD143" i="5"/>
  <c r="AD144" i="5"/>
  <c r="AD147" i="5"/>
  <c r="AD152" i="5"/>
  <c r="AD140" i="5"/>
  <c r="AD136" i="5"/>
  <c r="AD154" i="5"/>
  <c r="AD132" i="5"/>
  <c r="AD139" i="5"/>
  <c r="AD138" i="5"/>
  <c r="AD146" i="5"/>
  <c r="AD142" i="5"/>
  <c r="AD112" i="5"/>
  <c r="AD133" i="5"/>
  <c r="AD134" i="5"/>
  <c r="AD127" i="5"/>
  <c r="AD137" i="5"/>
  <c r="AD135" i="5"/>
  <c r="AD130" i="5"/>
  <c r="AD122" i="5"/>
  <c r="AD114" i="5"/>
  <c r="AD101" i="5"/>
  <c r="AD103" i="5"/>
  <c r="AD128" i="5"/>
  <c r="AD131" i="5"/>
  <c r="AD116" i="5"/>
  <c r="AD120" i="5"/>
  <c r="AD115" i="5"/>
  <c r="AD97" i="5"/>
  <c r="AD85" i="5"/>
  <c r="AD99" i="5"/>
  <c r="AD86" i="5"/>
  <c r="AD117" i="5"/>
  <c r="AD87" i="5"/>
  <c r="AD88" i="5"/>
  <c r="AD89" i="5"/>
  <c r="AD98" i="5"/>
  <c r="AD90" i="5"/>
  <c r="AD91" i="5"/>
  <c r="AD96" i="5"/>
  <c r="AD81" i="5"/>
  <c r="AD76" i="5"/>
  <c r="AD64" i="5"/>
  <c r="AD121" i="5"/>
  <c r="AD65" i="5"/>
  <c r="AD77" i="5"/>
  <c r="AD66" i="5"/>
  <c r="AD67" i="5"/>
  <c r="AD82" i="5"/>
  <c r="AD68" i="5"/>
  <c r="AD69" i="5"/>
  <c r="AD95" i="5"/>
  <c r="AD70" i="5"/>
  <c r="AD108" i="5"/>
  <c r="AD79" i="5"/>
  <c r="AD71" i="5"/>
  <c r="AD83" i="5"/>
  <c r="AD109" i="5"/>
  <c r="AD54" i="5"/>
  <c r="AD43" i="5"/>
  <c r="AD78" i="5"/>
  <c r="AD62" i="5"/>
  <c r="AD75" i="5"/>
  <c r="AD74" i="5"/>
  <c r="AD60" i="5"/>
  <c r="AD80" i="5"/>
  <c r="AD50" i="5"/>
  <c r="AD61" i="5"/>
  <c r="AD51" i="5"/>
  <c r="AD37" i="5"/>
  <c r="AD13" i="5"/>
  <c r="AD44" i="5"/>
  <c r="AD26" i="5"/>
  <c r="AD14" i="5"/>
  <c r="AD40" i="5"/>
  <c r="AD38" i="5"/>
  <c r="AD27" i="5"/>
  <c r="AD15" i="5"/>
  <c r="AD28" i="5"/>
  <c r="AD102" i="5"/>
  <c r="AD29" i="5"/>
  <c r="AD52" i="5"/>
  <c r="AD31" i="5"/>
  <c r="AD72" i="5"/>
  <c r="AD47" i="5"/>
  <c r="AD36" i="5"/>
  <c r="AD17" i="5"/>
  <c r="AD11" i="5"/>
  <c r="AD12" i="5"/>
  <c r="AE5" i="5"/>
  <c r="AD23" i="5"/>
  <c r="AD18" i="5"/>
  <c r="AD24" i="5"/>
  <c r="AD21" i="5"/>
  <c r="AD49" i="5"/>
  <c r="AD7" i="5"/>
  <c r="AD8" i="5"/>
  <c r="AD9" i="5"/>
  <c r="AD19" i="5"/>
  <c r="AD10" i="5"/>
  <c r="AD33" i="5"/>
  <c r="AD32" i="5"/>
  <c r="G33" i="4"/>
  <c r="D153" i="5"/>
  <c r="D109" i="5"/>
  <c r="C155" i="5"/>
  <c r="C115" i="5"/>
  <c r="C50" i="5"/>
  <c r="D140" i="5"/>
  <c r="E116" i="5"/>
  <c r="E52" i="5"/>
  <c r="E91" i="5"/>
  <c r="E138" i="5"/>
  <c r="E137" i="5"/>
  <c r="F76" i="5"/>
  <c r="F80" i="5"/>
  <c r="F139" i="5"/>
  <c r="F147" i="5"/>
  <c r="G95" i="5"/>
  <c r="G33" i="5"/>
  <c r="G44" i="5"/>
  <c r="G37" i="5"/>
  <c r="H61" i="5"/>
  <c r="H8" i="5"/>
  <c r="H54" i="5"/>
  <c r="H9" i="5"/>
  <c r="H18" i="5"/>
  <c r="H69" i="5"/>
  <c r="H29" i="5"/>
  <c r="C21" i="6"/>
  <c r="H31" i="5"/>
  <c r="H150" i="5"/>
  <c r="I60" i="5"/>
  <c r="I17" i="5"/>
  <c r="I102" i="5"/>
  <c r="I32" i="5"/>
  <c r="I103" i="5"/>
  <c r="I74" i="5"/>
  <c r="I62" i="5"/>
  <c r="I143" i="5"/>
  <c r="I127" i="5"/>
  <c r="J154" i="5"/>
  <c r="J134" i="5"/>
  <c r="J23" i="5"/>
  <c r="J81" i="5"/>
  <c r="J133" i="5"/>
  <c r="K144" i="5"/>
  <c r="K21" i="5"/>
  <c r="K67" i="5"/>
  <c r="K79" i="5"/>
  <c r="K26" i="5"/>
  <c r="K72" i="5"/>
  <c r="K64" i="5"/>
  <c r="K11" i="5"/>
  <c r="K27" i="5"/>
  <c r="K86" i="5"/>
  <c r="L10" i="5"/>
  <c r="L71" i="5"/>
  <c r="L13" i="5"/>
  <c r="L19" i="5"/>
  <c r="L12" i="5"/>
  <c r="M75" i="5"/>
  <c r="M132" i="5"/>
  <c r="M121" i="5"/>
  <c r="M88" i="5"/>
  <c r="M82" i="5"/>
  <c r="M122" i="5"/>
  <c r="M114" i="5"/>
  <c r="M101" i="5"/>
  <c r="N7" i="5"/>
  <c r="N36" i="5"/>
  <c r="N131" i="5"/>
  <c r="N65" i="5"/>
  <c r="N14" i="5"/>
  <c r="N78" i="5"/>
  <c r="N40" i="5"/>
  <c r="O104" i="5"/>
  <c r="O55" i="5"/>
  <c r="O94" i="5"/>
  <c r="O34" i="5"/>
  <c r="O148" i="5"/>
  <c r="O111" i="5"/>
  <c r="O123" i="5"/>
  <c r="O118" i="5"/>
  <c r="P124" i="5"/>
  <c r="P46" i="5"/>
  <c r="P30" i="5"/>
  <c r="P16" i="5"/>
  <c r="P145" i="5"/>
  <c r="P35" i="5"/>
  <c r="Q119" i="5"/>
  <c r="Q6" i="5"/>
  <c r="Q84" i="5"/>
  <c r="Q141" i="5"/>
  <c r="Q48" i="5"/>
  <c r="Q56" i="5"/>
  <c r="Q105" i="5"/>
  <c r="Q58" i="5"/>
  <c r="Q39" i="5"/>
  <c r="Q45" i="5"/>
  <c r="R92" i="5"/>
  <c r="R149" i="5"/>
  <c r="R125" i="5"/>
  <c r="R53" i="5"/>
  <c r="S42" i="5"/>
  <c r="S129" i="5"/>
  <c r="S41" i="5"/>
  <c r="T57" i="5"/>
  <c r="T113" i="5"/>
  <c r="T93" i="5"/>
  <c r="T107" i="5"/>
  <c r="U73" i="5"/>
  <c r="U22" i="5"/>
  <c r="U106" i="5"/>
  <c r="V100" i="5"/>
  <c r="W59" i="5"/>
  <c r="W126" i="5"/>
  <c r="W63" i="5"/>
  <c r="W25" i="5"/>
  <c r="X110" i="5"/>
  <c r="Y20" i="5"/>
  <c r="C34" i="4"/>
  <c r="E34" i="4" s="1"/>
  <c r="B34" i="4"/>
  <c r="A35" i="4"/>
  <c r="P20" i="6" l="1"/>
  <c r="O20" i="6"/>
  <c r="A36" i="4"/>
  <c r="C35" i="4"/>
  <c r="B35" i="4"/>
  <c r="D35" i="4" s="1"/>
  <c r="N44" i="6"/>
  <c r="B44" i="6"/>
  <c r="M44" i="6"/>
  <c r="L44" i="6"/>
  <c r="K44" i="6"/>
  <c r="J44" i="6"/>
  <c r="H44" i="6"/>
  <c r="F44" i="6"/>
  <c r="A45" i="6"/>
  <c r="E44" i="6"/>
  <c r="P44" i="6"/>
  <c r="D44" i="6"/>
  <c r="C44" i="6"/>
  <c r="O44" i="6"/>
  <c r="I44" i="6"/>
  <c r="G44" i="6"/>
  <c r="D34" i="4"/>
  <c r="F34" i="4" s="1"/>
  <c r="G34" i="4"/>
  <c r="C83" i="5"/>
  <c r="C128" i="5"/>
  <c r="D115" i="5"/>
  <c r="D50" i="5"/>
  <c r="C85" i="5"/>
  <c r="C89" i="5"/>
  <c r="C98" i="5"/>
  <c r="D155" i="5"/>
  <c r="E140" i="5"/>
  <c r="E109" i="5"/>
  <c r="E153" i="5"/>
  <c r="F52" i="5"/>
  <c r="F91" i="5"/>
  <c r="F138" i="5"/>
  <c r="F137" i="5"/>
  <c r="F116" i="5"/>
  <c r="G139" i="5"/>
  <c r="G76" i="5"/>
  <c r="G80" i="5"/>
  <c r="G147" i="5"/>
  <c r="H37" i="5"/>
  <c r="H95" i="5"/>
  <c r="H33" i="5"/>
  <c r="H44" i="5"/>
  <c r="I31" i="5"/>
  <c r="I9" i="5"/>
  <c r="I69" i="5"/>
  <c r="C22" i="6"/>
  <c r="I8" i="5"/>
  <c r="I29" i="5"/>
  <c r="I54" i="5"/>
  <c r="I61" i="5"/>
  <c r="I150" i="5"/>
  <c r="I18" i="5"/>
  <c r="J103" i="5"/>
  <c r="J17" i="5"/>
  <c r="J74" i="5"/>
  <c r="J143" i="5"/>
  <c r="J102" i="5"/>
  <c r="J60" i="5"/>
  <c r="J127" i="5"/>
  <c r="J32" i="5"/>
  <c r="J62" i="5"/>
  <c r="K154" i="5"/>
  <c r="K134" i="5"/>
  <c r="K81" i="5"/>
  <c r="K133" i="5"/>
  <c r="K23" i="5"/>
  <c r="L144" i="5"/>
  <c r="L21" i="5"/>
  <c r="L86" i="5"/>
  <c r="L27" i="5"/>
  <c r="L11" i="5"/>
  <c r="L72" i="5"/>
  <c r="L79" i="5"/>
  <c r="L26" i="5"/>
  <c r="L64" i="5"/>
  <c r="L67" i="5"/>
  <c r="M12" i="5"/>
  <c r="M10" i="5"/>
  <c r="M13" i="5"/>
  <c r="M71" i="5"/>
  <c r="M19" i="5"/>
  <c r="N88" i="5"/>
  <c r="N132" i="5"/>
  <c r="N121" i="5"/>
  <c r="N101" i="5"/>
  <c r="N122" i="5"/>
  <c r="N75" i="5"/>
  <c r="N114" i="5"/>
  <c r="N82" i="5"/>
  <c r="O78" i="5"/>
  <c r="O40" i="5"/>
  <c r="O14" i="5"/>
  <c r="O7" i="5"/>
  <c r="O131" i="5"/>
  <c r="O36" i="5"/>
  <c r="O65" i="5"/>
  <c r="P94" i="5"/>
  <c r="P34" i="5"/>
  <c r="P118" i="5"/>
  <c r="P148" i="5"/>
  <c r="P104" i="5"/>
  <c r="P123" i="5"/>
  <c r="P111" i="5"/>
  <c r="P55" i="5"/>
  <c r="Q145" i="5"/>
  <c r="Q124" i="5"/>
  <c r="Q30" i="5"/>
  <c r="Q16" i="5"/>
  <c r="Q35" i="5"/>
  <c r="Q46" i="5"/>
  <c r="R119" i="5"/>
  <c r="R105" i="5"/>
  <c r="R56" i="5"/>
  <c r="R141" i="5"/>
  <c r="R84" i="5"/>
  <c r="R45" i="5"/>
  <c r="R48" i="5"/>
  <c r="R58" i="5"/>
  <c r="R39" i="5"/>
  <c r="R6" i="5"/>
  <c r="S92" i="5"/>
  <c r="S53" i="5"/>
  <c r="S149" i="5"/>
  <c r="S125" i="5"/>
  <c r="T42" i="5"/>
  <c r="T129" i="5"/>
  <c r="T41" i="5"/>
  <c r="U113" i="5"/>
  <c r="U57" i="5"/>
  <c r="U107" i="5"/>
  <c r="U93" i="5"/>
  <c r="V22" i="5"/>
  <c r="V106" i="5"/>
  <c r="V73" i="5"/>
  <c r="W100" i="5"/>
  <c r="X25" i="5"/>
  <c r="X63" i="5"/>
  <c r="X126" i="5"/>
  <c r="X59" i="5"/>
  <c r="Y110" i="5"/>
  <c r="Z20" i="5"/>
  <c r="C49" i="1"/>
  <c r="A50" i="1"/>
  <c r="P19" i="6"/>
  <c r="O19" i="6"/>
  <c r="AE151" i="5"/>
  <c r="AE154" i="5"/>
  <c r="AE153" i="5"/>
  <c r="AE144" i="5"/>
  <c r="AE146" i="5"/>
  <c r="AE152" i="5"/>
  <c r="AE148" i="5"/>
  <c r="AE150" i="5"/>
  <c r="AE130" i="5"/>
  <c r="AE133" i="5"/>
  <c r="AE155" i="5"/>
  <c r="AE143" i="5"/>
  <c r="AE147" i="5"/>
  <c r="AE142" i="5"/>
  <c r="AE112" i="5"/>
  <c r="AE134" i="5"/>
  <c r="AE127" i="5"/>
  <c r="AE138" i="5"/>
  <c r="AE137" i="5"/>
  <c r="AE135" i="5"/>
  <c r="AE132" i="5"/>
  <c r="AE136" i="5"/>
  <c r="AE131" i="5"/>
  <c r="AE140" i="5"/>
  <c r="AE123" i="5"/>
  <c r="AE114" i="5"/>
  <c r="AE101" i="5"/>
  <c r="AE122" i="5"/>
  <c r="AE102" i="5"/>
  <c r="AE103" i="5"/>
  <c r="AE104" i="5"/>
  <c r="AE128" i="5"/>
  <c r="AE116" i="5"/>
  <c r="AE120" i="5"/>
  <c r="AE118" i="5"/>
  <c r="AE117" i="5"/>
  <c r="AE139" i="5"/>
  <c r="AE121" i="5"/>
  <c r="AE99" i="5"/>
  <c r="AE86" i="5"/>
  <c r="AE87" i="5"/>
  <c r="AE88" i="5"/>
  <c r="AE89" i="5"/>
  <c r="AE98" i="5"/>
  <c r="AE90" i="5"/>
  <c r="AE91" i="5"/>
  <c r="AE108" i="5"/>
  <c r="AE95" i="5"/>
  <c r="AE115" i="5"/>
  <c r="AE111" i="5"/>
  <c r="AE97" i="5"/>
  <c r="AE65" i="5"/>
  <c r="AE77" i="5"/>
  <c r="AE66" i="5"/>
  <c r="AE67" i="5"/>
  <c r="AE82" i="5"/>
  <c r="AE68" i="5"/>
  <c r="AE69" i="5"/>
  <c r="AE96" i="5"/>
  <c r="AE85" i="5"/>
  <c r="AE70" i="5"/>
  <c r="AE94" i="5"/>
  <c r="AE79" i="5"/>
  <c r="AE71" i="5"/>
  <c r="AE80" i="5"/>
  <c r="AE78" i="5"/>
  <c r="AE72" i="5"/>
  <c r="AE74" i="5"/>
  <c r="AE109" i="5"/>
  <c r="AE54" i="5"/>
  <c r="AE64" i="5"/>
  <c r="AE55" i="5"/>
  <c r="AE43" i="5"/>
  <c r="AE81" i="5"/>
  <c r="AE44" i="5"/>
  <c r="AE62" i="5"/>
  <c r="AE76" i="5"/>
  <c r="AE75" i="5"/>
  <c r="AE60" i="5"/>
  <c r="AE61" i="5"/>
  <c r="AE51" i="5"/>
  <c r="AE52" i="5"/>
  <c r="AE26" i="5"/>
  <c r="AE14" i="5"/>
  <c r="AE40" i="5"/>
  <c r="AE38" i="5"/>
  <c r="AE27" i="5"/>
  <c r="AE15" i="5"/>
  <c r="AE28" i="5"/>
  <c r="AE29" i="5"/>
  <c r="AE17" i="5"/>
  <c r="AE31" i="5"/>
  <c r="AE50" i="5"/>
  <c r="AE49" i="5"/>
  <c r="AE32" i="5"/>
  <c r="AE83" i="5"/>
  <c r="AE37" i="5"/>
  <c r="AE11" i="5"/>
  <c r="AE12" i="5"/>
  <c r="AE13" i="5"/>
  <c r="AF5" i="5"/>
  <c r="AE23" i="5"/>
  <c r="AE18" i="5"/>
  <c r="AE24" i="5"/>
  <c r="AE21" i="5"/>
  <c r="AE7" i="5"/>
  <c r="AE8" i="5"/>
  <c r="AE47" i="5"/>
  <c r="AE9" i="5"/>
  <c r="AE36" i="5"/>
  <c r="AE19" i="5"/>
  <c r="AE10" i="5"/>
  <c r="AE34" i="5"/>
  <c r="AE33" i="5"/>
  <c r="D21" i="6"/>
  <c r="K21" i="6" s="1"/>
  <c r="L21" i="6" s="1"/>
  <c r="E21" i="6"/>
  <c r="P21" i="6" l="1"/>
  <c r="O21" i="6"/>
  <c r="C50" i="1"/>
  <c r="A51" i="1"/>
  <c r="AF152" i="5"/>
  <c r="AF155" i="5"/>
  <c r="AF145" i="5"/>
  <c r="AF146" i="5"/>
  <c r="AF147" i="5"/>
  <c r="AF150" i="5"/>
  <c r="AF131" i="5"/>
  <c r="AF133" i="5"/>
  <c r="AF148" i="5"/>
  <c r="AF134" i="5"/>
  <c r="AF143" i="5"/>
  <c r="AF139" i="5"/>
  <c r="AF138" i="5"/>
  <c r="AF142" i="5"/>
  <c r="AF127" i="5"/>
  <c r="AF114" i="5"/>
  <c r="AF137" i="5"/>
  <c r="AF135" i="5"/>
  <c r="AF132" i="5"/>
  <c r="AF130" i="5"/>
  <c r="AF144" i="5"/>
  <c r="AF154" i="5"/>
  <c r="AF151" i="5"/>
  <c r="AF128" i="5"/>
  <c r="AF124" i="5"/>
  <c r="AF122" i="5"/>
  <c r="AF102" i="5"/>
  <c r="AF103" i="5"/>
  <c r="AF104" i="5"/>
  <c r="AF136" i="5"/>
  <c r="AF123" i="5"/>
  <c r="AF140" i="5"/>
  <c r="AF116" i="5"/>
  <c r="AF120" i="5"/>
  <c r="AF118" i="5"/>
  <c r="AF117" i="5"/>
  <c r="AF87" i="5"/>
  <c r="AF88" i="5"/>
  <c r="AF89" i="5"/>
  <c r="AF98" i="5"/>
  <c r="AF90" i="5"/>
  <c r="AF112" i="5"/>
  <c r="AF91" i="5"/>
  <c r="AF79" i="5"/>
  <c r="AF153" i="5"/>
  <c r="AF121" i="5"/>
  <c r="AF109" i="5"/>
  <c r="AF101" i="5"/>
  <c r="AF96" i="5"/>
  <c r="AF99" i="5"/>
  <c r="AF111" i="5"/>
  <c r="AF86" i="5"/>
  <c r="AF77" i="5"/>
  <c r="AF66" i="5"/>
  <c r="AF67" i="5"/>
  <c r="AF82" i="5"/>
  <c r="AF68" i="5"/>
  <c r="AF69" i="5"/>
  <c r="AF97" i="5"/>
  <c r="AF85" i="5"/>
  <c r="AF70" i="5"/>
  <c r="AF95" i="5"/>
  <c r="AF94" i="5"/>
  <c r="AF71" i="5"/>
  <c r="AF115" i="5"/>
  <c r="AF108" i="5"/>
  <c r="AF80" i="5"/>
  <c r="AF78" i="5"/>
  <c r="AF72" i="5"/>
  <c r="AF83" i="5"/>
  <c r="AF75" i="5"/>
  <c r="AF64" i="5"/>
  <c r="AF55" i="5"/>
  <c r="AF43" i="5"/>
  <c r="AF81" i="5"/>
  <c r="AF65" i="5"/>
  <c r="AF44" i="5"/>
  <c r="AF62" i="5"/>
  <c r="AF46" i="5"/>
  <c r="AF76" i="5"/>
  <c r="AF60" i="5"/>
  <c r="AF47" i="5"/>
  <c r="AF74" i="5"/>
  <c r="AF49" i="5"/>
  <c r="AF52" i="5"/>
  <c r="AF40" i="5"/>
  <c r="AF38" i="5"/>
  <c r="AF27" i="5"/>
  <c r="AF15" i="5"/>
  <c r="AF28" i="5"/>
  <c r="AF16" i="5"/>
  <c r="AF29" i="5"/>
  <c r="AF17" i="5"/>
  <c r="AF54" i="5"/>
  <c r="AF30" i="5"/>
  <c r="AF18" i="5"/>
  <c r="AF31" i="5"/>
  <c r="AF61" i="5"/>
  <c r="AF51" i="5"/>
  <c r="AF50" i="5"/>
  <c r="AF32" i="5"/>
  <c r="AF33" i="5"/>
  <c r="AF36" i="5"/>
  <c r="AF26" i="5"/>
  <c r="AF12" i="5"/>
  <c r="AF13" i="5"/>
  <c r="AF14" i="5"/>
  <c r="AG5" i="5"/>
  <c r="AF23" i="5"/>
  <c r="AF24" i="5"/>
  <c r="AF21" i="5"/>
  <c r="AF7" i="5"/>
  <c r="AF8" i="5"/>
  <c r="AF9" i="5"/>
  <c r="AF37" i="5"/>
  <c r="AF19" i="5"/>
  <c r="AF10" i="5"/>
  <c r="AF35" i="5"/>
  <c r="AF34" i="5"/>
  <c r="AF11" i="5"/>
  <c r="D22" i="6"/>
  <c r="E22" i="6"/>
  <c r="F35" i="4"/>
  <c r="E35" i="4"/>
  <c r="G35" i="4"/>
  <c r="D83" i="5"/>
  <c r="D98" i="5"/>
  <c r="D89" i="5"/>
  <c r="D128" i="5"/>
  <c r="D85" i="5"/>
  <c r="C51" i="5"/>
  <c r="C151" i="5"/>
  <c r="E115" i="5"/>
  <c r="E50" i="5"/>
  <c r="E155" i="5"/>
  <c r="F109" i="5"/>
  <c r="F153" i="5"/>
  <c r="F140" i="5"/>
  <c r="G52" i="5"/>
  <c r="G138" i="5"/>
  <c r="G116" i="5"/>
  <c r="G137" i="5"/>
  <c r="G91" i="5"/>
  <c r="H139" i="5"/>
  <c r="H147" i="5"/>
  <c r="H80" i="5"/>
  <c r="H76" i="5"/>
  <c r="I95" i="5"/>
  <c r="I44" i="5"/>
  <c r="I37" i="5"/>
  <c r="I33" i="5"/>
  <c r="C23" i="6"/>
  <c r="J9" i="5"/>
  <c r="J150" i="5"/>
  <c r="J29" i="5"/>
  <c r="J54" i="5"/>
  <c r="J18" i="5"/>
  <c r="J31" i="5"/>
  <c r="J61" i="5"/>
  <c r="J69" i="5"/>
  <c r="J8" i="5"/>
  <c r="K102" i="5"/>
  <c r="K103" i="5"/>
  <c r="K32" i="5"/>
  <c r="K17" i="5"/>
  <c r="K60" i="5"/>
  <c r="K143" i="5"/>
  <c r="K74" i="5"/>
  <c r="K127" i="5"/>
  <c r="K62" i="5"/>
  <c r="L134" i="5"/>
  <c r="L81" i="5"/>
  <c r="L23" i="5"/>
  <c r="L154" i="5"/>
  <c r="L133" i="5"/>
  <c r="M144" i="5"/>
  <c r="M72" i="5"/>
  <c r="M11" i="5"/>
  <c r="M64" i="5"/>
  <c r="M67" i="5"/>
  <c r="M21" i="5"/>
  <c r="M86" i="5"/>
  <c r="M26" i="5"/>
  <c r="M79" i="5"/>
  <c r="M27" i="5"/>
  <c r="N12" i="5"/>
  <c r="N13" i="5"/>
  <c r="N71" i="5"/>
  <c r="N10" i="5"/>
  <c r="N19" i="5"/>
  <c r="O132" i="5"/>
  <c r="O121" i="5"/>
  <c r="O82" i="5"/>
  <c r="O88" i="5"/>
  <c r="O75" i="5"/>
  <c r="O101" i="5"/>
  <c r="O122" i="5"/>
  <c r="O114" i="5"/>
  <c r="P65" i="5"/>
  <c r="P40" i="5"/>
  <c r="P14" i="5"/>
  <c r="P131" i="5"/>
  <c r="P78" i="5"/>
  <c r="P36" i="5"/>
  <c r="P7" i="5"/>
  <c r="Q94" i="5"/>
  <c r="Q111" i="5"/>
  <c r="Q34" i="5"/>
  <c r="Q123" i="5"/>
  <c r="Q55" i="5"/>
  <c r="Q118" i="5"/>
  <c r="Q104" i="5"/>
  <c r="Q148" i="5"/>
  <c r="R124" i="5"/>
  <c r="R16" i="5"/>
  <c r="R35" i="5"/>
  <c r="R46" i="5"/>
  <c r="R145" i="5"/>
  <c r="R30" i="5"/>
  <c r="S58" i="5"/>
  <c r="S105" i="5"/>
  <c r="S141" i="5"/>
  <c r="S84" i="5"/>
  <c r="S119" i="5"/>
  <c r="S45" i="5"/>
  <c r="S6" i="5"/>
  <c r="S56" i="5"/>
  <c r="S48" i="5"/>
  <c r="S39" i="5"/>
  <c r="T149" i="5"/>
  <c r="T125" i="5"/>
  <c r="T92" i="5"/>
  <c r="T53" i="5"/>
  <c r="U42" i="5"/>
  <c r="U129" i="5"/>
  <c r="U41" i="5"/>
  <c r="V113" i="5"/>
  <c r="V93" i="5"/>
  <c r="V107" i="5"/>
  <c r="V57" i="5"/>
  <c r="W106" i="5"/>
  <c r="W73" i="5"/>
  <c r="W22" i="5"/>
  <c r="X100" i="5"/>
  <c r="Y59" i="5"/>
  <c r="Y63" i="5"/>
  <c r="Y126" i="5"/>
  <c r="Y25" i="5"/>
  <c r="Z110" i="5"/>
  <c r="AA20" i="5"/>
  <c r="J45" i="6"/>
  <c r="I45" i="6"/>
  <c r="H45" i="6"/>
  <c r="G45" i="6"/>
  <c r="F45" i="6"/>
  <c r="P45" i="6"/>
  <c r="D45" i="6"/>
  <c r="N45" i="6"/>
  <c r="B45" i="6"/>
  <c r="M45" i="6"/>
  <c r="L45" i="6"/>
  <c r="A46" i="6"/>
  <c r="O45" i="6"/>
  <c r="E45" i="6"/>
  <c r="C45" i="6"/>
  <c r="K45" i="6"/>
  <c r="A37" i="4"/>
  <c r="B36" i="4"/>
  <c r="C36" i="4"/>
  <c r="E36" i="4" s="1"/>
  <c r="F46" i="6" l="1"/>
  <c r="A47" i="6"/>
  <c r="E46" i="6"/>
  <c r="P46" i="6"/>
  <c r="D46" i="6"/>
  <c r="O46" i="6"/>
  <c r="C46" i="6"/>
  <c r="N46" i="6"/>
  <c r="B46" i="6"/>
  <c r="L46" i="6"/>
  <c r="J46" i="6"/>
  <c r="I46" i="6"/>
  <c r="H46" i="6"/>
  <c r="M46" i="6"/>
  <c r="K46" i="6"/>
  <c r="G46" i="6"/>
  <c r="K22" i="6"/>
  <c r="L22" i="6" s="1"/>
  <c r="AG153" i="5"/>
  <c r="AG146" i="5"/>
  <c r="AG147" i="5"/>
  <c r="AG148" i="5"/>
  <c r="AG150" i="5"/>
  <c r="AG154" i="5"/>
  <c r="AG144" i="5"/>
  <c r="AG132" i="5"/>
  <c r="AG141" i="5"/>
  <c r="AG134" i="5"/>
  <c r="AG143" i="5"/>
  <c r="AG135" i="5"/>
  <c r="AG155" i="5"/>
  <c r="AG139" i="5"/>
  <c r="AG151" i="5"/>
  <c r="AG142" i="5"/>
  <c r="AG152" i="5"/>
  <c r="AG140" i="5"/>
  <c r="AG127" i="5"/>
  <c r="AG114" i="5"/>
  <c r="AG137" i="5"/>
  <c r="AG133" i="5"/>
  <c r="AG115" i="5"/>
  <c r="AG138" i="5"/>
  <c r="AG116" i="5"/>
  <c r="AG130" i="5"/>
  <c r="AG128" i="5"/>
  <c r="AG119" i="5"/>
  <c r="AG145" i="5"/>
  <c r="AG123" i="5"/>
  <c r="AG103" i="5"/>
  <c r="AG104" i="5"/>
  <c r="AG124" i="5"/>
  <c r="AG105" i="5"/>
  <c r="AG136" i="5"/>
  <c r="AG120" i="5"/>
  <c r="AG118" i="5"/>
  <c r="AG117" i="5"/>
  <c r="AG131" i="5"/>
  <c r="AG112" i="5"/>
  <c r="AG109" i="5"/>
  <c r="AG121" i="5"/>
  <c r="AG88" i="5"/>
  <c r="AG122" i="5"/>
  <c r="AG89" i="5"/>
  <c r="AG77" i="5"/>
  <c r="AG98" i="5"/>
  <c r="AG90" i="5"/>
  <c r="AG91" i="5"/>
  <c r="AG80" i="5"/>
  <c r="AG101" i="5"/>
  <c r="AG102" i="5"/>
  <c r="AG94" i="5"/>
  <c r="AG111" i="5"/>
  <c r="AG97" i="5"/>
  <c r="AG67" i="5"/>
  <c r="AG82" i="5"/>
  <c r="AG68" i="5"/>
  <c r="AG69" i="5"/>
  <c r="AG85" i="5"/>
  <c r="AG70" i="5"/>
  <c r="AG58" i="5"/>
  <c r="AG96" i="5"/>
  <c r="AG95" i="5"/>
  <c r="AG71" i="5"/>
  <c r="AG108" i="5"/>
  <c r="AG79" i="5"/>
  <c r="AG78" i="5"/>
  <c r="AG72" i="5"/>
  <c r="AG99" i="5"/>
  <c r="AG83" i="5"/>
  <c r="AG74" i="5"/>
  <c r="AG81" i="5"/>
  <c r="AG76" i="5"/>
  <c r="AG65" i="5"/>
  <c r="AG56" i="5"/>
  <c r="AG44" i="5"/>
  <c r="AG45" i="5"/>
  <c r="AG62" i="5"/>
  <c r="AG46" i="5"/>
  <c r="AG60" i="5"/>
  <c r="AG47" i="5"/>
  <c r="AG75" i="5"/>
  <c r="AG66" i="5"/>
  <c r="AG48" i="5"/>
  <c r="AG49" i="5"/>
  <c r="AG50" i="5"/>
  <c r="AG54" i="5"/>
  <c r="AG86" i="5"/>
  <c r="AG28" i="5"/>
  <c r="AG16" i="5"/>
  <c r="AG29" i="5"/>
  <c r="AG17" i="5"/>
  <c r="AG30" i="5"/>
  <c r="AG18" i="5"/>
  <c r="AG55" i="5"/>
  <c r="AG31" i="5"/>
  <c r="AG19" i="5"/>
  <c r="AG61" i="5"/>
  <c r="AG52" i="5"/>
  <c r="AG51" i="5"/>
  <c r="AG39" i="5"/>
  <c r="AG32" i="5"/>
  <c r="AG33" i="5"/>
  <c r="AG84" i="5"/>
  <c r="AG64" i="5"/>
  <c r="AG34" i="5"/>
  <c r="AG87" i="5"/>
  <c r="AG37" i="5"/>
  <c r="AG40" i="5"/>
  <c r="AG38" i="5"/>
  <c r="AG13" i="5"/>
  <c r="AG14" i="5"/>
  <c r="AH5" i="5"/>
  <c r="AG23" i="5"/>
  <c r="AG24" i="5"/>
  <c r="AG21" i="5"/>
  <c r="AG15" i="5"/>
  <c r="AG6" i="5"/>
  <c r="AG27" i="5"/>
  <c r="AG7" i="5"/>
  <c r="AG43" i="5"/>
  <c r="AG8" i="5"/>
  <c r="AG9" i="5"/>
  <c r="AG10" i="5"/>
  <c r="AG36" i="5"/>
  <c r="AG35" i="5"/>
  <c r="AG11" i="5"/>
  <c r="AG26" i="5"/>
  <c r="AG12" i="5"/>
  <c r="E23" i="6"/>
  <c r="D23" i="6"/>
  <c r="K23" i="6" s="1"/>
  <c r="L23" i="6" s="1"/>
  <c r="D36" i="4"/>
  <c r="F36" i="4" s="1"/>
  <c r="C37" i="4"/>
  <c r="B37" i="4"/>
  <c r="D37" i="4" s="1"/>
  <c r="A38" i="4"/>
  <c r="G36" i="4"/>
  <c r="C87" i="5"/>
  <c r="C99" i="5"/>
  <c r="D151" i="5"/>
  <c r="C142" i="5"/>
  <c r="C24" i="5"/>
  <c r="D51" i="5"/>
  <c r="E89" i="5"/>
  <c r="E98" i="5"/>
  <c r="E85" i="5"/>
  <c r="E83" i="5"/>
  <c r="E128" i="5"/>
  <c r="F50" i="5"/>
  <c r="F155" i="5"/>
  <c r="F115" i="5"/>
  <c r="G153" i="5"/>
  <c r="G140" i="5"/>
  <c r="G109" i="5"/>
  <c r="H138" i="5"/>
  <c r="H52" i="5"/>
  <c r="H137" i="5"/>
  <c r="H116" i="5"/>
  <c r="H91" i="5"/>
  <c r="I80" i="5"/>
  <c r="I76" i="5"/>
  <c r="I139" i="5"/>
  <c r="I147" i="5"/>
  <c r="J37" i="5"/>
  <c r="J95" i="5"/>
  <c r="J33" i="5"/>
  <c r="J44" i="5"/>
  <c r="K31" i="5"/>
  <c r="K8" i="5"/>
  <c r="K9" i="5"/>
  <c r="K150" i="5"/>
  <c r="K29" i="5"/>
  <c r="K61" i="5"/>
  <c r="K69" i="5"/>
  <c r="K54" i="5"/>
  <c r="C24" i="6"/>
  <c r="K18" i="5"/>
  <c r="L32" i="5"/>
  <c r="L127" i="5"/>
  <c r="L74" i="5"/>
  <c r="L103" i="5"/>
  <c r="L62" i="5"/>
  <c r="L143" i="5"/>
  <c r="L60" i="5"/>
  <c r="L102" i="5"/>
  <c r="L17" i="5"/>
  <c r="M23" i="5"/>
  <c r="M154" i="5"/>
  <c r="M133" i="5"/>
  <c r="M81" i="5"/>
  <c r="M134" i="5"/>
  <c r="N64" i="5"/>
  <c r="N11" i="5"/>
  <c r="N144" i="5"/>
  <c r="N67" i="5"/>
  <c r="N21" i="5"/>
  <c r="N27" i="5"/>
  <c r="N79" i="5"/>
  <c r="N86" i="5"/>
  <c r="N26" i="5"/>
  <c r="N72" i="5"/>
  <c r="O10" i="5"/>
  <c r="O71" i="5"/>
  <c r="O12" i="5"/>
  <c r="O13" i="5"/>
  <c r="O19" i="5"/>
  <c r="P132" i="5"/>
  <c r="P121" i="5"/>
  <c r="P88" i="5"/>
  <c r="P75" i="5"/>
  <c r="P122" i="5"/>
  <c r="P101" i="5"/>
  <c r="P114" i="5"/>
  <c r="P82" i="5"/>
  <c r="Q36" i="5"/>
  <c r="Q7" i="5"/>
  <c r="Q78" i="5"/>
  <c r="Q131" i="5"/>
  <c r="Q40" i="5"/>
  <c r="Q65" i="5"/>
  <c r="Q14" i="5"/>
  <c r="R148" i="5"/>
  <c r="R55" i="5"/>
  <c r="R34" i="5"/>
  <c r="R104" i="5"/>
  <c r="R111" i="5"/>
  <c r="R123" i="5"/>
  <c r="R94" i="5"/>
  <c r="R118" i="5"/>
  <c r="S16" i="5"/>
  <c r="S35" i="5"/>
  <c r="S145" i="5"/>
  <c r="S124" i="5"/>
  <c r="S30" i="5"/>
  <c r="S46" i="5"/>
  <c r="T45" i="5"/>
  <c r="T141" i="5"/>
  <c r="T84" i="5"/>
  <c r="T58" i="5"/>
  <c r="T39" i="5"/>
  <c r="T6" i="5"/>
  <c r="T119" i="5"/>
  <c r="T56" i="5"/>
  <c r="T48" i="5"/>
  <c r="T105" i="5"/>
  <c r="U92" i="5"/>
  <c r="U149" i="5"/>
  <c r="U125" i="5"/>
  <c r="U53" i="5"/>
  <c r="V41" i="5"/>
  <c r="V129" i="5"/>
  <c r="V42" i="5"/>
  <c r="W93" i="5"/>
  <c r="W57" i="5"/>
  <c r="W107" i="5"/>
  <c r="W113" i="5"/>
  <c r="X73" i="5"/>
  <c r="X106" i="5"/>
  <c r="X22" i="5"/>
  <c r="Y100" i="5"/>
  <c r="Z25" i="5"/>
  <c r="Z59" i="5"/>
  <c r="Z126" i="5"/>
  <c r="Z63" i="5"/>
  <c r="AA110" i="5"/>
  <c r="AB20" i="5"/>
  <c r="A52" i="1"/>
  <c r="C51" i="1"/>
  <c r="E24" i="6" l="1"/>
  <c r="D24" i="6"/>
  <c r="K24" i="6" s="1"/>
  <c r="L24" i="6" s="1"/>
  <c r="O23" i="6"/>
  <c r="P23" i="6"/>
  <c r="N47" i="6"/>
  <c r="B47" i="6"/>
  <c r="M47" i="6"/>
  <c r="L47" i="6"/>
  <c r="K47" i="6"/>
  <c r="J47" i="6"/>
  <c r="H47" i="6"/>
  <c r="F47" i="6"/>
  <c r="A48" i="6"/>
  <c r="E47" i="6"/>
  <c r="P47" i="6"/>
  <c r="D47" i="6"/>
  <c r="C47" i="6"/>
  <c r="O47" i="6"/>
  <c r="I47" i="6"/>
  <c r="G47" i="6"/>
  <c r="A39" i="4"/>
  <c r="B38" i="4"/>
  <c r="C38" i="4"/>
  <c r="E38" i="4" s="1"/>
  <c r="E37" i="4"/>
  <c r="O22" i="6"/>
  <c r="P22" i="6"/>
  <c r="C52" i="1"/>
  <c r="A53" i="1"/>
  <c r="G37" i="4"/>
  <c r="C90" i="5"/>
  <c r="D87" i="5"/>
  <c r="C15" i="5"/>
  <c r="D99" i="5"/>
  <c r="C130" i="5"/>
  <c r="C108" i="5"/>
  <c r="D142" i="5"/>
  <c r="D24" i="5"/>
  <c r="E51" i="5"/>
  <c r="E151" i="5"/>
  <c r="F85" i="5"/>
  <c r="F83" i="5"/>
  <c r="F128" i="5"/>
  <c r="F98" i="5"/>
  <c r="F89" i="5"/>
  <c r="G50" i="5"/>
  <c r="G155" i="5"/>
  <c r="G115" i="5"/>
  <c r="H140" i="5"/>
  <c r="H109" i="5"/>
  <c r="H153" i="5"/>
  <c r="I116" i="5"/>
  <c r="I137" i="5"/>
  <c r="I138" i="5"/>
  <c r="I91" i="5"/>
  <c r="I52" i="5"/>
  <c r="J139" i="5"/>
  <c r="J147" i="5"/>
  <c r="J80" i="5"/>
  <c r="J76" i="5"/>
  <c r="K44" i="5"/>
  <c r="K37" i="5"/>
  <c r="K33" i="5"/>
  <c r="K95" i="5"/>
  <c r="L9" i="5"/>
  <c r="L69" i="5"/>
  <c r="L31" i="5"/>
  <c r="L54" i="5"/>
  <c r="L29" i="5"/>
  <c r="L150" i="5"/>
  <c r="L18" i="5"/>
  <c r="L8" i="5"/>
  <c r="C25" i="6"/>
  <c r="L61" i="5"/>
  <c r="M143" i="5"/>
  <c r="M127" i="5"/>
  <c r="M32" i="5"/>
  <c r="M60" i="5"/>
  <c r="M102" i="5"/>
  <c r="M17" i="5"/>
  <c r="M103" i="5"/>
  <c r="M74" i="5"/>
  <c r="M62" i="5"/>
  <c r="N23" i="5"/>
  <c r="N154" i="5"/>
  <c r="N81" i="5"/>
  <c r="N134" i="5"/>
  <c r="N133" i="5"/>
  <c r="O64" i="5"/>
  <c r="O72" i="5"/>
  <c r="O144" i="5"/>
  <c r="O86" i="5"/>
  <c r="O11" i="5"/>
  <c r="O26" i="5"/>
  <c r="O67" i="5"/>
  <c r="O21" i="5"/>
  <c r="O79" i="5"/>
  <c r="O27" i="5"/>
  <c r="P13" i="5"/>
  <c r="P10" i="5"/>
  <c r="P19" i="5"/>
  <c r="P71" i="5"/>
  <c r="P12" i="5"/>
  <c r="Q114" i="5"/>
  <c r="Q101" i="5"/>
  <c r="Q122" i="5"/>
  <c r="Q88" i="5"/>
  <c r="Q82" i="5"/>
  <c r="Q132" i="5"/>
  <c r="Q121" i="5"/>
  <c r="Q75" i="5"/>
  <c r="R78" i="5"/>
  <c r="R7" i="5"/>
  <c r="R36" i="5"/>
  <c r="R65" i="5"/>
  <c r="R131" i="5"/>
  <c r="R40" i="5"/>
  <c r="R14" i="5"/>
  <c r="S118" i="5"/>
  <c r="S111" i="5"/>
  <c r="S34" i="5"/>
  <c r="S55" i="5"/>
  <c r="S148" i="5"/>
  <c r="S123" i="5"/>
  <c r="S94" i="5"/>
  <c r="S104" i="5"/>
  <c r="T124" i="5"/>
  <c r="T30" i="5"/>
  <c r="T35" i="5"/>
  <c r="T46" i="5"/>
  <c r="T16" i="5"/>
  <c r="T145" i="5"/>
  <c r="U84" i="5"/>
  <c r="U141" i="5"/>
  <c r="U48" i="5"/>
  <c r="U6" i="5"/>
  <c r="U105" i="5"/>
  <c r="U119" i="5"/>
  <c r="U58" i="5"/>
  <c r="U56" i="5"/>
  <c r="U39" i="5"/>
  <c r="U45" i="5"/>
  <c r="V149" i="5"/>
  <c r="V125" i="5"/>
  <c r="V92" i="5"/>
  <c r="V53" i="5"/>
  <c r="W129" i="5"/>
  <c r="W41" i="5"/>
  <c r="W42" i="5"/>
  <c r="X57" i="5"/>
  <c r="X93" i="5"/>
  <c r="X107" i="5"/>
  <c r="X113" i="5"/>
  <c r="Y73" i="5"/>
  <c r="Y106" i="5"/>
  <c r="Y22" i="5"/>
  <c r="Z100" i="5"/>
  <c r="AA63" i="5"/>
  <c r="AA25" i="5"/>
  <c r="AA59" i="5"/>
  <c r="AA126" i="5"/>
  <c r="AB110" i="5"/>
  <c r="AC20" i="5"/>
  <c r="F37" i="4"/>
  <c r="AH153" i="5"/>
  <c r="AH154" i="5"/>
  <c r="AH147" i="5"/>
  <c r="AH148" i="5"/>
  <c r="AH136" i="5"/>
  <c r="AH152" i="5"/>
  <c r="AH149" i="5"/>
  <c r="AH137" i="5"/>
  <c r="AH140" i="5"/>
  <c r="AH155" i="5"/>
  <c r="AH151" i="5"/>
  <c r="AH146" i="5"/>
  <c r="AH133" i="5"/>
  <c r="AH143" i="5"/>
  <c r="AH135" i="5"/>
  <c r="AH139" i="5"/>
  <c r="AH138" i="5"/>
  <c r="AH142" i="5"/>
  <c r="AH150" i="5"/>
  <c r="AH145" i="5"/>
  <c r="AH141" i="5"/>
  <c r="AH115" i="5"/>
  <c r="AH134" i="5"/>
  <c r="AH125" i="5"/>
  <c r="AH116" i="5"/>
  <c r="AH132" i="5"/>
  <c r="AH130" i="5"/>
  <c r="AH117" i="5"/>
  <c r="AH144" i="5"/>
  <c r="AH128" i="5"/>
  <c r="AH120" i="5"/>
  <c r="AH124" i="5"/>
  <c r="AH127" i="5"/>
  <c r="AH104" i="5"/>
  <c r="AH105" i="5"/>
  <c r="AH123" i="5"/>
  <c r="AH118" i="5"/>
  <c r="AH108" i="5"/>
  <c r="AH131" i="5"/>
  <c r="AH112" i="5"/>
  <c r="AH121" i="5"/>
  <c r="AH119" i="5"/>
  <c r="AH122" i="5"/>
  <c r="AH89" i="5"/>
  <c r="AH114" i="5"/>
  <c r="AH98" i="5"/>
  <c r="AH90" i="5"/>
  <c r="AH78" i="5"/>
  <c r="AH91" i="5"/>
  <c r="AH92" i="5"/>
  <c r="AH101" i="5"/>
  <c r="AH81" i="5"/>
  <c r="AH109" i="5"/>
  <c r="AH102" i="5"/>
  <c r="AH94" i="5"/>
  <c r="AH95" i="5"/>
  <c r="AH99" i="5"/>
  <c r="AH103" i="5"/>
  <c r="AH82" i="5"/>
  <c r="AH68" i="5"/>
  <c r="AH69" i="5"/>
  <c r="AH85" i="5"/>
  <c r="AH70" i="5"/>
  <c r="AH58" i="5"/>
  <c r="AH97" i="5"/>
  <c r="AH96" i="5"/>
  <c r="AH71" i="5"/>
  <c r="AH79" i="5"/>
  <c r="AH72" i="5"/>
  <c r="AH88" i="5"/>
  <c r="AH83" i="5"/>
  <c r="AH80" i="5"/>
  <c r="AH74" i="5"/>
  <c r="AH87" i="5"/>
  <c r="AH75" i="5"/>
  <c r="AH84" i="5"/>
  <c r="AH45" i="5"/>
  <c r="AH62" i="5"/>
  <c r="AH46" i="5"/>
  <c r="AH60" i="5"/>
  <c r="AH47" i="5"/>
  <c r="AH76" i="5"/>
  <c r="AH66" i="5"/>
  <c r="AH48" i="5"/>
  <c r="AH77" i="5"/>
  <c r="AH49" i="5"/>
  <c r="AH50" i="5"/>
  <c r="AH61" i="5"/>
  <c r="AH51" i="5"/>
  <c r="AH54" i="5"/>
  <c r="AH64" i="5"/>
  <c r="AH55" i="5"/>
  <c r="AH44" i="5"/>
  <c r="AH29" i="5"/>
  <c r="AH17" i="5"/>
  <c r="AH30" i="5"/>
  <c r="AH18" i="5"/>
  <c r="AH31" i="5"/>
  <c r="AH19" i="5"/>
  <c r="AH111" i="5"/>
  <c r="AH56" i="5"/>
  <c r="AH53" i="5"/>
  <c r="AH52" i="5"/>
  <c r="AH39" i="5"/>
  <c r="AH32" i="5"/>
  <c r="AH33" i="5"/>
  <c r="AH34" i="5"/>
  <c r="AH35" i="5"/>
  <c r="AH86" i="5"/>
  <c r="AH67" i="5"/>
  <c r="AH65" i="5"/>
  <c r="AH28" i="5"/>
  <c r="AH14" i="5"/>
  <c r="AI5" i="5"/>
  <c r="AH23" i="5"/>
  <c r="AH24" i="5"/>
  <c r="AH21" i="5"/>
  <c r="AH15" i="5"/>
  <c r="AH6" i="5"/>
  <c r="AH27" i="5"/>
  <c r="AH7" i="5"/>
  <c r="AH43" i="5"/>
  <c r="AH8" i="5"/>
  <c r="AH9" i="5"/>
  <c r="AH10" i="5"/>
  <c r="AH38" i="5"/>
  <c r="AH37" i="5"/>
  <c r="AH36" i="5"/>
  <c r="AH16" i="5"/>
  <c r="AH40" i="5"/>
  <c r="AH11" i="5"/>
  <c r="AH26" i="5"/>
  <c r="AH12" i="5"/>
  <c r="AH13" i="5"/>
  <c r="P24" i="6" l="1"/>
  <c r="O24" i="6"/>
  <c r="G38" i="4"/>
  <c r="D130" i="5"/>
  <c r="D90" i="5"/>
  <c r="C112" i="5"/>
  <c r="D15" i="5"/>
  <c r="C120" i="5"/>
  <c r="D108" i="5"/>
  <c r="C28" i="5"/>
  <c r="C43" i="5"/>
  <c r="C135" i="5"/>
  <c r="E142" i="5"/>
  <c r="E99" i="5"/>
  <c r="E87" i="5"/>
  <c r="E24" i="5"/>
  <c r="F51" i="5"/>
  <c r="F151" i="5"/>
  <c r="G98" i="5"/>
  <c r="G83" i="5"/>
  <c r="G85" i="5"/>
  <c r="G89" i="5"/>
  <c r="G128" i="5"/>
  <c r="H50" i="5"/>
  <c r="H155" i="5"/>
  <c r="H115" i="5"/>
  <c r="I153" i="5"/>
  <c r="I109" i="5"/>
  <c r="I140" i="5"/>
  <c r="J137" i="5"/>
  <c r="J116" i="5"/>
  <c r="J138" i="5"/>
  <c r="J52" i="5"/>
  <c r="J91" i="5"/>
  <c r="K80" i="5"/>
  <c r="K76" i="5"/>
  <c r="K139" i="5"/>
  <c r="K147" i="5"/>
  <c r="L95" i="5"/>
  <c r="L44" i="5"/>
  <c r="L33" i="5"/>
  <c r="L37" i="5"/>
  <c r="M31" i="5"/>
  <c r="M8" i="5"/>
  <c r="M61" i="5"/>
  <c r="M69" i="5"/>
  <c r="C26" i="6"/>
  <c r="M18" i="5"/>
  <c r="M150" i="5"/>
  <c r="M54" i="5"/>
  <c r="M9" i="5"/>
  <c r="M29" i="5"/>
  <c r="N143" i="5"/>
  <c r="N32" i="5"/>
  <c r="N60" i="5"/>
  <c r="N127" i="5"/>
  <c r="N17" i="5"/>
  <c r="N74" i="5"/>
  <c r="N102" i="5"/>
  <c r="N62" i="5"/>
  <c r="N103" i="5"/>
  <c r="O81" i="5"/>
  <c r="O23" i="5"/>
  <c r="O133" i="5"/>
  <c r="O134" i="5"/>
  <c r="O154" i="5"/>
  <c r="P144" i="5"/>
  <c r="P21" i="5"/>
  <c r="P86" i="5"/>
  <c r="P67" i="5"/>
  <c r="P26" i="5"/>
  <c r="P79" i="5"/>
  <c r="P27" i="5"/>
  <c r="P11" i="5"/>
  <c r="P72" i="5"/>
  <c r="P64" i="5"/>
  <c r="Q19" i="5"/>
  <c r="Q71" i="5"/>
  <c r="Q12" i="5"/>
  <c r="Q13" i="5"/>
  <c r="Q10" i="5"/>
  <c r="R122" i="5"/>
  <c r="R114" i="5"/>
  <c r="R101" i="5"/>
  <c r="R132" i="5"/>
  <c r="R88" i="5"/>
  <c r="R82" i="5"/>
  <c r="R121" i="5"/>
  <c r="R75" i="5"/>
  <c r="S14" i="5"/>
  <c r="S78" i="5"/>
  <c r="S40" i="5"/>
  <c r="S65" i="5"/>
  <c r="S36" i="5"/>
  <c r="S131" i="5"/>
  <c r="S7" i="5"/>
  <c r="T34" i="5"/>
  <c r="T123" i="5"/>
  <c r="T111" i="5"/>
  <c r="T94" i="5"/>
  <c r="T104" i="5"/>
  <c r="T118" i="5"/>
  <c r="T148" i="5"/>
  <c r="T55" i="5"/>
  <c r="U124" i="5"/>
  <c r="U16" i="5"/>
  <c r="U30" i="5"/>
  <c r="U145" i="5"/>
  <c r="U35" i="5"/>
  <c r="U46" i="5"/>
  <c r="V6" i="5"/>
  <c r="V56" i="5"/>
  <c r="V119" i="5"/>
  <c r="V105" i="5"/>
  <c r="V58" i="5"/>
  <c r="V45" i="5"/>
  <c r="V39" i="5"/>
  <c r="V84" i="5"/>
  <c r="V141" i="5"/>
  <c r="V48" i="5"/>
  <c r="W125" i="5"/>
  <c r="W53" i="5"/>
  <c r="W149" i="5"/>
  <c r="W92" i="5"/>
  <c r="X129" i="5"/>
  <c r="X41" i="5"/>
  <c r="X42" i="5"/>
  <c r="Y57" i="5"/>
  <c r="Y113" i="5"/>
  <c r="Y107" i="5"/>
  <c r="Y93" i="5"/>
  <c r="Z106" i="5"/>
  <c r="Z22" i="5"/>
  <c r="Z73" i="5"/>
  <c r="AA100" i="5"/>
  <c r="AB126" i="5"/>
  <c r="AB63" i="5"/>
  <c r="AB25" i="5"/>
  <c r="AB59" i="5"/>
  <c r="AC110" i="5"/>
  <c r="AD20" i="5"/>
  <c r="E25" i="6"/>
  <c r="D25" i="6"/>
  <c r="K25" i="6" s="1"/>
  <c r="L25" i="6" s="1"/>
  <c r="J48" i="6"/>
  <c r="I48" i="6"/>
  <c r="H48" i="6"/>
  <c r="G48" i="6"/>
  <c r="F48" i="6"/>
  <c r="P48" i="6"/>
  <c r="D48" i="6"/>
  <c r="N48" i="6"/>
  <c r="B48" i="6"/>
  <c r="M48" i="6"/>
  <c r="L48" i="6"/>
  <c r="A49" i="6"/>
  <c r="O48" i="6"/>
  <c r="E48" i="6"/>
  <c r="C48" i="6"/>
  <c r="K48" i="6"/>
  <c r="C39" i="4"/>
  <c r="B39" i="4"/>
  <c r="D39" i="4" s="1"/>
  <c r="A40" i="4"/>
  <c r="AI154" i="5"/>
  <c r="AI155" i="5"/>
  <c r="AI148" i="5"/>
  <c r="AI136" i="5"/>
  <c r="AI152" i="5"/>
  <c r="AI149" i="5"/>
  <c r="AI137" i="5"/>
  <c r="AI138" i="5"/>
  <c r="AI150" i="5"/>
  <c r="AI141" i="5"/>
  <c r="AI151" i="5"/>
  <c r="AI134" i="5"/>
  <c r="AI139" i="5"/>
  <c r="AI142" i="5"/>
  <c r="AI147" i="5"/>
  <c r="AI133" i="5"/>
  <c r="AI125" i="5"/>
  <c r="AI116" i="5"/>
  <c r="AI135" i="5"/>
  <c r="AI132" i="5"/>
  <c r="AI130" i="5"/>
  <c r="AI117" i="5"/>
  <c r="AI143" i="5"/>
  <c r="AI118" i="5"/>
  <c r="AI144" i="5"/>
  <c r="AI128" i="5"/>
  <c r="AI119" i="5"/>
  <c r="AI120" i="5"/>
  <c r="AI145" i="5"/>
  <c r="AI121" i="5"/>
  <c r="AI131" i="5"/>
  <c r="AI153" i="5"/>
  <c r="AI140" i="5"/>
  <c r="AI146" i="5"/>
  <c r="AI105" i="5"/>
  <c r="AI124" i="5"/>
  <c r="AI123" i="5"/>
  <c r="AI127" i="5"/>
  <c r="AI108" i="5"/>
  <c r="AI129" i="5"/>
  <c r="AI112" i="5"/>
  <c r="AI109" i="5"/>
  <c r="AI115" i="5"/>
  <c r="AI122" i="5"/>
  <c r="AI114" i="5"/>
  <c r="AI98" i="5"/>
  <c r="AI90" i="5"/>
  <c r="AI78" i="5"/>
  <c r="AI91" i="5"/>
  <c r="AI79" i="5"/>
  <c r="AI92" i="5"/>
  <c r="AI80" i="5"/>
  <c r="AI101" i="5"/>
  <c r="AI102" i="5"/>
  <c r="AI94" i="5"/>
  <c r="AI82" i="5"/>
  <c r="AI95" i="5"/>
  <c r="AI103" i="5"/>
  <c r="AI96" i="5"/>
  <c r="AI104" i="5"/>
  <c r="AI69" i="5"/>
  <c r="AI85" i="5"/>
  <c r="AI70" i="5"/>
  <c r="AI58" i="5"/>
  <c r="AI97" i="5"/>
  <c r="AI71" i="5"/>
  <c r="AI72" i="5"/>
  <c r="AI60" i="5"/>
  <c r="AI88" i="5"/>
  <c r="AI83" i="5"/>
  <c r="AI99" i="5"/>
  <c r="AI89" i="5"/>
  <c r="AI74" i="5"/>
  <c r="AI62" i="5"/>
  <c r="AI87" i="5"/>
  <c r="AI75" i="5"/>
  <c r="AI76" i="5"/>
  <c r="AI86" i="5"/>
  <c r="AI66" i="5"/>
  <c r="AI81" i="5"/>
  <c r="AI46" i="5"/>
  <c r="AI47" i="5"/>
  <c r="AI48" i="5"/>
  <c r="AI77" i="5"/>
  <c r="AI49" i="5"/>
  <c r="AI50" i="5"/>
  <c r="AI61" i="5"/>
  <c r="AI51" i="5"/>
  <c r="AI52" i="5"/>
  <c r="AI64" i="5"/>
  <c r="AI55" i="5"/>
  <c r="AI84" i="5"/>
  <c r="AI65" i="5"/>
  <c r="AI56" i="5"/>
  <c r="AI30" i="5"/>
  <c r="AI18" i="5"/>
  <c r="AI42" i="5"/>
  <c r="AI31" i="5"/>
  <c r="AI19" i="5"/>
  <c r="AI111" i="5"/>
  <c r="AI54" i="5"/>
  <c r="AI53" i="5"/>
  <c r="AI39" i="5"/>
  <c r="AI32" i="5"/>
  <c r="AI33" i="5"/>
  <c r="AI21" i="5"/>
  <c r="AI34" i="5"/>
  <c r="AI68" i="5"/>
  <c r="AI45" i="5"/>
  <c r="AI35" i="5"/>
  <c r="AI23" i="5"/>
  <c r="AI43" i="5"/>
  <c r="AI36" i="5"/>
  <c r="AI24" i="5"/>
  <c r="AI41" i="5"/>
  <c r="AI40" i="5"/>
  <c r="AI38" i="5"/>
  <c r="AI44" i="5"/>
  <c r="AI29" i="5"/>
  <c r="AI67" i="5"/>
  <c r="AI28" i="5"/>
  <c r="AI15" i="5"/>
  <c r="AI6" i="5"/>
  <c r="AI27" i="5"/>
  <c r="AI7" i="5"/>
  <c r="AI8" i="5"/>
  <c r="AI9" i="5"/>
  <c r="AI10" i="5"/>
  <c r="AI37" i="5"/>
  <c r="AI16" i="5"/>
  <c r="AI11" i="5"/>
  <c r="AI26" i="5"/>
  <c r="AI12" i="5"/>
  <c r="AI13" i="5"/>
  <c r="AI17" i="5"/>
  <c r="AI14" i="5"/>
  <c r="AJ5" i="5"/>
  <c r="C53" i="1"/>
  <c r="A54" i="1"/>
  <c r="D38" i="4"/>
  <c r="F38" i="4" s="1"/>
  <c r="A55" i="1" l="1"/>
  <c r="C54" i="1"/>
  <c r="F49" i="6"/>
  <c r="A50" i="6"/>
  <c r="E49" i="6"/>
  <c r="P49" i="6"/>
  <c r="D49" i="6"/>
  <c r="O49" i="6"/>
  <c r="C49" i="6"/>
  <c r="N49" i="6"/>
  <c r="B49" i="6"/>
  <c r="L49" i="6"/>
  <c r="J49" i="6"/>
  <c r="I49" i="6"/>
  <c r="H49" i="6"/>
  <c r="M49" i="6"/>
  <c r="K49" i="6"/>
  <c r="G49" i="6"/>
  <c r="P25" i="6"/>
  <c r="O25" i="6"/>
  <c r="E26" i="6"/>
  <c r="D26" i="6"/>
  <c r="AJ155" i="5"/>
  <c r="AJ152" i="5"/>
  <c r="AJ149" i="5"/>
  <c r="AJ137" i="5"/>
  <c r="AJ138" i="5"/>
  <c r="AJ139" i="5"/>
  <c r="AJ150" i="5"/>
  <c r="AJ142" i="5"/>
  <c r="AJ151" i="5"/>
  <c r="AJ154" i="5"/>
  <c r="AJ153" i="5"/>
  <c r="AJ143" i="5"/>
  <c r="AJ141" i="5"/>
  <c r="AJ135" i="5"/>
  <c r="AJ148" i="5"/>
  <c r="AJ147" i="5"/>
  <c r="AJ145" i="5"/>
  <c r="AJ140" i="5"/>
  <c r="AJ144" i="5"/>
  <c r="AJ134" i="5"/>
  <c r="AJ132" i="5"/>
  <c r="AJ130" i="5"/>
  <c r="AJ117" i="5"/>
  <c r="AJ118" i="5"/>
  <c r="AJ128" i="5"/>
  <c r="AJ119" i="5"/>
  <c r="AJ120" i="5"/>
  <c r="AJ121" i="5"/>
  <c r="AJ131" i="5"/>
  <c r="AJ122" i="5"/>
  <c r="AJ136" i="5"/>
  <c r="AJ127" i="5"/>
  <c r="AJ133" i="5"/>
  <c r="AJ125" i="5"/>
  <c r="AJ146" i="5"/>
  <c r="AJ124" i="5"/>
  <c r="AJ113" i="5"/>
  <c r="AJ123" i="5"/>
  <c r="AJ107" i="5"/>
  <c r="AJ108" i="5"/>
  <c r="AJ129" i="5"/>
  <c r="AJ112" i="5"/>
  <c r="AJ109" i="5"/>
  <c r="AJ116" i="5"/>
  <c r="AJ115" i="5"/>
  <c r="AJ111" i="5"/>
  <c r="AJ91" i="5"/>
  <c r="AJ79" i="5"/>
  <c r="AJ92" i="5"/>
  <c r="AJ80" i="5"/>
  <c r="AJ101" i="5"/>
  <c r="AJ93" i="5"/>
  <c r="AJ81" i="5"/>
  <c r="AJ105" i="5"/>
  <c r="AJ102" i="5"/>
  <c r="AJ94" i="5"/>
  <c r="AJ95" i="5"/>
  <c r="AJ83" i="5"/>
  <c r="AJ103" i="5"/>
  <c r="AJ96" i="5"/>
  <c r="AJ97" i="5"/>
  <c r="AJ114" i="5"/>
  <c r="AJ98" i="5"/>
  <c r="AJ90" i="5"/>
  <c r="AJ85" i="5"/>
  <c r="AJ70" i="5"/>
  <c r="AJ58" i="5"/>
  <c r="AJ71" i="5"/>
  <c r="AJ72" i="5"/>
  <c r="AJ60" i="5"/>
  <c r="AJ88" i="5"/>
  <c r="AJ61" i="5"/>
  <c r="AJ104" i="5"/>
  <c r="AJ99" i="5"/>
  <c r="AJ89" i="5"/>
  <c r="AJ78" i="5"/>
  <c r="AJ74" i="5"/>
  <c r="AJ87" i="5"/>
  <c r="AJ75" i="5"/>
  <c r="AJ76" i="5"/>
  <c r="AJ84" i="5"/>
  <c r="AJ77" i="5"/>
  <c r="AJ67" i="5"/>
  <c r="AJ62" i="5"/>
  <c r="AJ47" i="5"/>
  <c r="AJ48" i="5"/>
  <c r="AJ66" i="5"/>
  <c r="AJ49" i="5"/>
  <c r="AJ57" i="5"/>
  <c r="AJ50" i="5"/>
  <c r="AJ51" i="5"/>
  <c r="AJ82" i="5"/>
  <c r="AJ52" i="5"/>
  <c r="AJ86" i="5"/>
  <c r="AJ53" i="5"/>
  <c r="AJ65" i="5"/>
  <c r="AJ56" i="5"/>
  <c r="AJ68" i="5"/>
  <c r="AJ69" i="5"/>
  <c r="AJ42" i="5"/>
  <c r="AJ31" i="5"/>
  <c r="AJ19" i="5"/>
  <c r="AJ54" i="5"/>
  <c r="AJ46" i="5"/>
  <c r="AJ39" i="5"/>
  <c r="AJ32" i="5"/>
  <c r="AJ55" i="5"/>
  <c r="AJ33" i="5"/>
  <c r="AJ21" i="5"/>
  <c r="AJ34" i="5"/>
  <c r="AJ45" i="5"/>
  <c r="AJ35" i="5"/>
  <c r="AJ23" i="5"/>
  <c r="AJ64" i="5"/>
  <c r="AJ43" i="5"/>
  <c r="AJ36" i="5"/>
  <c r="AJ24" i="5"/>
  <c r="AJ37" i="5"/>
  <c r="AJ28" i="5"/>
  <c r="AJ30" i="5"/>
  <c r="AJ29" i="5"/>
  <c r="AJ15" i="5"/>
  <c r="AJ6" i="5"/>
  <c r="AJ27" i="5"/>
  <c r="AJ7" i="5"/>
  <c r="AJ8" i="5"/>
  <c r="AJ18" i="5"/>
  <c r="AJ9" i="5"/>
  <c r="AJ10" i="5"/>
  <c r="AJ16" i="5"/>
  <c r="AJ38" i="5"/>
  <c r="AJ40" i="5"/>
  <c r="AJ11" i="5"/>
  <c r="AJ44" i="5"/>
  <c r="AJ26" i="5"/>
  <c r="AJ12" i="5"/>
  <c r="AJ13" i="5"/>
  <c r="AJ41" i="5"/>
  <c r="AJ17" i="5"/>
  <c r="AJ14" i="5"/>
  <c r="AK5" i="5"/>
  <c r="A41" i="4"/>
  <c r="C40" i="4"/>
  <c r="B40" i="4"/>
  <c r="D40" i="4" s="1"/>
  <c r="E39" i="4"/>
  <c r="G39" i="4"/>
  <c r="D28" i="5"/>
  <c r="D135" i="5"/>
  <c r="C136" i="5"/>
  <c r="D112" i="5"/>
  <c r="D43" i="5"/>
  <c r="C96" i="5"/>
  <c r="C49" i="5"/>
  <c r="D120" i="5"/>
  <c r="E130" i="5"/>
  <c r="E108" i="5"/>
  <c r="E15" i="5"/>
  <c r="E90" i="5"/>
  <c r="F142" i="5"/>
  <c r="F87" i="5"/>
  <c r="F99" i="5"/>
  <c r="F24" i="5"/>
  <c r="G151" i="5"/>
  <c r="G51" i="5"/>
  <c r="H128" i="5"/>
  <c r="H89" i="5"/>
  <c r="H98" i="5"/>
  <c r="H83" i="5"/>
  <c r="H85" i="5"/>
  <c r="I155" i="5"/>
  <c r="I115" i="5"/>
  <c r="I50" i="5"/>
  <c r="J153" i="5"/>
  <c r="J109" i="5"/>
  <c r="J140" i="5"/>
  <c r="K91" i="5"/>
  <c r="K52" i="5"/>
  <c r="K137" i="5"/>
  <c r="K116" i="5"/>
  <c r="K138" i="5"/>
  <c r="L139" i="5"/>
  <c r="L76" i="5"/>
  <c r="L80" i="5"/>
  <c r="L147" i="5"/>
  <c r="M95" i="5"/>
  <c r="M37" i="5"/>
  <c r="M44" i="5"/>
  <c r="M33" i="5"/>
  <c r="C27" i="6"/>
  <c r="N61" i="5"/>
  <c r="N31" i="5"/>
  <c r="N29" i="5"/>
  <c r="N69" i="5"/>
  <c r="N8" i="5"/>
  <c r="N150" i="5"/>
  <c r="N18" i="5"/>
  <c r="N54" i="5"/>
  <c r="N9" i="5"/>
  <c r="O127" i="5"/>
  <c r="O103" i="5"/>
  <c r="O143" i="5"/>
  <c r="O60" i="5"/>
  <c r="O17" i="5"/>
  <c r="O32" i="5"/>
  <c r="O102" i="5"/>
  <c r="O74" i="5"/>
  <c r="O62" i="5"/>
  <c r="P133" i="5"/>
  <c r="P23" i="5"/>
  <c r="P134" i="5"/>
  <c r="P81" i="5"/>
  <c r="P154" i="5"/>
  <c r="Q27" i="5"/>
  <c r="Q64" i="5"/>
  <c r="Q72" i="5"/>
  <c r="Q21" i="5"/>
  <c r="Q11" i="5"/>
  <c r="Q86" i="5"/>
  <c r="Q144" i="5"/>
  <c r="Q67" i="5"/>
  <c r="Q26" i="5"/>
  <c r="Q79" i="5"/>
  <c r="R71" i="5"/>
  <c r="R12" i="5"/>
  <c r="R19" i="5"/>
  <c r="R10" i="5"/>
  <c r="R13" i="5"/>
  <c r="S88" i="5"/>
  <c r="S121" i="5"/>
  <c r="S122" i="5"/>
  <c r="S114" i="5"/>
  <c r="S75" i="5"/>
  <c r="S101" i="5"/>
  <c r="S82" i="5"/>
  <c r="S132" i="5"/>
  <c r="T14" i="5"/>
  <c r="T65" i="5"/>
  <c r="T40" i="5"/>
  <c r="T131" i="5"/>
  <c r="T36" i="5"/>
  <c r="T7" i="5"/>
  <c r="T78" i="5"/>
  <c r="U104" i="5"/>
  <c r="U118" i="5"/>
  <c r="U111" i="5"/>
  <c r="U55" i="5"/>
  <c r="U34" i="5"/>
  <c r="U94" i="5"/>
  <c r="U123" i="5"/>
  <c r="U148" i="5"/>
  <c r="V124" i="5"/>
  <c r="V30" i="5"/>
  <c r="V16" i="5"/>
  <c r="V145" i="5"/>
  <c r="V35" i="5"/>
  <c r="V46" i="5"/>
  <c r="W6" i="5"/>
  <c r="W141" i="5"/>
  <c r="W105" i="5"/>
  <c r="W58" i="5"/>
  <c r="W56" i="5"/>
  <c r="W48" i="5"/>
  <c r="W45" i="5"/>
  <c r="W119" i="5"/>
  <c r="W39" i="5"/>
  <c r="W84" i="5"/>
  <c r="X125" i="5"/>
  <c r="X53" i="5"/>
  <c r="X92" i="5"/>
  <c r="X149" i="5"/>
  <c r="Y129" i="5"/>
  <c r="Y41" i="5"/>
  <c r="Y42" i="5"/>
  <c r="Z107" i="5"/>
  <c r="Z57" i="5"/>
  <c r="Z113" i="5"/>
  <c r="Z93" i="5"/>
  <c r="AA106" i="5"/>
  <c r="AA22" i="5"/>
  <c r="AA73" i="5"/>
  <c r="AB100" i="5"/>
  <c r="AC63" i="5"/>
  <c r="AC126" i="5"/>
  <c r="AC59" i="5"/>
  <c r="AC25" i="5"/>
  <c r="AD110" i="5"/>
  <c r="AE20" i="5"/>
  <c r="F39" i="4"/>
  <c r="AK154" i="5" l="1"/>
  <c r="AK150" i="5"/>
  <c r="AK151" i="5"/>
  <c r="AK138" i="5"/>
  <c r="AK139" i="5"/>
  <c r="AK140" i="5"/>
  <c r="AK142" i="5"/>
  <c r="AK143" i="5"/>
  <c r="AK145" i="5"/>
  <c r="AK155" i="5"/>
  <c r="AK153" i="5"/>
  <c r="AK146" i="5"/>
  <c r="AK147" i="5"/>
  <c r="AK137" i="5"/>
  <c r="AK135" i="5"/>
  <c r="AK118" i="5"/>
  <c r="AK152" i="5"/>
  <c r="AK128" i="5"/>
  <c r="AK119" i="5"/>
  <c r="AK144" i="5"/>
  <c r="AK120" i="5"/>
  <c r="AK121" i="5"/>
  <c r="AK131" i="5"/>
  <c r="AK122" i="5"/>
  <c r="AK149" i="5"/>
  <c r="AK136" i="5"/>
  <c r="AK123" i="5"/>
  <c r="AK129" i="5"/>
  <c r="AK124" i="5"/>
  <c r="AK148" i="5"/>
  <c r="AK141" i="5"/>
  <c r="AK134" i="5"/>
  <c r="AK132" i="5"/>
  <c r="AK130" i="5"/>
  <c r="AK107" i="5"/>
  <c r="AK108" i="5"/>
  <c r="AK127" i="5"/>
  <c r="AK125" i="5"/>
  <c r="AK112" i="5"/>
  <c r="AK109" i="5"/>
  <c r="AK116" i="5"/>
  <c r="AK117" i="5"/>
  <c r="AK115" i="5"/>
  <c r="AK111" i="5"/>
  <c r="AK92" i="5"/>
  <c r="AK80" i="5"/>
  <c r="AK101" i="5"/>
  <c r="AK93" i="5"/>
  <c r="AK81" i="5"/>
  <c r="AK113" i="5"/>
  <c r="AK105" i="5"/>
  <c r="AK102" i="5"/>
  <c r="AK94" i="5"/>
  <c r="AK82" i="5"/>
  <c r="AK95" i="5"/>
  <c r="AK103" i="5"/>
  <c r="AK96" i="5"/>
  <c r="AK84" i="5"/>
  <c r="AK133" i="5"/>
  <c r="AK97" i="5"/>
  <c r="AK99" i="5"/>
  <c r="AK104" i="5"/>
  <c r="AK71" i="5"/>
  <c r="AK72" i="5"/>
  <c r="AK60" i="5"/>
  <c r="AK88" i="5"/>
  <c r="AK73" i="5"/>
  <c r="AK61" i="5"/>
  <c r="AK89" i="5"/>
  <c r="AK83" i="5"/>
  <c r="AK79" i="5"/>
  <c r="AK78" i="5"/>
  <c r="AK74" i="5"/>
  <c r="AK62" i="5"/>
  <c r="AK98" i="5"/>
  <c r="AK87" i="5"/>
  <c r="AK75" i="5"/>
  <c r="AK76" i="5"/>
  <c r="AK64" i="5"/>
  <c r="AK86" i="5"/>
  <c r="AK68" i="5"/>
  <c r="AK48" i="5"/>
  <c r="AK114" i="5"/>
  <c r="AK91" i="5"/>
  <c r="AK66" i="5"/>
  <c r="AK49" i="5"/>
  <c r="AK77" i="5"/>
  <c r="AK57" i="5"/>
  <c r="AK50" i="5"/>
  <c r="AK85" i="5"/>
  <c r="AK51" i="5"/>
  <c r="AK52" i="5"/>
  <c r="AK53" i="5"/>
  <c r="AK90" i="5"/>
  <c r="AK67" i="5"/>
  <c r="AK54" i="5"/>
  <c r="AK46" i="5"/>
  <c r="AK39" i="5"/>
  <c r="AK32" i="5"/>
  <c r="AK55" i="5"/>
  <c r="AK33" i="5"/>
  <c r="AK21" i="5"/>
  <c r="AK56" i="5"/>
  <c r="AK34" i="5"/>
  <c r="AK22" i="5"/>
  <c r="AK45" i="5"/>
  <c r="AK35" i="5"/>
  <c r="AK23" i="5"/>
  <c r="AK43" i="5"/>
  <c r="AK36" i="5"/>
  <c r="AK24" i="5"/>
  <c r="AK37" i="5"/>
  <c r="AK58" i="5"/>
  <c r="AK26" i="5"/>
  <c r="AK106" i="5"/>
  <c r="AK47" i="5"/>
  <c r="AK44" i="5"/>
  <c r="AK29" i="5"/>
  <c r="AK69" i="5"/>
  <c r="AK42" i="5"/>
  <c r="AK31" i="5"/>
  <c r="AK30" i="5"/>
  <c r="AK28" i="5"/>
  <c r="AK27" i="5"/>
  <c r="AK7" i="5"/>
  <c r="AK8" i="5"/>
  <c r="AK18" i="5"/>
  <c r="AK9" i="5"/>
  <c r="AK10" i="5"/>
  <c r="AK65" i="5"/>
  <c r="AK16" i="5"/>
  <c r="AK38" i="5"/>
  <c r="AK70" i="5"/>
  <c r="AK40" i="5"/>
  <c r="AK11" i="5"/>
  <c r="AK19" i="5"/>
  <c r="AK12" i="5"/>
  <c r="AK13" i="5"/>
  <c r="AK41" i="5"/>
  <c r="AK17" i="5"/>
  <c r="AK14" i="5"/>
  <c r="AL5" i="5"/>
  <c r="AK15" i="5"/>
  <c r="AK6" i="5"/>
  <c r="E40" i="4"/>
  <c r="F40" i="4" s="1"/>
  <c r="G40" i="4"/>
  <c r="D96" i="5"/>
  <c r="D136" i="5"/>
  <c r="D49" i="5"/>
  <c r="C38" i="5"/>
  <c r="E28" i="5"/>
  <c r="E43" i="5"/>
  <c r="E135" i="5"/>
  <c r="E112" i="5"/>
  <c r="E120" i="5"/>
  <c r="F108" i="5"/>
  <c r="F90" i="5"/>
  <c r="F15" i="5"/>
  <c r="F130" i="5"/>
  <c r="G87" i="5"/>
  <c r="G99" i="5"/>
  <c r="G24" i="5"/>
  <c r="G142" i="5"/>
  <c r="H51" i="5"/>
  <c r="H151" i="5"/>
  <c r="I85" i="5"/>
  <c r="I83" i="5"/>
  <c r="I128" i="5"/>
  <c r="I98" i="5"/>
  <c r="I89" i="5"/>
  <c r="J50" i="5"/>
  <c r="J115" i="5"/>
  <c r="J155" i="5"/>
  <c r="K140" i="5"/>
  <c r="K153" i="5"/>
  <c r="K109" i="5"/>
  <c r="L138" i="5"/>
  <c r="L91" i="5"/>
  <c r="L116" i="5"/>
  <c r="L137" i="5"/>
  <c r="L52" i="5"/>
  <c r="M76" i="5"/>
  <c r="M147" i="5"/>
  <c r="M80" i="5"/>
  <c r="M139" i="5"/>
  <c r="N95" i="5"/>
  <c r="N44" i="5"/>
  <c r="N37" i="5"/>
  <c r="N33" i="5"/>
  <c r="O31" i="5"/>
  <c r="C28" i="6"/>
  <c r="O61" i="5"/>
  <c r="O8" i="5"/>
  <c r="O69" i="5"/>
  <c r="O29" i="5"/>
  <c r="O18" i="5"/>
  <c r="O150" i="5"/>
  <c r="O9" i="5"/>
  <c r="O54" i="5"/>
  <c r="P143" i="5"/>
  <c r="P74" i="5"/>
  <c r="P62" i="5"/>
  <c r="P102" i="5"/>
  <c r="P103" i="5"/>
  <c r="P60" i="5"/>
  <c r="P127" i="5"/>
  <c r="P32" i="5"/>
  <c r="P17" i="5"/>
  <c r="Q23" i="5"/>
  <c r="Q134" i="5"/>
  <c r="Q154" i="5"/>
  <c r="Q81" i="5"/>
  <c r="Q133" i="5"/>
  <c r="R64" i="5"/>
  <c r="R27" i="5"/>
  <c r="R72" i="5"/>
  <c r="R86" i="5"/>
  <c r="R67" i="5"/>
  <c r="R11" i="5"/>
  <c r="R79" i="5"/>
  <c r="R21" i="5"/>
  <c r="R144" i="5"/>
  <c r="R26" i="5"/>
  <c r="S10" i="5"/>
  <c r="S12" i="5"/>
  <c r="S71" i="5"/>
  <c r="S19" i="5"/>
  <c r="S13" i="5"/>
  <c r="T114" i="5"/>
  <c r="T82" i="5"/>
  <c r="T122" i="5"/>
  <c r="T101" i="5"/>
  <c r="T121" i="5"/>
  <c r="T75" i="5"/>
  <c r="T88" i="5"/>
  <c r="T132" i="5"/>
  <c r="U131" i="5"/>
  <c r="U78" i="5"/>
  <c r="U7" i="5"/>
  <c r="U14" i="5"/>
  <c r="U65" i="5"/>
  <c r="U40" i="5"/>
  <c r="U36" i="5"/>
  <c r="V34" i="5"/>
  <c r="V104" i="5"/>
  <c r="V123" i="5"/>
  <c r="V118" i="5"/>
  <c r="V111" i="5"/>
  <c r="V94" i="5"/>
  <c r="V148" i="5"/>
  <c r="V55" i="5"/>
  <c r="W16" i="5"/>
  <c r="W145" i="5"/>
  <c r="W30" i="5"/>
  <c r="W35" i="5"/>
  <c r="W124" i="5"/>
  <c r="W46" i="5"/>
  <c r="X105" i="5"/>
  <c r="X56" i="5"/>
  <c r="X141" i="5"/>
  <c r="X48" i="5"/>
  <c r="X39" i="5"/>
  <c r="X45" i="5"/>
  <c r="X58" i="5"/>
  <c r="X119" i="5"/>
  <c r="X6" i="5"/>
  <c r="X84" i="5"/>
  <c r="Y149" i="5"/>
  <c r="Y125" i="5"/>
  <c r="Y92" i="5"/>
  <c r="Y53" i="5"/>
  <c r="Z129" i="5"/>
  <c r="Z41" i="5"/>
  <c r="Z42" i="5"/>
  <c r="AA107" i="5"/>
  <c r="AA57" i="5"/>
  <c r="AA113" i="5"/>
  <c r="AA93" i="5"/>
  <c r="AB106" i="5"/>
  <c r="AB22" i="5"/>
  <c r="AB73" i="5"/>
  <c r="AC100" i="5"/>
  <c r="AD126" i="5"/>
  <c r="AD63" i="5"/>
  <c r="AD59" i="5"/>
  <c r="AD25" i="5"/>
  <c r="AE110" i="5"/>
  <c r="AF20" i="5"/>
  <c r="B41" i="4"/>
  <c r="D41" i="4" s="1"/>
  <c r="A42" i="4"/>
  <c r="C41" i="4"/>
  <c r="N50" i="6"/>
  <c r="B50" i="6"/>
  <c r="M50" i="6"/>
  <c r="L50" i="6"/>
  <c r="K50" i="6"/>
  <c r="J50" i="6"/>
  <c r="H50" i="6"/>
  <c r="F50" i="6"/>
  <c r="A51" i="6"/>
  <c r="E50" i="6"/>
  <c r="P50" i="6"/>
  <c r="D50" i="6"/>
  <c r="C50" i="6"/>
  <c r="O50" i="6"/>
  <c r="G50" i="6"/>
  <c r="I50" i="6"/>
  <c r="C55" i="1"/>
  <c r="A56" i="1"/>
  <c r="E27" i="6"/>
  <c r="D27" i="6"/>
  <c r="K27" i="6" s="1"/>
  <c r="L27" i="6" s="1"/>
  <c r="K26" i="6"/>
  <c r="L26" i="6" s="1"/>
  <c r="D28" i="6" l="1"/>
  <c r="K28" i="6" s="1"/>
  <c r="L28" i="6" s="1"/>
  <c r="E28" i="6"/>
  <c r="AL155" i="5"/>
  <c r="AL151" i="5"/>
  <c r="AL152" i="5"/>
  <c r="AL139" i="5"/>
  <c r="AL140" i="5"/>
  <c r="AL141" i="5"/>
  <c r="AL143" i="5"/>
  <c r="AL144" i="5"/>
  <c r="AL154" i="5"/>
  <c r="AL153" i="5"/>
  <c r="AL146" i="5"/>
  <c r="AL147" i="5"/>
  <c r="AL148" i="5"/>
  <c r="AL125" i="5"/>
  <c r="AL142" i="5"/>
  <c r="AL150" i="5"/>
  <c r="AL145" i="5"/>
  <c r="AL149" i="5"/>
  <c r="AL128" i="5"/>
  <c r="AL119" i="5"/>
  <c r="AL138" i="5"/>
  <c r="AL120" i="5"/>
  <c r="AL121" i="5"/>
  <c r="AL131" i="5"/>
  <c r="AL122" i="5"/>
  <c r="AL136" i="5"/>
  <c r="AL123" i="5"/>
  <c r="AL129" i="5"/>
  <c r="AL124" i="5"/>
  <c r="AL133" i="5"/>
  <c r="AL137" i="5"/>
  <c r="AL135" i="5"/>
  <c r="AL108" i="5"/>
  <c r="AL127" i="5"/>
  <c r="AL112" i="5"/>
  <c r="AL109" i="5"/>
  <c r="AL116" i="5"/>
  <c r="AL118" i="5"/>
  <c r="AL117" i="5"/>
  <c r="AL115" i="5"/>
  <c r="AL111" i="5"/>
  <c r="AL130" i="5"/>
  <c r="AL132" i="5"/>
  <c r="AL114" i="5"/>
  <c r="AL101" i="5"/>
  <c r="AL93" i="5"/>
  <c r="AL81" i="5"/>
  <c r="AL113" i="5"/>
  <c r="AL105" i="5"/>
  <c r="AL102" i="5"/>
  <c r="AL94" i="5"/>
  <c r="AL82" i="5"/>
  <c r="AL134" i="5"/>
  <c r="AL100" i="5"/>
  <c r="AL95" i="5"/>
  <c r="AL83" i="5"/>
  <c r="AL103" i="5"/>
  <c r="AL96" i="5"/>
  <c r="AL97" i="5"/>
  <c r="AL85" i="5"/>
  <c r="AL99" i="5"/>
  <c r="AL106" i="5"/>
  <c r="AL98" i="5"/>
  <c r="AL90" i="5"/>
  <c r="AL107" i="5"/>
  <c r="AL92" i="5"/>
  <c r="AL72" i="5"/>
  <c r="AL60" i="5"/>
  <c r="AL88" i="5"/>
  <c r="AL73" i="5"/>
  <c r="AL61" i="5"/>
  <c r="AL89" i="5"/>
  <c r="AL79" i="5"/>
  <c r="AL78" i="5"/>
  <c r="AL74" i="5"/>
  <c r="AL62" i="5"/>
  <c r="AL104" i="5"/>
  <c r="AL87" i="5"/>
  <c r="AL75" i="5"/>
  <c r="AL80" i="5"/>
  <c r="AL76" i="5"/>
  <c r="AL64" i="5"/>
  <c r="AL65" i="5"/>
  <c r="AL86" i="5"/>
  <c r="AL84" i="5"/>
  <c r="AL91" i="5"/>
  <c r="AL77" i="5"/>
  <c r="AL69" i="5"/>
  <c r="AL66" i="5"/>
  <c r="AL49" i="5"/>
  <c r="AL57" i="5"/>
  <c r="AL50" i="5"/>
  <c r="AL51" i="5"/>
  <c r="AL52" i="5"/>
  <c r="AL53" i="5"/>
  <c r="AL67" i="5"/>
  <c r="AL54" i="5"/>
  <c r="AL58" i="5"/>
  <c r="AL55" i="5"/>
  <c r="AL68" i="5"/>
  <c r="AL47" i="5"/>
  <c r="AL33" i="5"/>
  <c r="AL21" i="5"/>
  <c r="AL56" i="5"/>
  <c r="AL34" i="5"/>
  <c r="AL22" i="5"/>
  <c r="AL45" i="5"/>
  <c r="AL35" i="5"/>
  <c r="AL23" i="5"/>
  <c r="AL11" i="5"/>
  <c r="AL71" i="5"/>
  <c r="AL43" i="5"/>
  <c r="AL36" i="5"/>
  <c r="AL24" i="5"/>
  <c r="AL37" i="5"/>
  <c r="AL26" i="5"/>
  <c r="AL41" i="5"/>
  <c r="AL40" i="5"/>
  <c r="AL38" i="5"/>
  <c r="AL27" i="5"/>
  <c r="AL30" i="5"/>
  <c r="AL46" i="5"/>
  <c r="AL39" i="5"/>
  <c r="AL32" i="5"/>
  <c r="AL48" i="5"/>
  <c r="AL8" i="5"/>
  <c r="AL42" i="5"/>
  <c r="AL18" i="5"/>
  <c r="AL9" i="5"/>
  <c r="AL10" i="5"/>
  <c r="AL16" i="5"/>
  <c r="AL70" i="5"/>
  <c r="AL19" i="5"/>
  <c r="AL12" i="5"/>
  <c r="AL44" i="5"/>
  <c r="AL13" i="5"/>
  <c r="AL17" i="5"/>
  <c r="AL14" i="5"/>
  <c r="AM5" i="5"/>
  <c r="AL15" i="5"/>
  <c r="AL6" i="5"/>
  <c r="AL31" i="5"/>
  <c r="AL29" i="5"/>
  <c r="AL28" i="5"/>
  <c r="AL7" i="5"/>
  <c r="E41" i="4"/>
  <c r="O26" i="6"/>
  <c r="P26" i="6"/>
  <c r="A57" i="1"/>
  <c r="C56" i="1"/>
  <c r="C42" i="4"/>
  <c r="E42" i="4" s="1"/>
  <c r="B42" i="4"/>
  <c r="A43" i="4"/>
  <c r="J51" i="6"/>
  <c r="I51" i="6"/>
  <c r="H51" i="6"/>
  <c r="G51" i="6"/>
  <c r="F51" i="6"/>
  <c r="P51" i="6"/>
  <c r="D51" i="6"/>
  <c r="N51" i="6"/>
  <c r="B51" i="6"/>
  <c r="M51" i="6"/>
  <c r="L51" i="6"/>
  <c r="A52" i="6"/>
  <c r="O51" i="6"/>
  <c r="E51" i="6"/>
  <c r="C51" i="6"/>
  <c r="K51" i="6"/>
  <c r="G41" i="4"/>
  <c r="C117" i="5"/>
  <c r="D38" i="5"/>
  <c r="C47" i="5"/>
  <c r="E136" i="5"/>
  <c r="E49" i="5"/>
  <c r="E96" i="5"/>
  <c r="F120" i="5"/>
  <c r="F112" i="5"/>
  <c r="F28" i="5"/>
  <c r="F43" i="5"/>
  <c r="F135" i="5"/>
  <c r="G130" i="5"/>
  <c r="G108" i="5"/>
  <c r="G15" i="5"/>
  <c r="G90" i="5"/>
  <c r="H87" i="5"/>
  <c r="H24" i="5"/>
  <c r="H99" i="5"/>
  <c r="H142" i="5"/>
  <c r="I51" i="5"/>
  <c r="I151" i="5"/>
  <c r="J89" i="5"/>
  <c r="J83" i="5"/>
  <c r="J98" i="5"/>
  <c r="J85" i="5"/>
  <c r="J128" i="5"/>
  <c r="K155" i="5"/>
  <c r="K115" i="5"/>
  <c r="K50" i="5"/>
  <c r="L140" i="5"/>
  <c r="L109" i="5"/>
  <c r="L153" i="5"/>
  <c r="M116" i="5"/>
  <c r="M137" i="5"/>
  <c r="M52" i="5"/>
  <c r="M91" i="5"/>
  <c r="M138" i="5"/>
  <c r="N147" i="5"/>
  <c r="N80" i="5"/>
  <c r="N76" i="5"/>
  <c r="N139" i="5"/>
  <c r="O44" i="5"/>
  <c r="O37" i="5"/>
  <c r="O33" i="5"/>
  <c r="O95" i="5"/>
  <c r="P8" i="5"/>
  <c r="P9" i="5"/>
  <c r="P54" i="5"/>
  <c r="P150" i="5"/>
  <c r="P61" i="5"/>
  <c r="P29" i="5"/>
  <c r="C29" i="6"/>
  <c r="P69" i="5"/>
  <c r="P18" i="5"/>
  <c r="P31" i="5"/>
  <c r="Q60" i="5"/>
  <c r="Q103" i="5"/>
  <c r="Q32" i="5"/>
  <c r="Q17" i="5"/>
  <c r="Q102" i="5"/>
  <c r="Q143" i="5"/>
  <c r="Q127" i="5"/>
  <c r="Q62" i="5"/>
  <c r="Q74" i="5"/>
  <c r="R133" i="5"/>
  <c r="R81" i="5"/>
  <c r="R23" i="5"/>
  <c r="R154" i="5"/>
  <c r="R134" i="5"/>
  <c r="S79" i="5"/>
  <c r="S144" i="5"/>
  <c r="S11" i="5"/>
  <c r="S72" i="5"/>
  <c r="S64" i="5"/>
  <c r="S26" i="5"/>
  <c r="S86" i="5"/>
  <c r="S27" i="5"/>
  <c r="S67" i="5"/>
  <c r="S21" i="5"/>
  <c r="T10" i="5"/>
  <c r="T12" i="5"/>
  <c r="T19" i="5"/>
  <c r="T71" i="5"/>
  <c r="T13" i="5"/>
  <c r="U88" i="5"/>
  <c r="U114" i="5"/>
  <c r="U121" i="5"/>
  <c r="U101" i="5"/>
  <c r="U82" i="5"/>
  <c r="U122" i="5"/>
  <c r="U75" i="5"/>
  <c r="U132" i="5"/>
  <c r="V78" i="5"/>
  <c r="V65" i="5"/>
  <c r="V14" i="5"/>
  <c r="V7" i="5"/>
  <c r="V40" i="5"/>
  <c r="V36" i="5"/>
  <c r="V131" i="5"/>
  <c r="W118" i="5"/>
  <c r="W123" i="5"/>
  <c r="W55" i="5"/>
  <c r="W111" i="5"/>
  <c r="W34" i="5"/>
  <c r="W94" i="5"/>
  <c r="W148" i="5"/>
  <c r="W104" i="5"/>
  <c r="X35" i="5"/>
  <c r="X46" i="5"/>
  <c r="X30" i="5"/>
  <c r="X145" i="5"/>
  <c r="X16" i="5"/>
  <c r="X124" i="5"/>
  <c r="Y48" i="5"/>
  <c r="Y141" i="5"/>
  <c r="Y6" i="5"/>
  <c r="Y39" i="5"/>
  <c r="Y119" i="5"/>
  <c r="Y58" i="5"/>
  <c r="Y56" i="5"/>
  <c r="Y84" i="5"/>
  <c r="Y105" i="5"/>
  <c r="Y45" i="5"/>
  <c r="Z53" i="5"/>
  <c r="Z149" i="5"/>
  <c r="Z125" i="5"/>
  <c r="Z92" i="5"/>
  <c r="AA42" i="5"/>
  <c r="AA129" i="5"/>
  <c r="AA41" i="5"/>
  <c r="AB107" i="5"/>
  <c r="AB113" i="5"/>
  <c r="AB57" i="5"/>
  <c r="AB93" i="5"/>
  <c r="AC106" i="5"/>
  <c r="AC22" i="5"/>
  <c r="AC73" i="5"/>
  <c r="AD100" i="5"/>
  <c r="AE63" i="5"/>
  <c r="AE25" i="5"/>
  <c r="AE126" i="5"/>
  <c r="AE59" i="5"/>
  <c r="AF110" i="5"/>
  <c r="AG20" i="5"/>
  <c r="F41" i="4"/>
  <c r="P27" i="6"/>
  <c r="O27" i="6"/>
  <c r="G42" i="4" l="1"/>
  <c r="C70" i="5"/>
  <c r="D47" i="5"/>
  <c r="D117" i="5"/>
  <c r="C152" i="5"/>
  <c r="C146" i="5"/>
  <c r="E38" i="5"/>
  <c r="F96" i="5"/>
  <c r="F49" i="5"/>
  <c r="F136" i="5"/>
  <c r="G112" i="5"/>
  <c r="G43" i="5"/>
  <c r="G135" i="5"/>
  <c r="G120" i="5"/>
  <c r="G28" i="5"/>
  <c r="H15" i="5"/>
  <c r="H108" i="5"/>
  <c r="H130" i="5"/>
  <c r="H90" i="5"/>
  <c r="I24" i="5"/>
  <c r="I87" i="5"/>
  <c r="I99" i="5"/>
  <c r="I142" i="5"/>
  <c r="J51" i="5"/>
  <c r="J151" i="5"/>
  <c r="K98" i="5"/>
  <c r="K83" i="5"/>
  <c r="K85" i="5"/>
  <c r="K89" i="5"/>
  <c r="K128" i="5"/>
  <c r="L115" i="5"/>
  <c r="L50" i="5"/>
  <c r="L155" i="5"/>
  <c r="M153" i="5"/>
  <c r="M109" i="5"/>
  <c r="M140" i="5"/>
  <c r="N138" i="5"/>
  <c r="N116" i="5"/>
  <c r="N52" i="5"/>
  <c r="N137" i="5"/>
  <c r="N91" i="5"/>
  <c r="O139" i="5"/>
  <c r="O76" i="5"/>
  <c r="O147" i="5"/>
  <c r="O80" i="5"/>
  <c r="P37" i="5"/>
  <c r="P44" i="5"/>
  <c r="P95" i="5"/>
  <c r="P33" i="5"/>
  <c r="Q18" i="5"/>
  <c r="Q150" i="5"/>
  <c r="Q54" i="5"/>
  <c r="Q61" i="5"/>
  <c r="Q69" i="5"/>
  <c r="Q29" i="5"/>
  <c r="Q31" i="5"/>
  <c r="Q8" i="5"/>
  <c r="Q9" i="5"/>
  <c r="C30" i="6"/>
  <c r="R17" i="5"/>
  <c r="R74" i="5"/>
  <c r="R127" i="5"/>
  <c r="R60" i="5"/>
  <c r="R143" i="5"/>
  <c r="R62" i="5"/>
  <c r="R32" i="5"/>
  <c r="R102" i="5"/>
  <c r="R103" i="5"/>
  <c r="S154" i="5"/>
  <c r="S133" i="5"/>
  <c r="S134" i="5"/>
  <c r="S23" i="5"/>
  <c r="S81" i="5"/>
  <c r="T72" i="5"/>
  <c r="T67" i="5"/>
  <c r="T86" i="5"/>
  <c r="T27" i="5"/>
  <c r="T21" i="5"/>
  <c r="T79" i="5"/>
  <c r="T64" i="5"/>
  <c r="T11" i="5"/>
  <c r="T144" i="5"/>
  <c r="T26" i="5"/>
  <c r="U13" i="5"/>
  <c r="U19" i="5"/>
  <c r="U71" i="5"/>
  <c r="U10" i="5"/>
  <c r="U12" i="5"/>
  <c r="V114" i="5"/>
  <c r="V132" i="5"/>
  <c r="V88" i="5"/>
  <c r="V121" i="5"/>
  <c r="V75" i="5"/>
  <c r="V82" i="5"/>
  <c r="V101" i="5"/>
  <c r="V122" i="5"/>
  <c r="W14" i="5"/>
  <c r="W7" i="5"/>
  <c r="W40" i="5"/>
  <c r="W78" i="5"/>
  <c r="W65" i="5"/>
  <c r="W36" i="5"/>
  <c r="W131" i="5"/>
  <c r="X123" i="5"/>
  <c r="X111" i="5"/>
  <c r="X94" i="5"/>
  <c r="X118" i="5"/>
  <c r="X34" i="5"/>
  <c r="X55" i="5"/>
  <c r="X104" i="5"/>
  <c r="X148" i="5"/>
  <c r="Y35" i="5"/>
  <c r="Y30" i="5"/>
  <c r="Y124" i="5"/>
  <c r="Y46" i="5"/>
  <c r="Y145" i="5"/>
  <c r="Y16" i="5"/>
  <c r="Z58" i="5"/>
  <c r="Z105" i="5"/>
  <c r="Z48" i="5"/>
  <c r="Z84" i="5"/>
  <c r="Z39" i="5"/>
  <c r="Z119" i="5"/>
  <c r="Z6" i="5"/>
  <c r="Z56" i="5"/>
  <c r="Z141" i="5"/>
  <c r="Z45" i="5"/>
  <c r="AA92" i="5"/>
  <c r="AA149" i="5"/>
  <c r="AA125" i="5"/>
  <c r="AA53" i="5"/>
  <c r="AB42" i="5"/>
  <c r="AB129" i="5"/>
  <c r="AB41" i="5"/>
  <c r="AC93" i="5"/>
  <c r="AC113" i="5"/>
  <c r="AC107" i="5"/>
  <c r="AC57" i="5"/>
  <c r="AD106" i="5"/>
  <c r="AD22" i="5"/>
  <c r="AD73" i="5"/>
  <c r="AE100" i="5"/>
  <c r="AF126" i="5"/>
  <c r="AF25" i="5"/>
  <c r="AF63" i="5"/>
  <c r="AF59" i="5"/>
  <c r="AG110" i="5"/>
  <c r="AH20" i="5"/>
  <c r="P28" i="6"/>
  <c r="O28" i="6"/>
  <c r="A58" i="1"/>
  <c r="C57" i="1"/>
  <c r="AM150" i="5"/>
  <c r="AM152" i="5"/>
  <c r="AM153" i="5"/>
  <c r="AM140" i="5"/>
  <c r="AM141" i="5"/>
  <c r="AM142" i="5"/>
  <c r="AM144" i="5"/>
  <c r="AM145" i="5"/>
  <c r="AM155" i="5"/>
  <c r="AM147" i="5"/>
  <c r="AM148" i="5"/>
  <c r="AM149" i="5"/>
  <c r="AM154" i="5"/>
  <c r="AM126" i="5"/>
  <c r="AM139" i="5"/>
  <c r="AM138" i="5"/>
  <c r="AM137" i="5"/>
  <c r="AM151" i="5"/>
  <c r="AM146" i="5"/>
  <c r="AM120" i="5"/>
  <c r="AM143" i="5"/>
  <c r="AM121" i="5"/>
  <c r="AM131" i="5"/>
  <c r="AM122" i="5"/>
  <c r="AM136" i="5"/>
  <c r="AM123" i="5"/>
  <c r="AM129" i="5"/>
  <c r="AM124" i="5"/>
  <c r="AM127" i="5"/>
  <c r="AM134" i="5"/>
  <c r="AM132" i="5"/>
  <c r="AM130" i="5"/>
  <c r="AM125" i="5"/>
  <c r="AM128" i="5"/>
  <c r="AM135" i="5"/>
  <c r="AM112" i="5"/>
  <c r="AM109" i="5"/>
  <c r="AM97" i="5"/>
  <c r="AM116" i="5"/>
  <c r="AM118" i="5"/>
  <c r="AM117" i="5"/>
  <c r="AM115" i="5"/>
  <c r="AM111" i="5"/>
  <c r="AM119" i="5"/>
  <c r="AM114" i="5"/>
  <c r="AM133" i="5"/>
  <c r="AM113" i="5"/>
  <c r="AM105" i="5"/>
  <c r="AM102" i="5"/>
  <c r="AM94" i="5"/>
  <c r="AM82" i="5"/>
  <c r="AM100" i="5"/>
  <c r="AM95" i="5"/>
  <c r="AM83" i="5"/>
  <c r="AM103" i="5"/>
  <c r="AM96" i="5"/>
  <c r="AM84" i="5"/>
  <c r="AM99" i="5"/>
  <c r="AM86" i="5"/>
  <c r="AM106" i="5"/>
  <c r="AM108" i="5"/>
  <c r="AM91" i="5"/>
  <c r="AM101" i="5"/>
  <c r="AM93" i="5"/>
  <c r="AM88" i="5"/>
  <c r="AM73" i="5"/>
  <c r="AM61" i="5"/>
  <c r="AM89" i="5"/>
  <c r="AM79" i="5"/>
  <c r="AM78" i="5"/>
  <c r="AM74" i="5"/>
  <c r="AM62" i="5"/>
  <c r="AM107" i="5"/>
  <c r="AM104" i="5"/>
  <c r="AM87" i="5"/>
  <c r="AM75" i="5"/>
  <c r="AM63" i="5"/>
  <c r="AM98" i="5"/>
  <c r="AM80" i="5"/>
  <c r="AM76" i="5"/>
  <c r="AM64" i="5"/>
  <c r="AM65" i="5"/>
  <c r="AM66" i="5"/>
  <c r="AM92" i="5"/>
  <c r="AM77" i="5"/>
  <c r="AM81" i="5"/>
  <c r="AM70" i="5"/>
  <c r="AM57" i="5"/>
  <c r="AM50" i="5"/>
  <c r="AM38" i="5"/>
  <c r="AM60" i="5"/>
  <c r="AM51" i="5"/>
  <c r="AM85" i="5"/>
  <c r="AM52" i="5"/>
  <c r="AM53" i="5"/>
  <c r="AM67" i="5"/>
  <c r="AM54" i="5"/>
  <c r="AM42" i="5"/>
  <c r="AM90" i="5"/>
  <c r="AM58" i="5"/>
  <c r="AM55" i="5"/>
  <c r="AM72" i="5"/>
  <c r="AM71" i="5"/>
  <c r="AM69" i="5"/>
  <c r="AM56" i="5"/>
  <c r="AM59" i="5"/>
  <c r="AM48" i="5"/>
  <c r="AM34" i="5"/>
  <c r="AM22" i="5"/>
  <c r="AM45" i="5"/>
  <c r="AM35" i="5"/>
  <c r="AM23" i="5"/>
  <c r="AM11" i="5"/>
  <c r="AM43" i="5"/>
  <c r="AM36" i="5"/>
  <c r="AM24" i="5"/>
  <c r="AM12" i="5"/>
  <c r="AM37" i="5"/>
  <c r="AM25" i="5"/>
  <c r="AM68" i="5"/>
  <c r="AM26" i="5"/>
  <c r="AM49" i="5"/>
  <c r="AM41" i="5"/>
  <c r="AM40" i="5"/>
  <c r="AM27" i="5"/>
  <c r="AM28" i="5"/>
  <c r="AM31" i="5"/>
  <c r="AM33" i="5"/>
  <c r="AM18" i="5"/>
  <c r="AM9" i="5"/>
  <c r="AM21" i="5"/>
  <c r="AM10" i="5"/>
  <c r="AM16" i="5"/>
  <c r="AM46" i="5"/>
  <c r="AM19" i="5"/>
  <c r="AM44" i="5"/>
  <c r="AM39" i="5"/>
  <c r="AM13" i="5"/>
  <c r="AM47" i="5"/>
  <c r="AM17" i="5"/>
  <c r="AM14" i="5"/>
  <c r="AN5" i="5"/>
  <c r="AM15" i="5"/>
  <c r="AM6" i="5"/>
  <c r="AM32" i="5"/>
  <c r="AM29" i="5"/>
  <c r="AM7" i="5"/>
  <c r="AM30" i="5"/>
  <c r="AM8" i="5"/>
  <c r="F52" i="6"/>
  <c r="A53" i="6"/>
  <c r="E52" i="6"/>
  <c r="P52" i="6"/>
  <c r="D52" i="6"/>
  <c r="O52" i="6"/>
  <c r="C52" i="6"/>
  <c r="N52" i="6"/>
  <c r="B52" i="6"/>
  <c r="L52" i="6"/>
  <c r="J52" i="6"/>
  <c r="I52" i="6"/>
  <c r="H52" i="6"/>
  <c r="M52" i="6"/>
  <c r="K52" i="6"/>
  <c r="G52" i="6"/>
  <c r="A44" i="4"/>
  <c r="C43" i="4"/>
  <c r="B43" i="4"/>
  <c r="D43" i="4" s="1"/>
  <c r="E29" i="6"/>
  <c r="D29" i="6"/>
  <c r="K29" i="6" s="1"/>
  <c r="L29" i="6" s="1"/>
  <c r="D42" i="4"/>
  <c r="F42" i="4" s="1"/>
  <c r="N53" i="6" l="1"/>
  <c r="B53" i="6"/>
  <c r="M53" i="6"/>
  <c r="L53" i="6"/>
  <c r="K53" i="6"/>
  <c r="J53" i="6"/>
  <c r="H53" i="6"/>
  <c r="F53" i="6"/>
  <c r="A54" i="6"/>
  <c r="E53" i="6"/>
  <c r="P53" i="6"/>
  <c r="D53" i="6"/>
  <c r="C53" i="6"/>
  <c r="O53" i="6"/>
  <c r="G53" i="6"/>
  <c r="I53" i="6"/>
  <c r="AN151" i="5"/>
  <c r="AN153" i="5"/>
  <c r="AN154" i="5"/>
  <c r="AN141" i="5"/>
  <c r="AN142" i="5"/>
  <c r="AN150" i="5"/>
  <c r="AN143" i="5"/>
  <c r="AN145" i="5"/>
  <c r="AN146" i="5"/>
  <c r="AN148" i="5"/>
  <c r="AN149" i="5"/>
  <c r="AN127" i="5"/>
  <c r="AN139" i="5"/>
  <c r="AN138" i="5"/>
  <c r="AN137" i="5"/>
  <c r="AN155" i="5"/>
  <c r="AN147" i="5"/>
  <c r="AN140" i="5"/>
  <c r="AN152" i="5"/>
  <c r="AN144" i="5"/>
  <c r="AN121" i="5"/>
  <c r="AN131" i="5"/>
  <c r="AN126" i="5"/>
  <c r="AN122" i="5"/>
  <c r="AN136" i="5"/>
  <c r="AN123" i="5"/>
  <c r="AN129" i="5"/>
  <c r="AN124" i="5"/>
  <c r="AN135" i="5"/>
  <c r="AN116" i="5"/>
  <c r="AN110" i="5"/>
  <c r="AN98" i="5"/>
  <c r="AN125" i="5"/>
  <c r="AN118" i="5"/>
  <c r="AN117" i="5"/>
  <c r="AN99" i="5"/>
  <c r="AN115" i="5"/>
  <c r="AN111" i="5"/>
  <c r="AN128" i="5"/>
  <c r="AN101" i="5"/>
  <c r="AN130" i="5"/>
  <c r="AN120" i="5"/>
  <c r="AN132" i="5"/>
  <c r="AN119" i="5"/>
  <c r="AN114" i="5"/>
  <c r="AN133" i="5"/>
  <c r="AN134" i="5"/>
  <c r="AN100" i="5"/>
  <c r="AN95" i="5"/>
  <c r="AN83" i="5"/>
  <c r="AN103" i="5"/>
  <c r="AN96" i="5"/>
  <c r="AN84" i="5"/>
  <c r="AN85" i="5"/>
  <c r="AN112" i="5"/>
  <c r="AN97" i="5"/>
  <c r="AN86" i="5"/>
  <c r="AN109" i="5"/>
  <c r="AN106" i="5"/>
  <c r="AN87" i="5"/>
  <c r="AN108" i="5"/>
  <c r="AN88" i="5"/>
  <c r="AN104" i="5"/>
  <c r="AN89" i="5"/>
  <c r="AN107" i="5"/>
  <c r="AN92" i="5"/>
  <c r="AN113" i="5"/>
  <c r="AN105" i="5"/>
  <c r="AN102" i="5"/>
  <c r="AN94" i="5"/>
  <c r="AN79" i="5"/>
  <c r="AN78" i="5"/>
  <c r="AN74" i="5"/>
  <c r="AN62" i="5"/>
  <c r="AN75" i="5"/>
  <c r="AN63" i="5"/>
  <c r="AN80" i="5"/>
  <c r="AN76" i="5"/>
  <c r="AN64" i="5"/>
  <c r="AN65" i="5"/>
  <c r="AN66" i="5"/>
  <c r="AN93" i="5"/>
  <c r="AN77" i="5"/>
  <c r="AN67" i="5"/>
  <c r="AN91" i="5"/>
  <c r="AN81" i="5"/>
  <c r="AN68" i="5"/>
  <c r="AN69" i="5"/>
  <c r="AN90" i="5"/>
  <c r="AN71" i="5"/>
  <c r="AN60" i="5"/>
  <c r="AN51" i="5"/>
  <c r="AN39" i="5"/>
  <c r="AN52" i="5"/>
  <c r="AN40" i="5"/>
  <c r="AN53" i="5"/>
  <c r="AN41" i="5"/>
  <c r="AN54" i="5"/>
  <c r="AN82" i="5"/>
  <c r="AN61" i="5"/>
  <c r="AN58" i="5"/>
  <c r="AN55" i="5"/>
  <c r="AN43" i="5"/>
  <c r="AN73" i="5"/>
  <c r="AN72" i="5"/>
  <c r="AN56" i="5"/>
  <c r="AN70" i="5"/>
  <c r="AN49" i="5"/>
  <c r="AN45" i="5"/>
  <c r="AN35" i="5"/>
  <c r="AN23" i="5"/>
  <c r="AN11" i="5"/>
  <c r="AN36" i="5"/>
  <c r="AN24" i="5"/>
  <c r="AN12" i="5"/>
  <c r="AN57" i="5"/>
  <c r="AN37" i="5"/>
  <c r="AN25" i="5"/>
  <c r="AN13" i="5"/>
  <c r="AN26" i="5"/>
  <c r="AN50" i="5"/>
  <c r="AN27" i="5"/>
  <c r="AN38" i="5"/>
  <c r="AN28" i="5"/>
  <c r="AN44" i="5"/>
  <c r="AN29" i="5"/>
  <c r="AN46" i="5"/>
  <c r="AN42" i="5"/>
  <c r="AN32" i="5"/>
  <c r="AN34" i="5"/>
  <c r="AN21" i="5"/>
  <c r="AN10" i="5"/>
  <c r="AN16" i="5"/>
  <c r="AN22" i="5"/>
  <c r="AN19" i="5"/>
  <c r="AN47" i="5"/>
  <c r="AN17" i="5"/>
  <c r="AN14" i="5"/>
  <c r="AO5" i="5"/>
  <c r="AN59" i="5"/>
  <c r="AN15" i="5"/>
  <c r="AN6" i="5"/>
  <c r="AN33" i="5"/>
  <c r="AN7" i="5"/>
  <c r="AN31" i="5"/>
  <c r="AN30" i="5"/>
  <c r="AN8" i="5"/>
  <c r="AN48" i="5"/>
  <c r="AN18" i="5"/>
  <c r="AN9" i="5"/>
  <c r="C58" i="1"/>
  <c r="A59" i="1"/>
  <c r="P29" i="6"/>
  <c r="O29" i="6"/>
  <c r="E43" i="4"/>
  <c r="F43" i="4" s="1"/>
  <c r="D30" i="6"/>
  <c r="E30" i="6"/>
  <c r="C44" i="4"/>
  <c r="B44" i="4"/>
  <c r="D44" i="4" s="1"/>
  <c r="A45" i="4"/>
  <c r="G43" i="4"/>
  <c r="D146" i="5"/>
  <c r="D70" i="5"/>
  <c r="D152" i="5"/>
  <c r="C77" i="5"/>
  <c r="E47" i="5"/>
  <c r="E117" i="5"/>
  <c r="F38" i="5"/>
  <c r="G49" i="5"/>
  <c r="G136" i="5"/>
  <c r="G96" i="5"/>
  <c r="H120" i="5"/>
  <c r="H135" i="5"/>
  <c r="H28" i="5"/>
  <c r="H43" i="5"/>
  <c r="H112" i="5"/>
  <c r="I130" i="5"/>
  <c r="I15" i="5"/>
  <c r="I90" i="5"/>
  <c r="I108" i="5"/>
  <c r="J99" i="5"/>
  <c r="J87" i="5"/>
  <c r="J142" i="5"/>
  <c r="J24" i="5"/>
  <c r="K51" i="5"/>
  <c r="K151" i="5"/>
  <c r="L89" i="5"/>
  <c r="L85" i="5"/>
  <c r="L83" i="5"/>
  <c r="L128" i="5"/>
  <c r="L98" i="5"/>
  <c r="M115" i="5"/>
  <c r="M155" i="5"/>
  <c r="M50" i="5"/>
  <c r="N153" i="5"/>
  <c r="N140" i="5"/>
  <c r="N109" i="5"/>
  <c r="O116" i="5"/>
  <c r="O137" i="5"/>
  <c r="O138" i="5"/>
  <c r="O52" i="5"/>
  <c r="O91" i="5"/>
  <c r="P80" i="5"/>
  <c r="P147" i="5"/>
  <c r="P139" i="5"/>
  <c r="P76" i="5"/>
  <c r="Q37" i="5"/>
  <c r="Q44" i="5"/>
  <c r="Q33" i="5"/>
  <c r="Q95" i="5"/>
  <c r="R69" i="5"/>
  <c r="C31" i="6"/>
  <c r="R150" i="5"/>
  <c r="R31" i="5"/>
  <c r="R8" i="5"/>
  <c r="R9" i="5"/>
  <c r="R29" i="5"/>
  <c r="R18" i="5"/>
  <c r="R61" i="5"/>
  <c r="R54" i="5"/>
  <c r="S127" i="5"/>
  <c r="S102" i="5"/>
  <c r="S60" i="5"/>
  <c r="S62" i="5"/>
  <c r="S17" i="5"/>
  <c r="S103" i="5"/>
  <c r="S143" i="5"/>
  <c r="S74" i="5"/>
  <c r="S32" i="5"/>
  <c r="T81" i="5"/>
  <c r="T133" i="5"/>
  <c r="T134" i="5"/>
  <c r="T23" i="5"/>
  <c r="T154" i="5"/>
  <c r="U11" i="5"/>
  <c r="U27" i="5"/>
  <c r="U64" i="5"/>
  <c r="U26" i="5"/>
  <c r="U72" i="5"/>
  <c r="U21" i="5"/>
  <c r="U144" i="5"/>
  <c r="U67" i="5"/>
  <c r="U79" i="5"/>
  <c r="U86" i="5"/>
  <c r="V13" i="5"/>
  <c r="V71" i="5"/>
  <c r="V12" i="5"/>
  <c r="V19" i="5"/>
  <c r="V10" i="5"/>
  <c r="W132" i="5"/>
  <c r="W101" i="5"/>
  <c r="W122" i="5"/>
  <c r="W82" i="5"/>
  <c r="W75" i="5"/>
  <c r="W121" i="5"/>
  <c r="W114" i="5"/>
  <c r="W88" i="5"/>
  <c r="X65" i="5"/>
  <c r="X78" i="5"/>
  <c r="X36" i="5"/>
  <c r="X131" i="5"/>
  <c r="X7" i="5"/>
  <c r="X14" i="5"/>
  <c r="X40" i="5"/>
  <c r="Y148" i="5"/>
  <c r="Y123" i="5"/>
  <c r="Y94" i="5"/>
  <c r="Y55" i="5"/>
  <c r="Y34" i="5"/>
  <c r="Y111" i="5"/>
  <c r="Y118" i="5"/>
  <c r="Y104" i="5"/>
  <c r="Z30" i="5"/>
  <c r="Z124" i="5"/>
  <c r="Z46" i="5"/>
  <c r="Z145" i="5"/>
  <c r="Z35" i="5"/>
  <c r="Z16" i="5"/>
  <c r="AA119" i="5"/>
  <c r="AA45" i="5"/>
  <c r="AA141" i="5"/>
  <c r="AA105" i="5"/>
  <c r="AA56" i="5"/>
  <c r="AA6" i="5"/>
  <c r="AA48" i="5"/>
  <c r="AA84" i="5"/>
  <c r="AA58" i="5"/>
  <c r="AA39" i="5"/>
  <c r="AB53" i="5"/>
  <c r="AB149" i="5"/>
  <c r="AB125" i="5"/>
  <c r="AB92" i="5"/>
  <c r="AC41" i="5"/>
  <c r="AC129" i="5"/>
  <c r="AC42" i="5"/>
  <c r="AD57" i="5"/>
  <c r="AD113" i="5"/>
  <c r="AD107" i="5"/>
  <c r="AD93" i="5"/>
  <c r="AE22" i="5"/>
  <c r="AE73" i="5"/>
  <c r="AE106" i="5"/>
  <c r="AF100" i="5"/>
  <c r="AG126" i="5"/>
  <c r="AG25" i="5"/>
  <c r="AG59" i="5"/>
  <c r="AG63" i="5"/>
  <c r="AH110" i="5"/>
  <c r="AI20" i="5"/>
  <c r="J54" i="6" l="1"/>
  <c r="I54" i="6"/>
  <c r="H54" i="6"/>
  <c r="G54" i="6"/>
  <c r="F54" i="6"/>
  <c r="P54" i="6"/>
  <c r="D54" i="6"/>
  <c r="N54" i="6"/>
  <c r="B54" i="6"/>
  <c r="M54" i="6"/>
  <c r="L54" i="6"/>
  <c r="A55" i="6"/>
  <c r="O54" i="6"/>
  <c r="E54" i="6"/>
  <c r="C54" i="6"/>
  <c r="K54" i="6"/>
  <c r="G44" i="4"/>
  <c r="C97" i="5"/>
  <c r="C68" i="5"/>
  <c r="D77" i="5"/>
  <c r="C66" i="5"/>
  <c r="E70" i="5"/>
  <c r="E146" i="5"/>
  <c r="E152" i="5"/>
  <c r="F117" i="5"/>
  <c r="F47" i="5"/>
  <c r="G38" i="5"/>
  <c r="H96" i="5"/>
  <c r="H49" i="5"/>
  <c r="H136" i="5"/>
  <c r="I112" i="5"/>
  <c r="I135" i="5"/>
  <c r="I43" i="5"/>
  <c r="I28" i="5"/>
  <c r="I120" i="5"/>
  <c r="J90" i="5"/>
  <c r="J108" i="5"/>
  <c r="J15" i="5"/>
  <c r="J130" i="5"/>
  <c r="K99" i="5"/>
  <c r="K142" i="5"/>
  <c r="K87" i="5"/>
  <c r="K24" i="5"/>
  <c r="L151" i="5"/>
  <c r="L51" i="5"/>
  <c r="M128" i="5"/>
  <c r="M89" i="5"/>
  <c r="M83" i="5"/>
  <c r="M85" i="5"/>
  <c r="M98" i="5"/>
  <c r="N115" i="5"/>
  <c r="N155" i="5"/>
  <c r="N50" i="5"/>
  <c r="O140" i="5"/>
  <c r="O109" i="5"/>
  <c r="O153" i="5"/>
  <c r="P52" i="5"/>
  <c r="P137" i="5"/>
  <c r="P116" i="5"/>
  <c r="P91" i="5"/>
  <c r="P138" i="5"/>
  <c r="Q76" i="5"/>
  <c r="Q139" i="5"/>
  <c r="Q147" i="5"/>
  <c r="Q80" i="5"/>
  <c r="R44" i="5"/>
  <c r="R95" i="5"/>
  <c r="R33" i="5"/>
  <c r="R37" i="5"/>
  <c r="S54" i="5"/>
  <c r="S8" i="5"/>
  <c r="S69" i="5"/>
  <c r="S31" i="5"/>
  <c r="C32" i="6"/>
  <c r="S29" i="5"/>
  <c r="S150" i="5"/>
  <c r="S18" i="5"/>
  <c r="S9" i="5"/>
  <c r="S61" i="5"/>
  <c r="T102" i="5"/>
  <c r="T74" i="5"/>
  <c r="T127" i="5"/>
  <c r="T17" i="5"/>
  <c r="T103" i="5"/>
  <c r="T143" i="5"/>
  <c r="T32" i="5"/>
  <c r="T62" i="5"/>
  <c r="T60" i="5"/>
  <c r="U134" i="5"/>
  <c r="U154" i="5"/>
  <c r="U23" i="5"/>
  <c r="U133" i="5"/>
  <c r="U81" i="5"/>
  <c r="V79" i="5"/>
  <c r="V64" i="5"/>
  <c r="V26" i="5"/>
  <c r="V21" i="5"/>
  <c r="V67" i="5"/>
  <c r="V86" i="5"/>
  <c r="V144" i="5"/>
  <c r="V72" i="5"/>
  <c r="V11" i="5"/>
  <c r="V27" i="5"/>
  <c r="W13" i="5"/>
  <c r="W71" i="5"/>
  <c r="W10" i="5"/>
  <c r="W19" i="5"/>
  <c r="W12" i="5"/>
  <c r="X101" i="5"/>
  <c r="X114" i="5"/>
  <c r="X75" i="5"/>
  <c r="X121" i="5"/>
  <c r="X132" i="5"/>
  <c r="X122" i="5"/>
  <c r="X82" i="5"/>
  <c r="X88" i="5"/>
  <c r="Y40" i="5"/>
  <c r="Y65" i="5"/>
  <c r="Y131" i="5"/>
  <c r="Y36" i="5"/>
  <c r="Y78" i="5"/>
  <c r="Y7" i="5"/>
  <c r="Y14" i="5"/>
  <c r="Z34" i="5"/>
  <c r="Z123" i="5"/>
  <c r="Z148" i="5"/>
  <c r="Z111" i="5"/>
  <c r="Z55" i="5"/>
  <c r="Z94" i="5"/>
  <c r="Z118" i="5"/>
  <c r="Z104" i="5"/>
  <c r="AA145" i="5"/>
  <c r="AA35" i="5"/>
  <c r="AA46" i="5"/>
  <c r="AA124" i="5"/>
  <c r="AA30" i="5"/>
  <c r="AA16" i="5"/>
  <c r="AB141" i="5"/>
  <c r="AB39" i="5"/>
  <c r="AB56" i="5"/>
  <c r="AB119" i="5"/>
  <c r="AB45" i="5"/>
  <c r="AB6" i="5"/>
  <c r="AB105" i="5"/>
  <c r="AB84" i="5"/>
  <c r="AB48" i="5"/>
  <c r="AB58" i="5"/>
  <c r="AC92" i="5"/>
  <c r="AC125" i="5"/>
  <c r="AC53" i="5"/>
  <c r="AC149" i="5"/>
  <c r="AD129" i="5"/>
  <c r="AD41" i="5"/>
  <c r="AD42" i="5"/>
  <c r="AE107" i="5"/>
  <c r="AE57" i="5"/>
  <c r="AE113" i="5"/>
  <c r="AE93" i="5"/>
  <c r="AF106" i="5"/>
  <c r="AF73" i="5"/>
  <c r="AF22" i="5"/>
  <c r="AG100" i="5"/>
  <c r="AH126" i="5"/>
  <c r="AH25" i="5"/>
  <c r="AH63" i="5"/>
  <c r="AH59" i="5"/>
  <c r="AI110" i="5"/>
  <c r="AJ20" i="5"/>
  <c r="D31" i="6"/>
  <c r="E31" i="6"/>
  <c r="A46" i="4"/>
  <c r="C45" i="4"/>
  <c r="E45" i="4" s="1"/>
  <c r="B45" i="4"/>
  <c r="F44" i="4"/>
  <c r="C59" i="1"/>
  <c r="A60" i="1"/>
  <c r="E44" i="4"/>
  <c r="K30" i="6"/>
  <c r="L30" i="6" s="1"/>
  <c r="AO152" i="5"/>
  <c r="AO154" i="5"/>
  <c r="AO155" i="5"/>
  <c r="AO142" i="5"/>
  <c r="AO150" i="5"/>
  <c r="AO143" i="5"/>
  <c r="AO144" i="5"/>
  <c r="AO146" i="5"/>
  <c r="AO151" i="5"/>
  <c r="AO147" i="5"/>
  <c r="AO149" i="5"/>
  <c r="AO148" i="5"/>
  <c r="AO128" i="5"/>
  <c r="AO136" i="5"/>
  <c r="AO145" i="5"/>
  <c r="AO140" i="5"/>
  <c r="AO153" i="5"/>
  <c r="AO138" i="5"/>
  <c r="AO131" i="5"/>
  <c r="AO126" i="5"/>
  <c r="AO122" i="5"/>
  <c r="AO123" i="5"/>
  <c r="AO111" i="5"/>
  <c r="AO129" i="5"/>
  <c r="AO124" i="5"/>
  <c r="AO127" i="5"/>
  <c r="AO133" i="5"/>
  <c r="AO139" i="5"/>
  <c r="AO121" i="5"/>
  <c r="AO125" i="5"/>
  <c r="AO118" i="5"/>
  <c r="AO117" i="5"/>
  <c r="AO99" i="5"/>
  <c r="AO115" i="5"/>
  <c r="AO100" i="5"/>
  <c r="AO141" i="5"/>
  <c r="AO130" i="5"/>
  <c r="AO120" i="5"/>
  <c r="AO102" i="5"/>
  <c r="AO132" i="5"/>
  <c r="AO119" i="5"/>
  <c r="AO114" i="5"/>
  <c r="AO137" i="5"/>
  <c r="AO113" i="5"/>
  <c r="AO103" i="5"/>
  <c r="AO96" i="5"/>
  <c r="AO84" i="5"/>
  <c r="AO134" i="5"/>
  <c r="AO85" i="5"/>
  <c r="AO112" i="5"/>
  <c r="AO97" i="5"/>
  <c r="AO86" i="5"/>
  <c r="AO110" i="5"/>
  <c r="AO109" i="5"/>
  <c r="AO106" i="5"/>
  <c r="AO87" i="5"/>
  <c r="AO108" i="5"/>
  <c r="AO88" i="5"/>
  <c r="AO104" i="5"/>
  <c r="AO89" i="5"/>
  <c r="AO90" i="5"/>
  <c r="AO93" i="5"/>
  <c r="AO135" i="5"/>
  <c r="AO116" i="5"/>
  <c r="AO95" i="5"/>
  <c r="AO75" i="5"/>
  <c r="AO63" i="5"/>
  <c r="AO107" i="5"/>
  <c r="AO80" i="5"/>
  <c r="AO76" i="5"/>
  <c r="AO64" i="5"/>
  <c r="AO98" i="5"/>
  <c r="AO83" i="5"/>
  <c r="AO65" i="5"/>
  <c r="AO66" i="5"/>
  <c r="AO94" i="5"/>
  <c r="AO77" i="5"/>
  <c r="AO67" i="5"/>
  <c r="AO92" i="5"/>
  <c r="AO91" i="5"/>
  <c r="AO81" i="5"/>
  <c r="AO68" i="5"/>
  <c r="AO105" i="5"/>
  <c r="AO69" i="5"/>
  <c r="AO101" i="5"/>
  <c r="AO70" i="5"/>
  <c r="AO82" i="5"/>
  <c r="AO72" i="5"/>
  <c r="AO52" i="5"/>
  <c r="AO40" i="5"/>
  <c r="AO53" i="5"/>
  <c r="AO41" i="5"/>
  <c r="AO54" i="5"/>
  <c r="AO42" i="5"/>
  <c r="AO61" i="5"/>
  <c r="AO58" i="5"/>
  <c r="AO55" i="5"/>
  <c r="AO78" i="5"/>
  <c r="AO74" i="5"/>
  <c r="AO73" i="5"/>
  <c r="AO56" i="5"/>
  <c r="AO44" i="5"/>
  <c r="AO71" i="5"/>
  <c r="AO79" i="5"/>
  <c r="AO49" i="5"/>
  <c r="AO57" i="5"/>
  <c r="AO50" i="5"/>
  <c r="AO36" i="5"/>
  <c r="AO24" i="5"/>
  <c r="AO12" i="5"/>
  <c r="AO60" i="5"/>
  <c r="AO43" i="5"/>
  <c r="AO37" i="5"/>
  <c r="AO25" i="5"/>
  <c r="AO13" i="5"/>
  <c r="AO26" i="5"/>
  <c r="AO14" i="5"/>
  <c r="AO51" i="5"/>
  <c r="AO27" i="5"/>
  <c r="AO15" i="5"/>
  <c r="AO38" i="5"/>
  <c r="AO28" i="5"/>
  <c r="AO29" i="5"/>
  <c r="AO48" i="5"/>
  <c r="AO47" i="5"/>
  <c r="AO30" i="5"/>
  <c r="AO59" i="5"/>
  <c r="AO39" i="5"/>
  <c r="AO33" i="5"/>
  <c r="AO45" i="5"/>
  <c r="AO35" i="5"/>
  <c r="AO23" i="5"/>
  <c r="AO16" i="5"/>
  <c r="AO46" i="5"/>
  <c r="AO22" i="5"/>
  <c r="AO19" i="5"/>
  <c r="AO17" i="5"/>
  <c r="AO11" i="5"/>
  <c r="AP5" i="5"/>
  <c r="AO20" i="5"/>
  <c r="AO6" i="5"/>
  <c r="AO34" i="5"/>
  <c r="AO7" i="5"/>
  <c r="AO32" i="5"/>
  <c r="AO31" i="5"/>
  <c r="AO8" i="5"/>
  <c r="AO18" i="5"/>
  <c r="AO9" i="5"/>
  <c r="AO62" i="5"/>
  <c r="AO21" i="5"/>
  <c r="AO10" i="5"/>
  <c r="AP150" i="5" l="1"/>
  <c r="AP153" i="5"/>
  <c r="AP155" i="5"/>
  <c r="AP143" i="5"/>
  <c r="AP144" i="5"/>
  <c r="AP145" i="5"/>
  <c r="AP151" i="5"/>
  <c r="AP147" i="5"/>
  <c r="AP154" i="5"/>
  <c r="AP148" i="5"/>
  <c r="AP152" i="5"/>
  <c r="AP139" i="5"/>
  <c r="AP138" i="5"/>
  <c r="AP137" i="5"/>
  <c r="AP129" i="5"/>
  <c r="AP136" i="5"/>
  <c r="AP142" i="5"/>
  <c r="AP132" i="5"/>
  <c r="AP140" i="5"/>
  <c r="AP141" i="5"/>
  <c r="AP123" i="5"/>
  <c r="AP111" i="5"/>
  <c r="AP124" i="5"/>
  <c r="AP112" i="5"/>
  <c r="AP149" i="5"/>
  <c r="AP127" i="5"/>
  <c r="AP133" i="5"/>
  <c r="AP134" i="5"/>
  <c r="AP130" i="5"/>
  <c r="AP125" i="5"/>
  <c r="AP146" i="5"/>
  <c r="AP128" i="5"/>
  <c r="AP131" i="5"/>
  <c r="AP126" i="5"/>
  <c r="AP122" i="5"/>
  <c r="AP115" i="5"/>
  <c r="AP100" i="5"/>
  <c r="AP101" i="5"/>
  <c r="AP120" i="5"/>
  <c r="AP119" i="5"/>
  <c r="AP114" i="5"/>
  <c r="AP103" i="5"/>
  <c r="AP121" i="5"/>
  <c r="AP113" i="5"/>
  <c r="AP85" i="5"/>
  <c r="AP117" i="5"/>
  <c r="AP97" i="5"/>
  <c r="AP86" i="5"/>
  <c r="AP110" i="5"/>
  <c r="AP109" i="5"/>
  <c r="AP106" i="5"/>
  <c r="AP87" i="5"/>
  <c r="AP118" i="5"/>
  <c r="AP108" i="5"/>
  <c r="AP99" i="5"/>
  <c r="AP88" i="5"/>
  <c r="AP104" i="5"/>
  <c r="AP89" i="5"/>
  <c r="AP90" i="5"/>
  <c r="AP98" i="5"/>
  <c r="AP91" i="5"/>
  <c r="AP105" i="5"/>
  <c r="AP94" i="5"/>
  <c r="AP96" i="5"/>
  <c r="AP107" i="5"/>
  <c r="AP80" i="5"/>
  <c r="AP76" i="5"/>
  <c r="AP64" i="5"/>
  <c r="AP83" i="5"/>
  <c r="AP65" i="5"/>
  <c r="AP135" i="5"/>
  <c r="AP116" i="5"/>
  <c r="AP66" i="5"/>
  <c r="AP95" i="5"/>
  <c r="AP77" i="5"/>
  <c r="AP67" i="5"/>
  <c r="AP93" i="5"/>
  <c r="AP92" i="5"/>
  <c r="AP81" i="5"/>
  <c r="AP68" i="5"/>
  <c r="AP84" i="5"/>
  <c r="AP69" i="5"/>
  <c r="AP70" i="5"/>
  <c r="AP71" i="5"/>
  <c r="AP102" i="5"/>
  <c r="AP73" i="5"/>
  <c r="AP53" i="5"/>
  <c r="AP41" i="5"/>
  <c r="AP54" i="5"/>
  <c r="AP42" i="5"/>
  <c r="AP61" i="5"/>
  <c r="AP58" i="5"/>
  <c r="AP55" i="5"/>
  <c r="AP43" i="5"/>
  <c r="AP82" i="5"/>
  <c r="AP78" i="5"/>
  <c r="AP75" i="5"/>
  <c r="AP74" i="5"/>
  <c r="AP56" i="5"/>
  <c r="AP72" i="5"/>
  <c r="AP45" i="5"/>
  <c r="AP79" i="5"/>
  <c r="AP59" i="5"/>
  <c r="AP57" i="5"/>
  <c r="AP50" i="5"/>
  <c r="AP62" i="5"/>
  <c r="AP60" i="5"/>
  <c r="AP51" i="5"/>
  <c r="AP63" i="5"/>
  <c r="AP37" i="5"/>
  <c r="AP25" i="5"/>
  <c r="AP13" i="5"/>
  <c r="AP26" i="5"/>
  <c r="AP14" i="5"/>
  <c r="AP52" i="5"/>
  <c r="AP27" i="5"/>
  <c r="AP15" i="5"/>
  <c r="AP38" i="5"/>
  <c r="AP28" i="5"/>
  <c r="AP16" i="5"/>
  <c r="AP49" i="5"/>
  <c r="AP40" i="5"/>
  <c r="AP29" i="5"/>
  <c r="AP48" i="5"/>
  <c r="AP47" i="5"/>
  <c r="AP44" i="5"/>
  <c r="AP30" i="5"/>
  <c r="AP31" i="5"/>
  <c r="AP34" i="5"/>
  <c r="AP36" i="5"/>
  <c r="AP46" i="5"/>
  <c r="AP24" i="5"/>
  <c r="AP22" i="5"/>
  <c r="AP19" i="5"/>
  <c r="AP17" i="5"/>
  <c r="AP11" i="5"/>
  <c r="AQ5" i="5"/>
  <c r="AP39" i="5"/>
  <c r="AP12" i="5"/>
  <c r="AP20" i="5"/>
  <c r="AP6" i="5"/>
  <c r="AP35" i="5"/>
  <c r="AP7" i="5"/>
  <c r="AP33" i="5"/>
  <c r="AP32" i="5"/>
  <c r="AP8" i="5"/>
  <c r="AP18" i="5"/>
  <c r="AP9" i="5"/>
  <c r="AP21" i="5"/>
  <c r="AP10" i="5"/>
  <c r="AP23" i="5"/>
  <c r="B58" i="1"/>
  <c r="D58" i="1" s="1"/>
  <c r="K31" i="6"/>
  <c r="L31" i="6" s="1"/>
  <c r="B20" i="1"/>
  <c r="A61" i="1"/>
  <c r="C60" i="1"/>
  <c r="D45" i="4"/>
  <c r="F45" i="4" s="1"/>
  <c r="G45" i="4"/>
  <c r="D68" i="5"/>
  <c r="D97" i="5"/>
  <c r="D66" i="5"/>
  <c r="B21" i="1" s="1"/>
  <c r="D21" i="1" s="1"/>
  <c r="E77" i="5"/>
  <c r="F152" i="5"/>
  <c r="F146" i="5"/>
  <c r="F70" i="5"/>
  <c r="G117" i="5"/>
  <c r="G47" i="5"/>
  <c r="H38" i="5"/>
  <c r="I49" i="5"/>
  <c r="I96" i="5"/>
  <c r="I136" i="5"/>
  <c r="J112" i="5"/>
  <c r="J135" i="5"/>
  <c r="J120" i="5"/>
  <c r="J43" i="5"/>
  <c r="J28" i="5"/>
  <c r="K108" i="5"/>
  <c r="K130" i="5"/>
  <c r="K90" i="5"/>
  <c r="K15" i="5"/>
  <c r="L99" i="5"/>
  <c r="L142" i="5"/>
  <c r="L87" i="5"/>
  <c r="L24" i="5"/>
  <c r="M51" i="5"/>
  <c r="M151" i="5"/>
  <c r="N128" i="5"/>
  <c r="N83" i="5"/>
  <c r="N89" i="5"/>
  <c r="N98" i="5"/>
  <c r="N85" i="5"/>
  <c r="O50" i="5"/>
  <c r="O155" i="5"/>
  <c r="O115" i="5"/>
  <c r="P109" i="5"/>
  <c r="P140" i="5"/>
  <c r="P153" i="5"/>
  <c r="Q91" i="5"/>
  <c r="Q138" i="5"/>
  <c r="Q52" i="5"/>
  <c r="Q116" i="5"/>
  <c r="Q137" i="5"/>
  <c r="R80" i="5"/>
  <c r="R147" i="5"/>
  <c r="R139" i="5"/>
  <c r="R76" i="5"/>
  <c r="S95" i="5"/>
  <c r="S37" i="5"/>
  <c r="S44" i="5"/>
  <c r="S33" i="5"/>
  <c r="T8" i="5"/>
  <c r="T150" i="5"/>
  <c r="T18" i="5"/>
  <c r="T9" i="5"/>
  <c r="T61" i="5"/>
  <c r="C33" i="6"/>
  <c r="T31" i="5"/>
  <c r="T69" i="5"/>
  <c r="T29" i="5"/>
  <c r="T54" i="5"/>
  <c r="U32" i="5"/>
  <c r="U143" i="5"/>
  <c r="U74" i="5"/>
  <c r="U17" i="5"/>
  <c r="U103" i="5"/>
  <c r="U62" i="5"/>
  <c r="U127" i="5"/>
  <c r="U102" i="5"/>
  <c r="U60" i="5"/>
  <c r="V133" i="5"/>
  <c r="V23" i="5"/>
  <c r="V134" i="5"/>
  <c r="V154" i="5"/>
  <c r="V81" i="5"/>
  <c r="W21" i="5"/>
  <c r="W26" i="5"/>
  <c r="W67" i="5"/>
  <c r="W64" i="5"/>
  <c r="W72" i="5"/>
  <c r="W144" i="5"/>
  <c r="W86" i="5"/>
  <c r="W79" i="5"/>
  <c r="W11" i="5"/>
  <c r="W27" i="5"/>
  <c r="X10" i="5"/>
  <c r="X19" i="5"/>
  <c r="X12" i="5"/>
  <c r="X71" i="5"/>
  <c r="X13" i="5"/>
  <c r="Y121" i="5"/>
  <c r="Y82" i="5"/>
  <c r="Y75" i="5"/>
  <c r="Y132" i="5"/>
  <c r="Y88" i="5"/>
  <c r="Y114" i="5"/>
  <c r="Y122" i="5"/>
  <c r="Y101" i="5"/>
  <c r="Z40" i="5"/>
  <c r="Z36" i="5"/>
  <c r="Z14" i="5"/>
  <c r="Z65" i="5"/>
  <c r="Z7" i="5"/>
  <c r="Z131" i="5"/>
  <c r="Z78" i="5"/>
  <c r="AA118" i="5"/>
  <c r="AA34" i="5"/>
  <c r="AA148" i="5"/>
  <c r="AA111" i="5"/>
  <c r="AA55" i="5"/>
  <c r="AA94" i="5"/>
  <c r="AA123" i="5"/>
  <c r="AA104" i="5"/>
  <c r="AB30" i="5"/>
  <c r="AB145" i="5"/>
  <c r="AB46" i="5"/>
  <c r="AB16" i="5"/>
  <c r="AB124" i="5"/>
  <c r="AB35" i="5"/>
  <c r="AC141" i="5"/>
  <c r="AC58" i="5"/>
  <c r="AC105" i="5"/>
  <c r="AC48" i="5"/>
  <c r="AC39" i="5"/>
  <c r="AC45" i="5"/>
  <c r="AC119" i="5"/>
  <c r="AC6" i="5"/>
  <c r="AC84" i="5"/>
  <c r="AC56" i="5"/>
  <c r="AD53" i="5"/>
  <c r="AD125" i="5"/>
  <c r="AD92" i="5"/>
  <c r="AD149" i="5"/>
  <c r="AE41" i="5"/>
  <c r="AE42" i="5"/>
  <c r="AE129" i="5"/>
  <c r="AF57" i="5"/>
  <c r="AF93" i="5"/>
  <c r="AF113" i="5"/>
  <c r="AF107" i="5"/>
  <c r="AG73" i="5"/>
  <c r="AG22" i="5"/>
  <c r="AG106" i="5"/>
  <c r="AH100" i="5"/>
  <c r="AI59" i="5"/>
  <c r="AI63" i="5"/>
  <c r="AI126" i="5"/>
  <c r="AI25" i="5"/>
  <c r="AJ110" i="5"/>
  <c r="AK20" i="5"/>
  <c r="F55" i="6"/>
  <c r="A56" i="6"/>
  <c r="E55" i="6"/>
  <c r="P55" i="6"/>
  <c r="D55" i="6"/>
  <c r="O55" i="6"/>
  <c r="C55" i="6"/>
  <c r="N55" i="6"/>
  <c r="B55" i="6"/>
  <c r="L55" i="6"/>
  <c r="J55" i="6"/>
  <c r="I55" i="6"/>
  <c r="H55" i="6"/>
  <c r="M55" i="6"/>
  <c r="K55" i="6"/>
  <c r="G55" i="6"/>
  <c r="C46" i="4"/>
  <c r="B46" i="4"/>
  <c r="D46" i="4" s="1"/>
  <c r="A47" i="4"/>
  <c r="P30" i="6"/>
  <c r="O30" i="6"/>
  <c r="E32" i="6"/>
  <c r="D32" i="6"/>
  <c r="O31" i="6" l="1"/>
  <c r="P31" i="6"/>
  <c r="B59" i="1"/>
  <c r="D59" i="1" s="1"/>
  <c r="AQ151" i="5"/>
  <c r="AQ154" i="5"/>
  <c r="AQ150" i="5"/>
  <c r="AQ144" i="5"/>
  <c r="AQ145" i="5"/>
  <c r="AQ146" i="5"/>
  <c r="AQ148" i="5"/>
  <c r="AQ155" i="5"/>
  <c r="AQ153" i="5"/>
  <c r="AQ149" i="5"/>
  <c r="AQ152" i="5"/>
  <c r="AQ130" i="5"/>
  <c r="AQ142" i="5"/>
  <c r="AQ147" i="5"/>
  <c r="AQ140" i="5"/>
  <c r="AQ133" i="5"/>
  <c r="AQ143" i="5"/>
  <c r="AQ124" i="5"/>
  <c r="AQ112" i="5"/>
  <c r="AQ136" i="5"/>
  <c r="AQ129" i="5"/>
  <c r="AQ113" i="5"/>
  <c r="AQ127" i="5"/>
  <c r="AQ134" i="5"/>
  <c r="AQ125" i="5"/>
  <c r="AQ135" i="5"/>
  <c r="AQ132" i="5"/>
  <c r="AQ141" i="5"/>
  <c r="AQ137" i="5"/>
  <c r="AQ138" i="5"/>
  <c r="AQ123" i="5"/>
  <c r="AQ101" i="5"/>
  <c r="AQ126" i="5"/>
  <c r="AQ120" i="5"/>
  <c r="AQ111" i="5"/>
  <c r="AQ102" i="5"/>
  <c r="AQ128" i="5"/>
  <c r="AQ119" i="5"/>
  <c r="AQ114" i="5"/>
  <c r="AQ103" i="5"/>
  <c r="AQ104" i="5"/>
  <c r="AQ131" i="5"/>
  <c r="AQ121" i="5"/>
  <c r="AQ116" i="5"/>
  <c r="AQ139" i="5"/>
  <c r="AQ117" i="5"/>
  <c r="AQ97" i="5"/>
  <c r="AQ86" i="5"/>
  <c r="AQ110" i="5"/>
  <c r="AQ109" i="5"/>
  <c r="AQ106" i="5"/>
  <c r="AQ87" i="5"/>
  <c r="AQ118" i="5"/>
  <c r="AQ108" i="5"/>
  <c r="AQ99" i="5"/>
  <c r="AQ88" i="5"/>
  <c r="AQ89" i="5"/>
  <c r="AQ90" i="5"/>
  <c r="AQ98" i="5"/>
  <c r="AQ91" i="5"/>
  <c r="AQ107" i="5"/>
  <c r="AQ92" i="5"/>
  <c r="AQ115" i="5"/>
  <c r="AQ95" i="5"/>
  <c r="AQ122" i="5"/>
  <c r="AQ100" i="5"/>
  <c r="AQ83" i="5"/>
  <c r="AQ65" i="5"/>
  <c r="AQ66" i="5"/>
  <c r="AQ96" i="5"/>
  <c r="AQ77" i="5"/>
  <c r="AQ67" i="5"/>
  <c r="AQ94" i="5"/>
  <c r="AQ93" i="5"/>
  <c r="AQ81" i="5"/>
  <c r="AQ68" i="5"/>
  <c r="AQ84" i="5"/>
  <c r="AQ69" i="5"/>
  <c r="AQ105" i="5"/>
  <c r="AQ70" i="5"/>
  <c r="AQ71" i="5"/>
  <c r="AQ82" i="5"/>
  <c r="AQ72" i="5"/>
  <c r="AQ85" i="5"/>
  <c r="AQ79" i="5"/>
  <c r="AQ78" i="5"/>
  <c r="AQ74" i="5"/>
  <c r="AQ54" i="5"/>
  <c r="AQ42" i="5"/>
  <c r="AQ61" i="5"/>
  <c r="AQ58" i="5"/>
  <c r="AQ55" i="5"/>
  <c r="AQ43" i="5"/>
  <c r="AQ76" i="5"/>
  <c r="AQ75" i="5"/>
  <c r="AQ56" i="5"/>
  <c r="AQ44" i="5"/>
  <c r="AQ73" i="5"/>
  <c r="AQ45" i="5"/>
  <c r="AQ46" i="5"/>
  <c r="AQ59" i="5"/>
  <c r="AQ48" i="5"/>
  <c r="AQ62" i="5"/>
  <c r="AQ60" i="5"/>
  <c r="AQ51" i="5"/>
  <c r="AQ52" i="5"/>
  <c r="AQ26" i="5"/>
  <c r="AQ14" i="5"/>
  <c r="AQ57" i="5"/>
  <c r="AQ53" i="5"/>
  <c r="AQ27" i="5"/>
  <c r="AQ15" i="5"/>
  <c r="AQ38" i="5"/>
  <c r="AQ28" i="5"/>
  <c r="AQ16" i="5"/>
  <c r="AQ50" i="5"/>
  <c r="AQ49" i="5"/>
  <c r="AQ40" i="5"/>
  <c r="AQ29" i="5"/>
  <c r="AQ17" i="5"/>
  <c r="AQ64" i="5"/>
  <c r="AQ47" i="5"/>
  <c r="AQ41" i="5"/>
  <c r="AQ30" i="5"/>
  <c r="AQ80" i="5"/>
  <c r="AQ31" i="5"/>
  <c r="AQ32" i="5"/>
  <c r="AQ35" i="5"/>
  <c r="AQ63" i="5"/>
  <c r="AQ37" i="5"/>
  <c r="AQ24" i="5"/>
  <c r="AQ22" i="5"/>
  <c r="AQ19" i="5"/>
  <c r="AQ11" i="5"/>
  <c r="AR5" i="5"/>
  <c r="AQ39" i="5"/>
  <c r="AQ25" i="5"/>
  <c r="AQ12" i="5"/>
  <c r="AQ20" i="5"/>
  <c r="AQ13" i="5"/>
  <c r="AQ6" i="5"/>
  <c r="AQ36" i="5"/>
  <c r="AQ7" i="5"/>
  <c r="AQ34" i="5"/>
  <c r="AQ33" i="5"/>
  <c r="AQ8" i="5"/>
  <c r="AQ18" i="5"/>
  <c r="AQ9" i="5"/>
  <c r="AQ21" i="5"/>
  <c r="AQ10" i="5"/>
  <c r="AQ23" i="5"/>
  <c r="E46" i="4"/>
  <c r="F46" i="4" s="1"/>
  <c r="C61" i="1"/>
  <c r="A62" i="1"/>
  <c r="A48" i="4"/>
  <c r="C47" i="4"/>
  <c r="B47" i="4"/>
  <c r="D47" i="4" s="1"/>
  <c r="G46" i="4"/>
  <c r="E68" i="5"/>
  <c r="E66" i="5"/>
  <c r="E97" i="5"/>
  <c r="F77" i="5"/>
  <c r="G146" i="5"/>
  <c r="G152" i="5"/>
  <c r="G70" i="5"/>
  <c r="H117" i="5"/>
  <c r="H47" i="5"/>
  <c r="I38" i="5"/>
  <c r="J96" i="5"/>
  <c r="J49" i="5"/>
  <c r="J136" i="5"/>
  <c r="K28" i="5"/>
  <c r="K43" i="5"/>
  <c r="K120" i="5"/>
  <c r="K135" i="5"/>
  <c r="K112" i="5"/>
  <c r="L108" i="5"/>
  <c r="L15" i="5"/>
  <c r="L90" i="5"/>
  <c r="L130" i="5"/>
  <c r="M87" i="5"/>
  <c r="M24" i="5"/>
  <c r="M142" i="5"/>
  <c r="M99" i="5"/>
  <c r="N51" i="5"/>
  <c r="N151" i="5"/>
  <c r="O128" i="5"/>
  <c r="O89" i="5"/>
  <c r="O98" i="5"/>
  <c r="O83" i="5"/>
  <c r="O85" i="5"/>
  <c r="P155" i="5"/>
  <c r="P50" i="5"/>
  <c r="P115" i="5"/>
  <c r="Q153" i="5"/>
  <c r="Q140" i="5"/>
  <c r="Q109" i="5"/>
  <c r="R137" i="5"/>
  <c r="R52" i="5"/>
  <c r="R116" i="5"/>
  <c r="R91" i="5"/>
  <c r="R138" i="5"/>
  <c r="S147" i="5"/>
  <c r="S139" i="5"/>
  <c r="S80" i="5"/>
  <c r="S76" i="5"/>
  <c r="T44" i="5"/>
  <c r="T95" i="5"/>
  <c r="T33" i="5"/>
  <c r="T37" i="5"/>
  <c r="U69" i="5"/>
  <c r="U61" i="5"/>
  <c r="U54" i="5"/>
  <c r="C34" i="6"/>
  <c r="U29" i="5"/>
  <c r="U150" i="5"/>
  <c r="U31" i="5"/>
  <c r="U8" i="5"/>
  <c r="U9" i="5"/>
  <c r="U18" i="5"/>
  <c r="V127" i="5"/>
  <c r="V62" i="5"/>
  <c r="V103" i="5"/>
  <c r="V74" i="5"/>
  <c r="V17" i="5"/>
  <c r="V102" i="5"/>
  <c r="V32" i="5"/>
  <c r="V143" i="5"/>
  <c r="V60" i="5"/>
  <c r="W154" i="5"/>
  <c r="W134" i="5"/>
  <c r="W133" i="5"/>
  <c r="W81" i="5"/>
  <c r="W23" i="5"/>
  <c r="X67" i="5"/>
  <c r="X64" i="5"/>
  <c r="X86" i="5"/>
  <c r="X11" i="5"/>
  <c r="X27" i="5"/>
  <c r="X26" i="5"/>
  <c r="X144" i="5"/>
  <c r="X79" i="5"/>
  <c r="X72" i="5"/>
  <c r="X21" i="5"/>
  <c r="Y13" i="5"/>
  <c r="Y19" i="5"/>
  <c r="Y10" i="5"/>
  <c r="Y71" i="5"/>
  <c r="Y12" i="5"/>
  <c r="Z132" i="5"/>
  <c r="Z121" i="5"/>
  <c r="Z75" i="5"/>
  <c r="Z122" i="5"/>
  <c r="Z88" i="5"/>
  <c r="Z101" i="5"/>
  <c r="Z114" i="5"/>
  <c r="Z82" i="5"/>
  <c r="AA78" i="5"/>
  <c r="AA131" i="5"/>
  <c r="AA40" i="5"/>
  <c r="AA65" i="5"/>
  <c r="AA14" i="5"/>
  <c r="AA36" i="5"/>
  <c r="AA7" i="5"/>
  <c r="AB104" i="5"/>
  <c r="AB94" i="5"/>
  <c r="AB34" i="5"/>
  <c r="AB148" i="5"/>
  <c r="AB111" i="5"/>
  <c r="AB55" i="5"/>
  <c r="AB123" i="5"/>
  <c r="AB118" i="5"/>
  <c r="AC46" i="5"/>
  <c r="AC30" i="5"/>
  <c r="AC124" i="5"/>
  <c r="AC16" i="5"/>
  <c r="AC145" i="5"/>
  <c r="AC35" i="5"/>
  <c r="AD119" i="5"/>
  <c r="AD141" i="5"/>
  <c r="AD58" i="5"/>
  <c r="AD84" i="5"/>
  <c r="AD105" i="5"/>
  <c r="AD48" i="5"/>
  <c r="AD6" i="5"/>
  <c r="AD56" i="5"/>
  <c r="AD45" i="5"/>
  <c r="AD39" i="5"/>
  <c r="AE92" i="5"/>
  <c r="AE125" i="5"/>
  <c r="AE149" i="5"/>
  <c r="AE53" i="5"/>
  <c r="AF41" i="5"/>
  <c r="AF42" i="5"/>
  <c r="AF129" i="5"/>
  <c r="AG93" i="5"/>
  <c r="AG113" i="5"/>
  <c r="AG107" i="5"/>
  <c r="AG57" i="5"/>
  <c r="AH22" i="5"/>
  <c r="AH73" i="5"/>
  <c r="AH106" i="5"/>
  <c r="AI100" i="5"/>
  <c r="AJ25" i="5"/>
  <c r="AJ59" i="5"/>
  <c r="AJ63" i="5"/>
  <c r="AJ126" i="5"/>
  <c r="AK110" i="5"/>
  <c r="AL20" i="5"/>
  <c r="B10" i="1"/>
  <c r="B7" i="8" s="1"/>
  <c r="D7" i="8" s="1"/>
  <c r="F7" i="8" s="1"/>
  <c r="D20" i="1"/>
  <c r="N56" i="6"/>
  <c r="B56" i="6"/>
  <c r="M56" i="6"/>
  <c r="L56" i="6"/>
  <c r="K56" i="6"/>
  <c r="J56" i="6"/>
  <c r="H56" i="6"/>
  <c r="F56" i="6"/>
  <c r="A57" i="6"/>
  <c r="E56" i="6"/>
  <c r="P56" i="6"/>
  <c r="D56" i="6"/>
  <c r="C56" i="6"/>
  <c r="O56" i="6"/>
  <c r="I56" i="6"/>
  <c r="G56" i="6"/>
  <c r="D33" i="6"/>
  <c r="E33" i="6"/>
  <c r="K32" i="6"/>
  <c r="L32" i="6" s="1"/>
  <c r="G47" i="4" l="1"/>
  <c r="F97" i="5"/>
  <c r="F66" i="5"/>
  <c r="F68" i="5"/>
  <c r="G77" i="5"/>
  <c r="H152" i="5"/>
  <c r="H70" i="5"/>
  <c r="H146" i="5"/>
  <c r="I47" i="5"/>
  <c r="I117" i="5"/>
  <c r="J38" i="5"/>
  <c r="K136" i="5"/>
  <c r="K49" i="5"/>
  <c r="K96" i="5"/>
  <c r="L28" i="5"/>
  <c r="L135" i="5"/>
  <c r="L112" i="5"/>
  <c r="L43" i="5"/>
  <c r="L120" i="5"/>
  <c r="M15" i="5"/>
  <c r="M90" i="5"/>
  <c r="M130" i="5"/>
  <c r="M108" i="5"/>
  <c r="N87" i="5"/>
  <c r="N24" i="5"/>
  <c r="N99" i="5"/>
  <c r="N142" i="5"/>
  <c r="O51" i="5"/>
  <c r="O151" i="5"/>
  <c r="P85" i="5"/>
  <c r="P89" i="5"/>
  <c r="P98" i="5"/>
  <c r="P83" i="5"/>
  <c r="P128" i="5"/>
  <c r="Q50" i="5"/>
  <c r="Q155" i="5"/>
  <c r="Q115" i="5"/>
  <c r="R153" i="5"/>
  <c r="R140" i="5"/>
  <c r="R109" i="5"/>
  <c r="S116" i="5"/>
  <c r="S52" i="5"/>
  <c r="S138" i="5"/>
  <c r="S137" i="5"/>
  <c r="S91" i="5"/>
  <c r="T76" i="5"/>
  <c r="T139" i="5"/>
  <c r="T80" i="5"/>
  <c r="T147" i="5"/>
  <c r="U33" i="5"/>
  <c r="U95" i="5"/>
  <c r="U44" i="5"/>
  <c r="U37" i="5"/>
  <c r="V150" i="5"/>
  <c r="C35" i="6"/>
  <c r="V69" i="5"/>
  <c r="V29" i="5"/>
  <c r="V18" i="5"/>
  <c r="V8" i="5"/>
  <c r="V31" i="5"/>
  <c r="V9" i="5"/>
  <c r="V54" i="5"/>
  <c r="V61" i="5"/>
  <c r="W17" i="5"/>
  <c r="W74" i="5"/>
  <c r="W143" i="5"/>
  <c r="W62" i="5"/>
  <c r="W32" i="5"/>
  <c r="W102" i="5"/>
  <c r="W60" i="5"/>
  <c r="W103" i="5"/>
  <c r="W127" i="5"/>
  <c r="X134" i="5"/>
  <c r="X81" i="5"/>
  <c r="X23" i="5"/>
  <c r="X133" i="5"/>
  <c r="X154" i="5"/>
  <c r="Y144" i="5"/>
  <c r="Y26" i="5"/>
  <c r="Y79" i="5"/>
  <c r="Y67" i="5"/>
  <c r="Y86" i="5"/>
  <c r="Y21" i="5"/>
  <c r="Y64" i="5"/>
  <c r="Y11" i="5"/>
  <c r="Y72" i="5"/>
  <c r="Y27" i="5"/>
  <c r="Z19" i="5"/>
  <c r="Z12" i="5"/>
  <c r="Z13" i="5"/>
  <c r="Z71" i="5"/>
  <c r="Z10" i="5"/>
  <c r="AA75" i="5"/>
  <c r="AA101" i="5"/>
  <c r="AA82" i="5"/>
  <c r="AA121" i="5"/>
  <c r="AA122" i="5"/>
  <c r="AA114" i="5"/>
  <c r="AA88" i="5"/>
  <c r="AA132" i="5"/>
  <c r="AB131" i="5"/>
  <c r="AB78" i="5"/>
  <c r="AB36" i="5"/>
  <c r="AB40" i="5"/>
  <c r="AB14" i="5"/>
  <c r="AB65" i="5"/>
  <c r="AB7" i="5"/>
  <c r="AC34" i="5"/>
  <c r="AC94" i="5"/>
  <c r="AC55" i="5"/>
  <c r="AC123" i="5"/>
  <c r="AC111" i="5"/>
  <c r="AC118" i="5"/>
  <c r="AC148" i="5"/>
  <c r="AC104" i="5"/>
  <c r="AD35" i="5"/>
  <c r="AD30" i="5"/>
  <c r="AD46" i="5"/>
  <c r="AD145" i="5"/>
  <c r="AD124" i="5"/>
  <c r="AD16" i="5"/>
  <c r="AE141" i="5"/>
  <c r="AE45" i="5"/>
  <c r="AE48" i="5"/>
  <c r="AE39" i="5"/>
  <c r="AE58" i="5"/>
  <c r="AE119" i="5"/>
  <c r="AE56" i="5"/>
  <c r="AE105" i="5"/>
  <c r="AE6" i="5"/>
  <c r="AE84" i="5"/>
  <c r="AF125" i="5"/>
  <c r="AF53" i="5"/>
  <c r="AF92" i="5"/>
  <c r="AF149" i="5"/>
  <c r="AG41" i="5"/>
  <c r="AG42" i="5"/>
  <c r="AG129" i="5"/>
  <c r="AH107" i="5"/>
  <c r="AH93" i="5"/>
  <c r="AH57" i="5"/>
  <c r="AH113" i="5"/>
  <c r="AI106" i="5"/>
  <c r="AI73" i="5"/>
  <c r="AI22" i="5"/>
  <c r="AJ100" i="5"/>
  <c r="AK59" i="5"/>
  <c r="AK126" i="5"/>
  <c r="AK63" i="5"/>
  <c r="AK25" i="5"/>
  <c r="AL110" i="5"/>
  <c r="AM20" i="5"/>
  <c r="B60" i="1"/>
  <c r="D60" i="1" s="1"/>
  <c r="J57" i="6"/>
  <c r="I57" i="6"/>
  <c r="H57" i="6"/>
  <c r="G57" i="6"/>
  <c r="F57" i="6"/>
  <c r="P57" i="6"/>
  <c r="D57" i="6"/>
  <c r="N57" i="6"/>
  <c r="B57" i="6"/>
  <c r="M57" i="6"/>
  <c r="L57" i="6"/>
  <c r="A58" i="6"/>
  <c r="O57" i="6"/>
  <c r="E57" i="6"/>
  <c r="C57" i="6"/>
  <c r="K57" i="6"/>
  <c r="D34" i="6"/>
  <c r="E34" i="6"/>
  <c r="E47" i="4"/>
  <c r="F47" i="4" s="1"/>
  <c r="A49" i="4"/>
  <c r="C48" i="4"/>
  <c r="E48" i="4" s="1"/>
  <c r="B48" i="4"/>
  <c r="A63" i="1"/>
  <c r="C62" i="1"/>
  <c r="AR152" i="5"/>
  <c r="AR155" i="5"/>
  <c r="AR145" i="5"/>
  <c r="AR146" i="5"/>
  <c r="AR147" i="5"/>
  <c r="AR154" i="5"/>
  <c r="AR153" i="5"/>
  <c r="AR149" i="5"/>
  <c r="AR136" i="5"/>
  <c r="AR131" i="5"/>
  <c r="AR140" i="5"/>
  <c r="AR133" i="5"/>
  <c r="AR134" i="5"/>
  <c r="AR151" i="5"/>
  <c r="AR150" i="5"/>
  <c r="AR144" i="5"/>
  <c r="AR141" i="5"/>
  <c r="AR143" i="5"/>
  <c r="AR129" i="5"/>
  <c r="AR113" i="5"/>
  <c r="AR114" i="5"/>
  <c r="AR127" i="5"/>
  <c r="AR125" i="5"/>
  <c r="AR135" i="5"/>
  <c r="AR132" i="5"/>
  <c r="AR130" i="5"/>
  <c r="AR126" i="5"/>
  <c r="AR142" i="5"/>
  <c r="AR124" i="5"/>
  <c r="AR138" i="5"/>
  <c r="AR123" i="5"/>
  <c r="AR120" i="5"/>
  <c r="AR111" i="5"/>
  <c r="AR102" i="5"/>
  <c r="AR128" i="5"/>
  <c r="AR119" i="5"/>
  <c r="AR103" i="5"/>
  <c r="AR104" i="5"/>
  <c r="AR121" i="5"/>
  <c r="AR105" i="5"/>
  <c r="AR137" i="5"/>
  <c r="AR139" i="5"/>
  <c r="AR122" i="5"/>
  <c r="AR118" i="5"/>
  <c r="AR117" i="5"/>
  <c r="AR148" i="5"/>
  <c r="AR110" i="5"/>
  <c r="AR109" i="5"/>
  <c r="AR106" i="5"/>
  <c r="AR87" i="5"/>
  <c r="AR112" i="5"/>
  <c r="AR108" i="5"/>
  <c r="AR99" i="5"/>
  <c r="AR88" i="5"/>
  <c r="AR89" i="5"/>
  <c r="AR90" i="5"/>
  <c r="AR98" i="5"/>
  <c r="AR91" i="5"/>
  <c r="AR79" i="5"/>
  <c r="AR107" i="5"/>
  <c r="AR92" i="5"/>
  <c r="AR93" i="5"/>
  <c r="AR116" i="5"/>
  <c r="AR101" i="5"/>
  <c r="AR96" i="5"/>
  <c r="AR97" i="5"/>
  <c r="AR66" i="5"/>
  <c r="AR77" i="5"/>
  <c r="AR67" i="5"/>
  <c r="AR95" i="5"/>
  <c r="AR94" i="5"/>
  <c r="AR81" i="5"/>
  <c r="AR68" i="5"/>
  <c r="AR84" i="5"/>
  <c r="AR69" i="5"/>
  <c r="AR57" i="5"/>
  <c r="AR70" i="5"/>
  <c r="AR115" i="5"/>
  <c r="AR100" i="5"/>
  <c r="AR86" i="5"/>
  <c r="AR71" i="5"/>
  <c r="AR82" i="5"/>
  <c r="AR72" i="5"/>
  <c r="AR73" i="5"/>
  <c r="AR75" i="5"/>
  <c r="AR61" i="5"/>
  <c r="AR58" i="5"/>
  <c r="AR55" i="5"/>
  <c r="AR43" i="5"/>
  <c r="AR85" i="5"/>
  <c r="AR76" i="5"/>
  <c r="AR56" i="5"/>
  <c r="AR44" i="5"/>
  <c r="AR78" i="5"/>
  <c r="AR74" i="5"/>
  <c r="AR45" i="5"/>
  <c r="AR46" i="5"/>
  <c r="AR59" i="5"/>
  <c r="AR47" i="5"/>
  <c r="AR64" i="5"/>
  <c r="AR63" i="5"/>
  <c r="AR49" i="5"/>
  <c r="AR52" i="5"/>
  <c r="AR53" i="5"/>
  <c r="AR60" i="5"/>
  <c r="AR54" i="5"/>
  <c r="AR27" i="5"/>
  <c r="AR15" i="5"/>
  <c r="AR38" i="5"/>
  <c r="AR28" i="5"/>
  <c r="AR16" i="5"/>
  <c r="AR51" i="5"/>
  <c r="AR50" i="5"/>
  <c r="AR40" i="5"/>
  <c r="AR29" i="5"/>
  <c r="AR17" i="5"/>
  <c r="AR41" i="5"/>
  <c r="AR30" i="5"/>
  <c r="AR18" i="5"/>
  <c r="AR80" i="5"/>
  <c r="AR48" i="5"/>
  <c r="AR31" i="5"/>
  <c r="AR32" i="5"/>
  <c r="AR39" i="5"/>
  <c r="AR33" i="5"/>
  <c r="AR65" i="5"/>
  <c r="AR36" i="5"/>
  <c r="AR42" i="5"/>
  <c r="AR22" i="5"/>
  <c r="AR19" i="5"/>
  <c r="AR11" i="5"/>
  <c r="AS5" i="5"/>
  <c r="AR25" i="5"/>
  <c r="AR12" i="5"/>
  <c r="AR20" i="5"/>
  <c r="AR13" i="5"/>
  <c r="AR6" i="5"/>
  <c r="AR37" i="5"/>
  <c r="AR14" i="5"/>
  <c r="AR7" i="5"/>
  <c r="AR35" i="5"/>
  <c r="AR34" i="5"/>
  <c r="AR8" i="5"/>
  <c r="AR26" i="5"/>
  <c r="AR9" i="5"/>
  <c r="AR83" i="5"/>
  <c r="AR21" i="5"/>
  <c r="AR10" i="5"/>
  <c r="AR23" i="5"/>
  <c r="AR62" i="5"/>
  <c r="AR24" i="5"/>
  <c r="K33" i="6"/>
  <c r="L33" i="6" s="1"/>
  <c r="P32" i="6"/>
  <c r="O32" i="6"/>
  <c r="B22" i="1"/>
  <c r="D22" i="1" s="1"/>
  <c r="F58" i="6" l="1"/>
  <c r="A59" i="6"/>
  <c r="E58" i="6"/>
  <c r="P58" i="6"/>
  <c r="D58" i="6"/>
  <c r="O58" i="6"/>
  <c r="C58" i="6"/>
  <c r="N58" i="6"/>
  <c r="B58" i="6"/>
  <c r="L58" i="6"/>
  <c r="J58" i="6"/>
  <c r="I58" i="6"/>
  <c r="H58" i="6"/>
  <c r="M58" i="6"/>
  <c r="K58" i="6"/>
  <c r="G58" i="6"/>
  <c r="B27" i="1"/>
  <c r="D27" i="1" s="1"/>
  <c r="K34" i="6"/>
  <c r="L34" i="6" s="1"/>
  <c r="G48" i="4"/>
  <c r="G66" i="5"/>
  <c r="G97" i="5"/>
  <c r="G68" i="5"/>
  <c r="H77" i="5"/>
  <c r="I152" i="5"/>
  <c r="I146" i="5"/>
  <c r="I70" i="5"/>
  <c r="J47" i="5"/>
  <c r="J117" i="5"/>
  <c r="K38" i="5"/>
  <c r="B28" i="1" s="1"/>
  <c r="D28" i="1" s="1"/>
  <c r="L136" i="5"/>
  <c r="L96" i="5"/>
  <c r="L49" i="5"/>
  <c r="M135" i="5"/>
  <c r="M43" i="5"/>
  <c r="M120" i="5"/>
  <c r="M112" i="5"/>
  <c r="M28" i="5"/>
  <c r="B30" i="1" s="1"/>
  <c r="D30" i="1" s="1"/>
  <c r="N130" i="5"/>
  <c r="N108" i="5"/>
  <c r="N90" i="5"/>
  <c r="N15" i="5"/>
  <c r="B31" i="1" s="1"/>
  <c r="D31" i="1" s="1"/>
  <c r="O142" i="5"/>
  <c r="O87" i="5"/>
  <c r="O99" i="5"/>
  <c r="O24" i="5"/>
  <c r="B32" i="1" s="1"/>
  <c r="D32" i="1" s="1"/>
  <c r="P51" i="5"/>
  <c r="P151" i="5"/>
  <c r="Q83" i="5"/>
  <c r="B34" i="1" s="1"/>
  <c r="D34" i="1" s="1"/>
  <c r="Q128" i="5"/>
  <c r="Q98" i="5"/>
  <c r="Q85" i="5"/>
  <c r="Q89" i="5"/>
  <c r="R50" i="5"/>
  <c r="R155" i="5"/>
  <c r="R115" i="5"/>
  <c r="S140" i="5"/>
  <c r="S153" i="5"/>
  <c r="S109" i="5"/>
  <c r="T52" i="5"/>
  <c r="T138" i="5"/>
  <c r="T91" i="5"/>
  <c r="T116" i="5"/>
  <c r="T137" i="5"/>
  <c r="U80" i="5"/>
  <c r="U139" i="5"/>
  <c r="U147" i="5"/>
  <c r="U76" i="5"/>
  <c r="V44" i="5"/>
  <c r="V37" i="5"/>
  <c r="B39" i="1" s="1"/>
  <c r="D39" i="1" s="1"/>
  <c r="V95" i="5"/>
  <c r="V33" i="5"/>
  <c r="W61" i="5"/>
  <c r="W54" i="5"/>
  <c r="W8" i="5"/>
  <c r="W18" i="5"/>
  <c r="W9" i="5"/>
  <c r="W31" i="5"/>
  <c r="W29" i="5"/>
  <c r="C36" i="6"/>
  <c r="W150" i="5"/>
  <c r="W69" i="5"/>
  <c r="X127" i="5"/>
  <c r="X62" i="5"/>
  <c r="X74" i="5"/>
  <c r="X60" i="5"/>
  <c r="X102" i="5"/>
  <c r="X32" i="5"/>
  <c r="X17" i="5"/>
  <c r="X143" i="5"/>
  <c r="X103" i="5"/>
  <c r="Y81" i="5"/>
  <c r="Y23" i="5"/>
  <c r="B42" i="1" s="1"/>
  <c r="D42" i="1" s="1"/>
  <c r="Y134" i="5"/>
  <c r="Y133" i="5"/>
  <c r="Y154" i="5"/>
  <c r="Z86" i="5"/>
  <c r="Z26" i="5"/>
  <c r="Z72" i="5"/>
  <c r="Z11" i="5"/>
  <c r="B43" i="1" s="1"/>
  <c r="D43" i="1" s="1"/>
  <c r="Z79" i="5"/>
  <c r="Z27" i="5"/>
  <c r="Z144" i="5"/>
  <c r="Z21" i="5"/>
  <c r="Z64" i="5"/>
  <c r="Z67" i="5"/>
  <c r="AA12" i="5"/>
  <c r="AA71" i="5"/>
  <c r="AA19" i="5"/>
  <c r="AA10" i="5"/>
  <c r="AA13" i="5"/>
  <c r="AB114" i="5"/>
  <c r="AB101" i="5"/>
  <c r="AB121" i="5"/>
  <c r="AB132" i="5"/>
  <c r="AB82" i="5"/>
  <c r="AB75" i="5"/>
  <c r="B45" i="1" s="1"/>
  <c r="D45" i="1" s="1"/>
  <c r="AB122" i="5"/>
  <c r="AB88" i="5"/>
  <c r="AC40" i="5"/>
  <c r="AC14" i="5"/>
  <c r="AC7" i="5"/>
  <c r="B46" i="1" s="1"/>
  <c r="D46" i="1" s="1"/>
  <c r="AC131" i="5"/>
  <c r="AC36" i="5"/>
  <c r="AC65" i="5"/>
  <c r="AC78" i="5"/>
  <c r="AD123" i="5"/>
  <c r="AD148" i="5"/>
  <c r="AD104" i="5"/>
  <c r="AD55" i="5"/>
  <c r="AD118" i="5"/>
  <c r="AD34" i="5"/>
  <c r="B47" i="1" s="1"/>
  <c r="D47" i="1" s="1"/>
  <c r="AD111" i="5"/>
  <c r="AD94" i="5"/>
  <c r="AE30" i="5"/>
  <c r="AE46" i="5"/>
  <c r="AE145" i="5"/>
  <c r="AE124" i="5"/>
  <c r="AE16" i="5"/>
  <c r="B48" i="1" s="1"/>
  <c r="D48" i="1" s="1"/>
  <c r="AE35" i="5"/>
  <c r="AF141" i="5"/>
  <c r="AF56" i="5"/>
  <c r="AF105" i="5"/>
  <c r="AF45" i="5"/>
  <c r="AF58" i="5"/>
  <c r="AF6" i="5"/>
  <c r="AF84" i="5"/>
  <c r="AF39" i="5"/>
  <c r="AF119" i="5"/>
  <c r="AF48" i="5"/>
  <c r="AG125" i="5"/>
  <c r="AG53" i="5"/>
  <c r="AG149" i="5"/>
  <c r="AG92" i="5"/>
  <c r="B50" i="1" s="1"/>
  <c r="D50" i="1" s="1"/>
  <c r="AH129" i="5"/>
  <c r="AH42" i="5"/>
  <c r="AH41" i="5"/>
  <c r="AI113" i="5"/>
  <c r="AI57" i="5"/>
  <c r="B52" i="1" s="1"/>
  <c r="D52" i="1" s="1"/>
  <c r="AI107" i="5"/>
  <c r="AI93" i="5"/>
  <c r="AJ22" i="5"/>
  <c r="AJ106" i="5"/>
  <c r="AJ73" i="5"/>
  <c r="AK100" i="5"/>
  <c r="B54" i="1" s="1"/>
  <c r="D54" i="1" s="1"/>
  <c r="AL59" i="5"/>
  <c r="AL63" i="5"/>
  <c r="AL126" i="5"/>
  <c r="AL25" i="5"/>
  <c r="AM110" i="5"/>
  <c r="B56" i="1" s="1"/>
  <c r="D56" i="1" s="1"/>
  <c r="AN20" i="5"/>
  <c r="B57" i="1" s="1"/>
  <c r="D57" i="1" s="1"/>
  <c r="D35" i="6"/>
  <c r="E35" i="6"/>
  <c r="B25" i="1"/>
  <c r="D25" i="1" s="1"/>
  <c r="A64" i="1"/>
  <c r="C63" i="1"/>
  <c r="B36" i="1"/>
  <c r="D36" i="1" s="1"/>
  <c r="D48" i="4"/>
  <c r="F48" i="4" s="1"/>
  <c r="AS152" i="5"/>
  <c r="AS153" i="5"/>
  <c r="AS146" i="5"/>
  <c r="AS147" i="5"/>
  <c r="AS151" i="5"/>
  <c r="AS148" i="5"/>
  <c r="AS155" i="5"/>
  <c r="AS139" i="5"/>
  <c r="AS142" i="5"/>
  <c r="AS132" i="5"/>
  <c r="AS134" i="5"/>
  <c r="AS135" i="5"/>
  <c r="AS150" i="5"/>
  <c r="AS145" i="5"/>
  <c r="AS144" i="5"/>
  <c r="AS141" i="5"/>
  <c r="AS149" i="5"/>
  <c r="AS138" i="5"/>
  <c r="AS136" i="5"/>
  <c r="AS114" i="5"/>
  <c r="AS127" i="5"/>
  <c r="AS115" i="5"/>
  <c r="AS116" i="5"/>
  <c r="AS125" i="5"/>
  <c r="AS133" i="5"/>
  <c r="AS130" i="5"/>
  <c r="AS154" i="5"/>
  <c r="AS119" i="5"/>
  <c r="AS128" i="5"/>
  <c r="AS131" i="5"/>
  <c r="AS123" i="5"/>
  <c r="AS143" i="5"/>
  <c r="AS129" i="5"/>
  <c r="AS126" i="5"/>
  <c r="AS103" i="5"/>
  <c r="AS104" i="5"/>
  <c r="AS121" i="5"/>
  <c r="AS105" i="5"/>
  <c r="AS106" i="5"/>
  <c r="AS140" i="5"/>
  <c r="AS107" i="5"/>
  <c r="AS137" i="5"/>
  <c r="AS113" i="5"/>
  <c r="AS122" i="5"/>
  <c r="AS109" i="5"/>
  <c r="AS112" i="5"/>
  <c r="AS108" i="5"/>
  <c r="AS99" i="5"/>
  <c r="AS88" i="5"/>
  <c r="AS118" i="5"/>
  <c r="AS89" i="5"/>
  <c r="AS77" i="5"/>
  <c r="AS124" i="5"/>
  <c r="AS90" i="5"/>
  <c r="AS98" i="5"/>
  <c r="AS91" i="5"/>
  <c r="AS92" i="5"/>
  <c r="AS80" i="5"/>
  <c r="AS93" i="5"/>
  <c r="AS111" i="5"/>
  <c r="AS94" i="5"/>
  <c r="AS102" i="5"/>
  <c r="AS100" i="5"/>
  <c r="AS120" i="5"/>
  <c r="AS117" i="5"/>
  <c r="AS110" i="5"/>
  <c r="AS67" i="5"/>
  <c r="AS97" i="5"/>
  <c r="AS96" i="5"/>
  <c r="AS95" i="5"/>
  <c r="AS87" i="5"/>
  <c r="AS81" i="5"/>
  <c r="AS68" i="5"/>
  <c r="AS84" i="5"/>
  <c r="AS69" i="5"/>
  <c r="AS57" i="5"/>
  <c r="AS70" i="5"/>
  <c r="AS58" i="5"/>
  <c r="AS86" i="5"/>
  <c r="AS71" i="5"/>
  <c r="AS82" i="5"/>
  <c r="AS72" i="5"/>
  <c r="AS101" i="5"/>
  <c r="AS73" i="5"/>
  <c r="AS85" i="5"/>
  <c r="AS78" i="5"/>
  <c r="AS74" i="5"/>
  <c r="AS76" i="5"/>
  <c r="AS56" i="5"/>
  <c r="AS44" i="5"/>
  <c r="AS75" i="5"/>
  <c r="AS45" i="5"/>
  <c r="AS46" i="5"/>
  <c r="AS59" i="5"/>
  <c r="AS47" i="5"/>
  <c r="AS79" i="5"/>
  <c r="AS48" i="5"/>
  <c r="AS64" i="5"/>
  <c r="AS63" i="5"/>
  <c r="AS49" i="5"/>
  <c r="AS83" i="5"/>
  <c r="AS65" i="5"/>
  <c r="AS50" i="5"/>
  <c r="AS53" i="5"/>
  <c r="AS54" i="5"/>
  <c r="AS55" i="5"/>
  <c r="AS43" i="5"/>
  <c r="AS38" i="5"/>
  <c r="AS28" i="5"/>
  <c r="AS16" i="5"/>
  <c r="AS52" i="5"/>
  <c r="AS51" i="5"/>
  <c r="AS40" i="5"/>
  <c r="AS29" i="5"/>
  <c r="AS17" i="5"/>
  <c r="AS41" i="5"/>
  <c r="AS30" i="5"/>
  <c r="AS18" i="5"/>
  <c r="AS61" i="5"/>
  <c r="AS31" i="5"/>
  <c r="AS19" i="5"/>
  <c r="AS66" i="5"/>
  <c r="AS32" i="5"/>
  <c r="AS39" i="5"/>
  <c r="AS33" i="5"/>
  <c r="AS62" i="5"/>
  <c r="AS34" i="5"/>
  <c r="AS37" i="5"/>
  <c r="AS60" i="5"/>
  <c r="AS11" i="5"/>
  <c r="AT5" i="5"/>
  <c r="AS25" i="5"/>
  <c r="AS12" i="5"/>
  <c r="AS20" i="5"/>
  <c r="AS13" i="5"/>
  <c r="AS6" i="5"/>
  <c r="AS14" i="5"/>
  <c r="AS7" i="5"/>
  <c r="AS36" i="5"/>
  <c r="AS35" i="5"/>
  <c r="AS8" i="5"/>
  <c r="AS26" i="5"/>
  <c r="AS9" i="5"/>
  <c r="AS21" i="5"/>
  <c r="AS15" i="5"/>
  <c r="AS10" i="5"/>
  <c r="AS23" i="5"/>
  <c r="AS24" i="5"/>
  <c r="AS42" i="5"/>
  <c r="AS27" i="5"/>
  <c r="AS22" i="5"/>
  <c r="P33" i="6"/>
  <c r="O33" i="6"/>
  <c r="B61" i="1"/>
  <c r="D61" i="1" s="1"/>
  <c r="C49" i="4"/>
  <c r="E49" i="4" s="1"/>
  <c r="B49" i="4"/>
  <c r="A50" i="4"/>
  <c r="B23" i="1"/>
  <c r="D23" i="1" s="1"/>
  <c r="B29" i="1" l="1"/>
  <c r="D29" i="1" s="1"/>
  <c r="B24" i="1"/>
  <c r="D24" i="1" s="1"/>
  <c r="D36" i="6"/>
  <c r="E36" i="6"/>
  <c r="F36" i="6"/>
  <c r="B38" i="1"/>
  <c r="D38" i="1" s="1"/>
  <c r="G49" i="4"/>
  <c r="G50" i="4" s="1"/>
  <c r="B62" i="1"/>
  <c r="D62" i="1" s="1"/>
  <c r="B35" i="1"/>
  <c r="D35" i="1" s="1"/>
  <c r="B53" i="1"/>
  <c r="D53" i="1" s="1"/>
  <c r="B41" i="1"/>
  <c r="D41" i="1" s="1"/>
  <c r="N59" i="6"/>
  <c r="B59" i="6"/>
  <c r="M59" i="6"/>
  <c r="L59" i="6"/>
  <c r="K59" i="6"/>
  <c r="J59" i="6"/>
  <c r="H59" i="6"/>
  <c r="F59" i="6"/>
  <c r="A60" i="6"/>
  <c r="E59" i="6"/>
  <c r="P59" i="6"/>
  <c r="D59" i="6"/>
  <c r="C59" i="6"/>
  <c r="O59" i="6"/>
  <c r="I59" i="6"/>
  <c r="G59" i="6"/>
  <c r="C64" i="1"/>
  <c r="A51" i="4"/>
  <c r="B50" i="4"/>
  <c r="D50" i="4" s="1"/>
  <c r="C50" i="4"/>
  <c r="D49" i="4"/>
  <c r="F49" i="4" s="1"/>
  <c r="K35" i="6"/>
  <c r="L35" i="6" s="1"/>
  <c r="B40" i="1"/>
  <c r="D40" i="1" s="1"/>
  <c r="B26" i="1"/>
  <c r="D26" i="1" s="1"/>
  <c r="O34" i="6"/>
  <c r="P34" i="6"/>
  <c r="B49" i="1"/>
  <c r="D49" i="1" s="1"/>
  <c r="B44" i="1"/>
  <c r="D44" i="1" s="1"/>
  <c r="B55" i="1"/>
  <c r="D55" i="1" s="1"/>
  <c r="B51" i="1"/>
  <c r="D51" i="1" s="1"/>
  <c r="AT153" i="5"/>
  <c r="AT154" i="5"/>
  <c r="AT155" i="5"/>
  <c r="AT147" i="5"/>
  <c r="AT135" i="5"/>
  <c r="AT151" i="5"/>
  <c r="AT148" i="5"/>
  <c r="AT136" i="5"/>
  <c r="AT149" i="5"/>
  <c r="AT137" i="5"/>
  <c r="AT140" i="5"/>
  <c r="AT152" i="5"/>
  <c r="AT150" i="5"/>
  <c r="AT133" i="5"/>
  <c r="AT145" i="5"/>
  <c r="AT144" i="5"/>
  <c r="AT141" i="5"/>
  <c r="AT146" i="5"/>
  <c r="AT143" i="5"/>
  <c r="AT139" i="5"/>
  <c r="AT127" i="5"/>
  <c r="AT115" i="5"/>
  <c r="AT116" i="5"/>
  <c r="AT125" i="5"/>
  <c r="AT117" i="5"/>
  <c r="AT130" i="5"/>
  <c r="AT134" i="5"/>
  <c r="AT132" i="5"/>
  <c r="AT128" i="5"/>
  <c r="AT120" i="5"/>
  <c r="AT138" i="5"/>
  <c r="AT124" i="5"/>
  <c r="AT119" i="5"/>
  <c r="AT104" i="5"/>
  <c r="AT121" i="5"/>
  <c r="AT114" i="5"/>
  <c r="AT105" i="5"/>
  <c r="AT129" i="5"/>
  <c r="AT106" i="5"/>
  <c r="AT131" i="5"/>
  <c r="AT107" i="5"/>
  <c r="AT113" i="5"/>
  <c r="AT108" i="5"/>
  <c r="AT122" i="5"/>
  <c r="AT110" i="5"/>
  <c r="AT118" i="5"/>
  <c r="AT112" i="5"/>
  <c r="AT89" i="5"/>
  <c r="AT90" i="5"/>
  <c r="AT78" i="5"/>
  <c r="AT98" i="5"/>
  <c r="AT91" i="5"/>
  <c r="AT92" i="5"/>
  <c r="AT93" i="5"/>
  <c r="AT81" i="5"/>
  <c r="AT111" i="5"/>
  <c r="AT94" i="5"/>
  <c r="AT123" i="5"/>
  <c r="AT95" i="5"/>
  <c r="AT97" i="5"/>
  <c r="AT109" i="5"/>
  <c r="AT103" i="5"/>
  <c r="AT99" i="5"/>
  <c r="AT96" i="5"/>
  <c r="AT87" i="5"/>
  <c r="AT77" i="5"/>
  <c r="AT68" i="5"/>
  <c r="AT84" i="5"/>
  <c r="AT69" i="5"/>
  <c r="AT57" i="5"/>
  <c r="AT70" i="5"/>
  <c r="AT58" i="5"/>
  <c r="AT86" i="5"/>
  <c r="AT71" i="5"/>
  <c r="AT59" i="5"/>
  <c r="AT126" i="5"/>
  <c r="AT100" i="5"/>
  <c r="AT82" i="5"/>
  <c r="AT72" i="5"/>
  <c r="AT142" i="5"/>
  <c r="AT101" i="5"/>
  <c r="AT73" i="5"/>
  <c r="AT61" i="5"/>
  <c r="AT85" i="5"/>
  <c r="AT74" i="5"/>
  <c r="AT79" i="5"/>
  <c r="AT75" i="5"/>
  <c r="AT83" i="5"/>
  <c r="AT80" i="5"/>
  <c r="AT65" i="5"/>
  <c r="AT76" i="5"/>
  <c r="AT45" i="5"/>
  <c r="AT46" i="5"/>
  <c r="AT47" i="5"/>
  <c r="AT67" i="5"/>
  <c r="AT48" i="5"/>
  <c r="AT88" i="5"/>
  <c r="AT64" i="5"/>
  <c r="AT63" i="5"/>
  <c r="AT49" i="5"/>
  <c r="AT50" i="5"/>
  <c r="AT62" i="5"/>
  <c r="AT60" i="5"/>
  <c r="AT51" i="5"/>
  <c r="AT54" i="5"/>
  <c r="AT66" i="5"/>
  <c r="AT55" i="5"/>
  <c r="AT56" i="5"/>
  <c r="AT53" i="5"/>
  <c r="AT52" i="5"/>
  <c r="AT40" i="5"/>
  <c r="AT29" i="5"/>
  <c r="AT17" i="5"/>
  <c r="AT41" i="5"/>
  <c r="AT30" i="5"/>
  <c r="AT18" i="5"/>
  <c r="AT31" i="5"/>
  <c r="AT19" i="5"/>
  <c r="AT102" i="5"/>
  <c r="AT32" i="5"/>
  <c r="AT20" i="5"/>
  <c r="AT44" i="5"/>
  <c r="AT39" i="5"/>
  <c r="AT33" i="5"/>
  <c r="AT34" i="5"/>
  <c r="AT42" i="5"/>
  <c r="AT35" i="5"/>
  <c r="AT43" i="5"/>
  <c r="AT38" i="5"/>
  <c r="AT28" i="5"/>
  <c r="AT11" i="5"/>
  <c r="AU5" i="5"/>
  <c r="AT25" i="5"/>
  <c r="AT12" i="5"/>
  <c r="AT13" i="5"/>
  <c r="AT6" i="5"/>
  <c r="AT14" i="5"/>
  <c r="AT7" i="5"/>
  <c r="AT37" i="5"/>
  <c r="AT36" i="5"/>
  <c r="AT8" i="5"/>
  <c r="AT26" i="5"/>
  <c r="AT9" i="5"/>
  <c r="AT21" i="5"/>
  <c r="AT15" i="5"/>
  <c r="AT10" i="5"/>
  <c r="AT23" i="5"/>
  <c r="AT24" i="5"/>
  <c r="AT27" i="5"/>
  <c r="AT22" i="5"/>
  <c r="AT16" i="5"/>
  <c r="B37" i="1"/>
  <c r="D37" i="1" s="1"/>
  <c r="B33" i="1"/>
  <c r="D33" i="1" s="1"/>
  <c r="C51" i="4" l="1"/>
  <c r="B51" i="4"/>
  <c r="D51" i="4" s="1"/>
  <c r="A52" i="4"/>
  <c r="AU154" i="5"/>
  <c r="AU155" i="5"/>
  <c r="AU151" i="5"/>
  <c r="AU148" i="5"/>
  <c r="AU136" i="5"/>
  <c r="AU149" i="5"/>
  <c r="AU137" i="5"/>
  <c r="AU138" i="5"/>
  <c r="AU141" i="5"/>
  <c r="AU150" i="5"/>
  <c r="AU140" i="5"/>
  <c r="AU134" i="5"/>
  <c r="AU147" i="5"/>
  <c r="AU145" i="5"/>
  <c r="AU135" i="5"/>
  <c r="AU144" i="5"/>
  <c r="AU152" i="5"/>
  <c r="AU146" i="5"/>
  <c r="AU143" i="5"/>
  <c r="AU116" i="5"/>
  <c r="AU125" i="5"/>
  <c r="AU117" i="5"/>
  <c r="AU130" i="5"/>
  <c r="AU118" i="5"/>
  <c r="AU133" i="5"/>
  <c r="AU132" i="5"/>
  <c r="AU119" i="5"/>
  <c r="AU128" i="5"/>
  <c r="AU120" i="5"/>
  <c r="AU121" i="5"/>
  <c r="AU139" i="5"/>
  <c r="AU126" i="5"/>
  <c r="AU142" i="5"/>
  <c r="AU129" i="5"/>
  <c r="AU127" i="5"/>
  <c r="AU114" i="5"/>
  <c r="AU105" i="5"/>
  <c r="AU106" i="5"/>
  <c r="AU131" i="5"/>
  <c r="AU107" i="5"/>
  <c r="AU113" i="5"/>
  <c r="AU108" i="5"/>
  <c r="AU122" i="5"/>
  <c r="AU109" i="5"/>
  <c r="AU110" i="5"/>
  <c r="AU112" i="5"/>
  <c r="AU153" i="5"/>
  <c r="AU90" i="5"/>
  <c r="AU78" i="5"/>
  <c r="AU124" i="5"/>
  <c r="AU98" i="5"/>
  <c r="AU91" i="5"/>
  <c r="AU79" i="5"/>
  <c r="AU92" i="5"/>
  <c r="AU80" i="5"/>
  <c r="AU104" i="5"/>
  <c r="AU93" i="5"/>
  <c r="AU111" i="5"/>
  <c r="AU94" i="5"/>
  <c r="AU82" i="5"/>
  <c r="AU123" i="5"/>
  <c r="AU95" i="5"/>
  <c r="AU101" i="5"/>
  <c r="AU96" i="5"/>
  <c r="AU97" i="5"/>
  <c r="M97" i="3" s="1"/>
  <c r="AU89" i="5"/>
  <c r="AU84" i="5"/>
  <c r="AU81" i="5"/>
  <c r="AU69" i="5"/>
  <c r="AU57" i="5"/>
  <c r="AU70" i="5"/>
  <c r="AU58" i="5"/>
  <c r="AU86" i="5"/>
  <c r="AU71" i="5"/>
  <c r="AU59" i="5"/>
  <c r="AU100" i="5"/>
  <c r="AU99" i="5"/>
  <c r="AU72" i="5"/>
  <c r="AU60" i="5"/>
  <c r="AU115" i="5"/>
  <c r="AU73" i="5"/>
  <c r="AU85" i="5"/>
  <c r="AU74" i="5"/>
  <c r="AU62" i="5"/>
  <c r="AU75" i="5"/>
  <c r="AU102" i="5"/>
  <c r="AU76" i="5"/>
  <c r="AU66" i="5"/>
  <c r="AU46" i="5"/>
  <c r="AU77" i="5"/>
  <c r="AU47" i="5"/>
  <c r="AU67" i="5"/>
  <c r="AU48" i="5"/>
  <c r="AU88" i="5"/>
  <c r="AU64" i="5"/>
  <c r="AU63" i="5"/>
  <c r="AU49" i="5"/>
  <c r="AU50" i="5"/>
  <c r="AU103" i="5"/>
  <c r="AU83" i="5"/>
  <c r="AU65" i="5"/>
  <c r="AU51" i="5"/>
  <c r="AU52" i="5"/>
  <c r="AU55" i="5"/>
  <c r="AU87" i="5"/>
  <c r="AU61" i="5"/>
  <c r="AU56" i="5"/>
  <c r="AU41" i="5"/>
  <c r="AU30" i="5"/>
  <c r="AU18" i="5"/>
  <c r="AU31" i="5"/>
  <c r="AU19" i="5"/>
  <c r="AU32" i="5"/>
  <c r="AU20" i="5"/>
  <c r="AU68" i="5"/>
  <c r="AU44" i="5"/>
  <c r="AU39" i="5"/>
  <c r="AU33" i="5"/>
  <c r="AU21" i="5"/>
  <c r="AU34" i="5"/>
  <c r="AU22" i="5"/>
  <c r="AU42" i="5"/>
  <c r="AU35" i="5"/>
  <c r="AU23" i="5"/>
  <c r="AU36" i="5"/>
  <c r="AU24" i="5"/>
  <c r="AU27" i="5"/>
  <c r="AU54" i="5"/>
  <c r="AU53" i="5"/>
  <c r="AU40" i="5"/>
  <c r="AU29" i="5"/>
  <c r="AU25" i="5"/>
  <c r="AU12" i="5"/>
  <c r="AU13" i="5"/>
  <c r="AU6" i="5"/>
  <c r="AU14" i="5"/>
  <c r="AU7" i="5"/>
  <c r="AU43" i="5"/>
  <c r="AU37" i="5"/>
  <c r="AU17" i="5"/>
  <c r="AU8" i="5"/>
  <c r="AU38" i="5"/>
  <c r="AU26" i="5"/>
  <c r="AU9" i="5"/>
  <c r="AU15" i="5"/>
  <c r="AU10" i="5"/>
  <c r="AU45" i="5"/>
  <c r="AU28" i="5"/>
  <c r="AU16" i="5"/>
  <c r="AU11" i="5"/>
  <c r="L66" i="3"/>
  <c r="O66" i="3" s="1"/>
  <c r="M66" i="3"/>
  <c r="K36" i="6"/>
  <c r="L36" i="6" s="1"/>
  <c r="O35" i="6"/>
  <c r="P35" i="6"/>
  <c r="B63" i="1"/>
  <c r="D63" i="1" s="1"/>
  <c r="E50" i="4"/>
  <c r="F50" i="4" s="1"/>
  <c r="G51" i="4" s="1"/>
  <c r="J60" i="6"/>
  <c r="I60" i="6"/>
  <c r="H60" i="6"/>
  <c r="G60" i="6"/>
  <c r="F60" i="6"/>
  <c r="P60" i="6"/>
  <c r="D60" i="6"/>
  <c r="N60" i="6"/>
  <c r="B60" i="6"/>
  <c r="M60" i="6"/>
  <c r="L60" i="6"/>
  <c r="O60" i="6"/>
  <c r="E60" i="6"/>
  <c r="C60" i="6"/>
  <c r="K60" i="6"/>
  <c r="M115" i="3" l="1"/>
  <c r="L115" i="3"/>
  <c r="O115" i="3" s="1"/>
  <c r="M51" i="3"/>
  <c r="L51" i="3"/>
  <c r="O51" i="3" s="1"/>
  <c r="M77" i="3"/>
  <c r="L77" i="3"/>
  <c r="O77" i="3" s="1"/>
  <c r="M72" i="3"/>
  <c r="L72" i="3"/>
  <c r="O72" i="3" s="1"/>
  <c r="M89" i="3"/>
  <c r="L89" i="3"/>
  <c r="O89" i="3" s="1"/>
  <c r="L92" i="3"/>
  <c r="O92" i="3" s="1"/>
  <c r="M92" i="3"/>
  <c r="M108" i="3"/>
  <c r="L108" i="3"/>
  <c r="O108" i="3" s="1"/>
  <c r="L121" i="3"/>
  <c r="O121" i="3" s="1"/>
  <c r="M121" i="3"/>
  <c r="M146" i="3"/>
  <c r="L146" i="3"/>
  <c r="O146" i="3" s="1"/>
  <c r="L149" i="3"/>
  <c r="O149" i="3" s="1"/>
  <c r="M149" i="3"/>
  <c r="L16" i="3"/>
  <c r="O16" i="3" s="1"/>
  <c r="M16" i="3"/>
  <c r="M46" i="3"/>
  <c r="L46" i="3"/>
  <c r="O46" i="3" s="1"/>
  <c r="M99" i="3"/>
  <c r="L99" i="3"/>
  <c r="O99" i="3" s="1"/>
  <c r="M79" i="3"/>
  <c r="L79" i="3"/>
  <c r="O79" i="3" s="1"/>
  <c r="L113" i="3"/>
  <c r="O113" i="3" s="1"/>
  <c r="M113" i="3"/>
  <c r="M120" i="3"/>
  <c r="L120" i="3"/>
  <c r="O120" i="3" s="1"/>
  <c r="M152" i="3"/>
  <c r="L152" i="3"/>
  <c r="O152" i="3" s="1"/>
  <c r="M136" i="3"/>
  <c r="L136" i="3"/>
  <c r="O136" i="3" s="1"/>
  <c r="M17" i="3"/>
  <c r="L17" i="3"/>
  <c r="O17" i="3" s="1"/>
  <c r="L104" i="3"/>
  <c r="O104" i="3" s="1"/>
  <c r="M104" i="3"/>
  <c r="M27" i="3"/>
  <c r="L27" i="3"/>
  <c r="O27" i="3" s="1"/>
  <c r="L137" i="3"/>
  <c r="O137" i="3" s="1"/>
  <c r="M137" i="3"/>
  <c r="E3" i="6"/>
  <c r="L28" i="3"/>
  <c r="O28" i="3" s="1"/>
  <c r="M28" i="3"/>
  <c r="M14" i="3"/>
  <c r="L14" i="3"/>
  <c r="O14" i="3" s="1"/>
  <c r="L23" i="3"/>
  <c r="O23" i="3" s="1"/>
  <c r="M23" i="3"/>
  <c r="L19" i="3"/>
  <c r="O19" i="3" s="1"/>
  <c r="M19" i="3"/>
  <c r="L83" i="3"/>
  <c r="O83" i="3" s="1"/>
  <c r="M83" i="3"/>
  <c r="L100" i="3"/>
  <c r="O100" i="3" s="1"/>
  <c r="M100" i="3"/>
  <c r="M96" i="3"/>
  <c r="L96" i="3"/>
  <c r="O96" i="3" s="1"/>
  <c r="M91" i="3"/>
  <c r="L91" i="3"/>
  <c r="O91" i="3" s="1"/>
  <c r="L107" i="3"/>
  <c r="O107" i="3" s="1"/>
  <c r="M107" i="3"/>
  <c r="M128" i="3"/>
  <c r="L128" i="3"/>
  <c r="O128" i="3" s="1"/>
  <c r="M144" i="3"/>
  <c r="L144" i="3"/>
  <c r="O144" i="3" s="1"/>
  <c r="M148" i="3"/>
  <c r="L148" i="3"/>
  <c r="O148" i="3" s="1"/>
  <c r="L44" i="3"/>
  <c r="O44" i="3" s="1"/>
  <c r="M44" i="3"/>
  <c r="L116" i="3"/>
  <c r="O116" i="3" s="1"/>
  <c r="M116" i="3"/>
  <c r="L52" i="3"/>
  <c r="O52" i="3" s="1"/>
  <c r="M52" i="3"/>
  <c r="L139" i="3"/>
  <c r="O139" i="3" s="1"/>
  <c r="M139" i="3"/>
  <c r="M20" i="3"/>
  <c r="L20" i="3"/>
  <c r="O20" i="3" s="1"/>
  <c r="M6" i="3"/>
  <c r="L6" i="3"/>
  <c r="B64" i="1"/>
  <c r="D64" i="1" s="1"/>
  <c r="B11" i="1" s="1"/>
  <c r="B8" i="8" s="1"/>
  <c r="D8" i="8" s="1"/>
  <c r="F8" i="8" s="1"/>
  <c r="M31" i="3"/>
  <c r="L31" i="3"/>
  <c r="O31" i="3" s="1"/>
  <c r="L76" i="3"/>
  <c r="O76" i="3" s="1"/>
  <c r="M76" i="3"/>
  <c r="L59" i="3"/>
  <c r="O59" i="3" s="1"/>
  <c r="M59" i="3"/>
  <c r="L101" i="3"/>
  <c r="O101" i="3" s="1"/>
  <c r="M101" i="3"/>
  <c r="M98" i="3"/>
  <c r="L98" i="3"/>
  <c r="O98" i="3" s="1"/>
  <c r="M131" i="3"/>
  <c r="L131" i="3"/>
  <c r="O131" i="3" s="1"/>
  <c r="L119" i="3"/>
  <c r="O119" i="3" s="1"/>
  <c r="M119" i="3"/>
  <c r="M135" i="3"/>
  <c r="L135" i="3"/>
  <c r="O135" i="3" s="1"/>
  <c r="M151" i="3"/>
  <c r="L151" i="3"/>
  <c r="O151" i="3" s="1"/>
  <c r="M54" i="3"/>
  <c r="L54" i="3"/>
  <c r="O54" i="3" s="1"/>
  <c r="M138" i="3"/>
  <c r="L138" i="3"/>
  <c r="O138" i="3" s="1"/>
  <c r="L68" i="3"/>
  <c r="O68" i="3" s="1"/>
  <c r="M68" i="3"/>
  <c r="M80" i="3"/>
  <c r="L80" i="3"/>
  <c r="O80" i="3" s="1"/>
  <c r="M24" i="3"/>
  <c r="L24" i="3"/>
  <c r="O24" i="3" s="1"/>
  <c r="M7" i="3"/>
  <c r="L7" i="3"/>
  <c r="O7" i="3" s="1"/>
  <c r="M45" i="3"/>
  <c r="L45" i="3"/>
  <c r="O45" i="3" s="1"/>
  <c r="M103" i="3"/>
  <c r="L103" i="3"/>
  <c r="O103" i="3" s="1"/>
  <c r="L10" i="3"/>
  <c r="O10" i="3" s="1"/>
  <c r="M10" i="3"/>
  <c r="M13" i="3"/>
  <c r="L13" i="3"/>
  <c r="O13" i="3" s="1"/>
  <c r="M42" i="3"/>
  <c r="L42" i="3"/>
  <c r="O42" i="3" s="1"/>
  <c r="L18" i="3"/>
  <c r="O18" i="3" s="1"/>
  <c r="M18" i="3"/>
  <c r="L50" i="3"/>
  <c r="O50" i="3" s="1"/>
  <c r="M50" i="3"/>
  <c r="L102" i="3"/>
  <c r="O102" i="3" s="1"/>
  <c r="M102" i="3"/>
  <c r="L71" i="3"/>
  <c r="O71" i="3" s="1"/>
  <c r="M71" i="3"/>
  <c r="L95" i="3"/>
  <c r="O95" i="3" s="1"/>
  <c r="M95" i="3"/>
  <c r="M124" i="3"/>
  <c r="L124" i="3"/>
  <c r="O124" i="3" s="1"/>
  <c r="L106" i="3"/>
  <c r="O106" i="3" s="1"/>
  <c r="M106" i="3"/>
  <c r="M132" i="3"/>
  <c r="L132" i="3"/>
  <c r="O132" i="3" s="1"/>
  <c r="M145" i="3"/>
  <c r="L145" i="3"/>
  <c r="O145" i="3" s="1"/>
  <c r="L155" i="3"/>
  <c r="O155" i="3" s="1"/>
  <c r="M155" i="3"/>
  <c r="L35" i="3"/>
  <c r="O35" i="3" s="1"/>
  <c r="M35" i="3"/>
  <c r="M15" i="3"/>
  <c r="L15" i="3"/>
  <c r="O15" i="3" s="1"/>
  <c r="M12" i="3"/>
  <c r="L12" i="3"/>
  <c r="O12" i="3" s="1"/>
  <c r="L22" i="3"/>
  <c r="O22" i="3" s="1"/>
  <c r="M22" i="3"/>
  <c r="M30" i="3"/>
  <c r="L30" i="3"/>
  <c r="O30" i="3" s="1"/>
  <c r="M49" i="3"/>
  <c r="L49" i="3"/>
  <c r="O49" i="3" s="1"/>
  <c r="M75" i="3"/>
  <c r="L75" i="3"/>
  <c r="O75" i="3" s="1"/>
  <c r="L86" i="3"/>
  <c r="O86" i="3" s="1"/>
  <c r="M86" i="3"/>
  <c r="L123" i="3"/>
  <c r="O123" i="3" s="1"/>
  <c r="M123" i="3"/>
  <c r="M78" i="3"/>
  <c r="L78" i="3"/>
  <c r="O78" i="3" s="1"/>
  <c r="M105" i="3"/>
  <c r="L105" i="3"/>
  <c r="O105" i="3" s="1"/>
  <c r="M133" i="3"/>
  <c r="L133" i="3"/>
  <c r="O133" i="3" s="1"/>
  <c r="L147" i="3"/>
  <c r="O147" i="3" s="1"/>
  <c r="M147" i="3"/>
  <c r="M154" i="3"/>
  <c r="L154" i="3"/>
  <c r="O154" i="3" s="1"/>
  <c r="L97" i="3"/>
  <c r="O97" i="3" s="1"/>
  <c r="M9" i="3"/>
  <c r="L9" i="3"/>
  <c r="O9" i="3" s="1"/>
  <c r="M25" i="3"/>
  <c r="L25" i="3"/>
  <c r="O25" i="3" s="1"/>
  <c r="L34" i="3"/>
  <c r="O34" i="3" s="1"/>
  <c r="M34" i="3"/>
  <c r="L41" i="3"/>
  <c r="O41" i="3" s="1"/>
  <c r="M41" i="3"/>
  <c r="M63" i="3"/>
  <c r="L63" i="3"/>
  <c r="O63" i="3" s="1"/>
  <c r="L62" i="3"/>
  <c r="O62" i="3" s="1"/>
  <c r="M62" i="3"/>
  <c r="L58" i="3"/>
  <c r="O58" i="3" s="1"/>
  <c r="M58" i="3"/>
  <c r="L82" i="3"/>
  <c r="O82" i="3" s="1"/>
  <c r="M82" i="3"/>
  <c r="L90" i="3"/>
  <c r="O90" i="3" s="1"/>
  <c r="M90" i="3"/>
  <c r="L114" i="3"/>
  <c r="O114" i="3" s="1"/>
  <c r="M114" i="3"/>
  <c r="L118" i="3"/>
  <c r="O118" i="3" s="1"/>
  <c r="M118" i="3"/>
  <c r="L134" i="3"/>
  <c r="O134" i="3" s="1"/>
  <c r="M134" i="3"/>
  <c r="A53" i="4"/>
  <c r="C52" i="4"/>
  <c r="B52" i="4"/>
  <c r="D52" i="4" s="1"/>
  <c r="M55" i="3"/>
  <c r="L55" i="3"/>
  <c r="O55" i="3" s="1"/>
  <c r="L126" i="3"/>
  <c r="O126" i="3" s="1"/>
  <c r="M126" i="3"/>
  <c r="L37" i="3"/>
  <c r="O37" i="3" s="1"/>
  <c r="M37" i="3"/>
  <c r="L47" i="3"/>
  <c r="O47" i="3" s="1"/>
  <c r="M47" i="3"/>
  <c r="L84" i="3"/>
  <c r="O84" i="3" s="1"/>
  <c r="M84" i="3"/>
  <c r="M11" i="3"/>
  <c r="L11" i="3"/>
  <c r="O11" i="3" s="1"/>
  <c r="M36" i="3"/>
  <c r="L36" i="3"/>
  <c r="O36" i="3" s="1"/>
  <c r="L21" i="3"/>
  <c r="O21" i="3" s="1"/>
  <c r="M21" i="3"/>
  <c r="M56" i="3"/>
  <c r="L56" i="3"/>
  <c r="O56" i="3" s="1"/>
  <c r="L64" i="3"/>
  <c r="O64" i="3" s="1"/>
  <c r="M64" i="3"/>
  <c r="M74" i="3"/>
  <c r="L74" i="3"/>
  <c r="O74" i="3" s="1"/>
  <c r="M70" i="3"/>
  <c r="L70" i="3"/>
  <c r="O70" i="3" s="1"/>
  <c r="L94" i="3"/>
  <c r="O94" i="3" s="1"/>
  <c r="M94" i="3"/>
  <c r="M153" i="3"/>
  <c r="L153" i="3"/>
  <c r="O153" i="3" s="1"/>
  <c r="L127" i="3"/>
  <c r="O127" i="3" s="1"/>
  <c r="M127" i="3"/>
  <c r="M130" i="3"/>
  <c r="L130" i="3"/>
  <c r="O130" i="3" s="1"/>
  <c r="L140" i="3"/>
  <c r="O140" i="3" s="1"/>
  <c r="M140" i="3"/>
  <c r="L81" i="3"/>
  <c r="O81" i="3" s="1"/>
  <c r="M81" i="3"/>
  <c r="M60" i="3"/>
  <c r="L60" i="3"/>
  <c r="O60" i="3" s="1"/>
  <c r="L122" i="3"/>
  <c r="O122" i="3" s="1"/>
  <c r="M122" i="3"/>
  <c r="M43" i="3"/>
  <c r="L43" i="3"/>
  <c r="O43" i="3" s="1"/>
  <c r="M32" i="3"/>
  <c r="L32" i="3"/>
  <c r="O32" i="3" s="1"/>
  <c r="M29" i="3"/>
  <c r="L29" i="3"/>
  <c r="O29" i="3" s="1"/>
  <c r="P36" i="6"/>
  <c r="E4" i="6" s="1"/>
  <c r="O36" i="6"/>
  <c r="M38" i="3"/>
  <c r="L38" i="3"/>
  <c r="O38" i="3" s="1"/>
  <c r="M40" i="3"/>
  <c r="L40" i="3"/>
  <c r="O40" i="3" s="1"/>
  <c r="M33" i="3"/>
  <c r="L33" i="3"/>
  <c r="O33" i="3" s="1"/>
  <c r="M61" i="3"/>
  <c r="L61" i="3"/>
  <c r="O61" i="3" s="1"/>
  <c r="M88" i="3"/>
  <c r="L88" i="3"/>
  <c r="O88" i="3" s="1"/>
  <c r="M85" i="3"/>
  <c r="L85" i="3"/>
  <c r="O85" i="3" s="1"/>
  <c r="M57" i="3"/>
  <c r="L57" i="3"/>
  <c r="O57" i="3" s="1"/>
  <c r="M111" i="3"/>
  <c r="L111" i="3"/>
  <c r="O111" i="3" s="1"/>
  <c r="L112" i="3"/>
  <c r="O112" i="3" s="1"/>
  <c r="M112" i="3"/>
  <c r="M129" i="3"/>
  <c r="L129" i="3"/>
  <c r="O129" i="3" s="1"/>
  <c r="M117" i="3"/>
  <c r="L117" i="3"/>
  <c r="O117" i="3" s="1"/>
  <c r="M150" i="3"/>
  <c r="L150" i="3"/>
  <c r="O150" i="3" s="1"/>
  <c r="E51" i="4"/>
  <c r="F51" i="4" s="1"/>
  <c r="G52" i="4" s="1"/>
  <c r="L67" i="3"/>
  <c r="O67" i="3" s="1"/>
  <c r="M67" i="3"/>
  <c r="L109" i="3"/>
  <c r="O109" i="3" s="1"/>
  <c r="M109" i="3"/>
  <c r="M143" i="3"/>
  <c r="L143" i="3"/>
  <c r="O143" i="3" s="1"/>
  <c r="M65" i="3"/>
  <c r="L65" i="3"/>
  <c r="O65" i="3" s="1"/>
  <c r="M26" i="3"/>
  <c r="L26" i="3"/>
  <c r="O26" i="3" s="1"/>
  <c r="L8" i="3"/>
  <c r="M8" i="3"/>
  <c r="L53" i="3"/>
  <c r="O53" i="3" s="1"/>
  <c r="M53" i="3"/>
  <c r="M39" i="3"/>
  <c r="L39" i="3"/>
  <c r="O39" i="3" s="1"/>
  <c r="M87" i="3"/>
  <c r="L87" i="3"/>
  <c r="O87" i="3" s="1"/>
  <c r="M48" i="3"/>
  <c r="L48" i="3"/>
  <c r="O48" i="3" s="1"/>
  <c r="M73" i="3"/>
  <c r="L73" i="3"/>
  <c r="O73" i="3" s="1"/>
  <c r="L69" i="3"/>
  <c r="O69" i="3" s="1"/>
  <c r="M69" i="3"/>
  <c r="L93" i="3"/>
  <c r="O93" i="3" s="1"/>
  <c r="M93" i="3"/>
  <c r="M110" i="3"/>
  <c r="L110" i="3"/>
  <c r="O110" i="3" s="1"/>
  <c r="M142" i="3"/>
  <c r="L142" i="3"/>
  <c r="O142" i="3" s="1"/>
  <c r="L125" i="3"/>
  <c r="O125" i="3" s="1"/>
  <c r="M125" i="3"/>
  <c r="L141" i="3"/>
  <c r="O141" i="3" s="1"/>
  <c r="M141" i="3"/>
  <c r="O8" i="3" l="1"/>
  <c r="E5" i="6"/>
  <c r="E6" i="6" s="1"/>
  <c r="B8" i="1"/>
  <c r="B6" i="8" s="1"/>
  <c r="D6" i="8" s="1"/>
  <c r="F6" i="8" s="1"/>
  <c r="E52" i="4"/>
  <c r="F52" i="4" s="1"/>
  <c r="G53" i="4" s="1"/>
  <c r="B53" i="4"/>
  <c r="A54" i="4"/>
  <c r="C53" i="4"/>
  <c r="E53" i="4" s="1"/>
  <c r="O6" i="3"/>
  <c r="B11" i="8" s="1"/>
  <c r="F11" i="8" s="1"/>
  <c r="B7" i="1"/>
  <c r="B5" i="8" l="1"/>
  <c r="D5" i="8" s="1"/>
  <c r="F5" i="8" s="1"/>
  <c r="B9" i="1"/>
  <c r="B13" i="1"/>
  <c r="B16" i="1"/>
  <c r="B14" i="1"/>
  <c r="B10" i="8" s="1"/>
  <c r="D10" i="8" s="1"/>
  <c r="F10" i="8" s="1"/>
  <c r="D53" i="4"/>
  <c r="F53" i="4" s="1"/>
  <c r="G54" i="4" s="1"/>
  <c r="C54" i="4"/>
  <c r="B54" i="4"/>
  <c r="D54" i="4" s="1"/>
  <c r="A55" i="4"/>
  <c r="A56" i="4" l="1"/>
  <c r="C55" i="4"/>
  <c r="B55" i="4"/>
  <c r="D55" i="4" s="1"/>
  <c r="E54" i="4"/>
  <c r="F54" i="4" s="1"/>
  <c r="G55" i="4" s="1"/>
  <c r="F14" i="8"/>
  <c r="E55" i="4" l="1"/>
  <c r="F55" i="4" s="1"/>
  <c r="G56" i="4" s="1"/>
  <c r="C56" i="4"/>
  <c r="B56" i="4"/>
  <c r="D56" i="4" s="1"/>
  <c r="A57" i="4"/>
  <c r="A58" i="4" l="1"/>
  <c r="C57" i="4"/>
  <c r="B57" i="4"/>
  <c r="D57" i="4" s="1"/>
  <c r="E56" i="4"/>
  <c r="F56" i="4" s="1"/>
  <c r="G57" i="4" s="1"/>
  <c r="E57" i="4" l="1"/>
  <c r="F57" i="4" s="1"/>
  <c r="G58" i="4" s="1"/>
  <c r="C58" i="4"/>
  <c r="E58" i="4" s="1"/>
  <c r="B58" i="4"/>
  <c r="D58" i="4" l="1"/>
  <c r="F58" i="4" s="1"/>
</calcChain>
</file>

<file path=xl/sharedStrings.xml><?xml version="1.0" encoding="utf-8"?>
<sst xmlns="http://schemas.openxmlformats.org/spreadsheetml/2006/main" count="301" uniqueCount="279">
  <si>
    <t>Gratuity DBO: Summary of Results</t>
  </si>
  <si>
    <t>ILLUSTRATIVE MODEL USING SYNTHETIC DATA. Assumptions are placeholders; see the Assumptions sheet.</t>
  </si>
  <si>
    <t>Measure</t>
  </si>
  <si>
    <t>Value</t>
  </si>
  <si>
    <t>Number of employees</t>
  </si>
  <si>
    <t>Employees eligible today (service &gt;= 5 years)</t>
  </si>
  <si>
    <t>Defined Benefit Obligation, DBO (Rs)</t>
  </si>
  <si>
    <t>Current service cost, next year (Rs)</t>
  </si>
  <si>
    <t>Interest cost, next year, approx. = discount rate x DBO (Rs)</t>
  </si>
  <si>
    <t>Expected payments in year 1 for service earned to date (Rs)</t>
  </si>
  <si>
    <t>Weighted average term of the liability (years)</t>
  </si>
  <si>
    <t>Benefit if all eligible employees left today (Rs)</t>
  </si>
  <si>
    <t>DBO as % of that reference figure</t>
  </si>
  <si>
    <t>Share of DBO held by the top 10 employees</t>
  </si>
  <si>
    <t>Reconciliation: PV of cash flows below minus DBO (should be 0)</t>
  </si>
  <si>
    <t>Expected payments for service earned to date, by future year</t>
  </si>
  <si>
    <t>Year from valuation date (t)</t>
  </si>
  <si>
    <t>Expected payments, undiscounted (Rs)</t>
  </si>
  <si>
    <t>Discount factor</t>
  </si>
  <si>
    <t>Present value (Rs)</t>
  </si>
  <si>
    <t>Gratuity Valuation (Projected Unit Credit): Assumptions</t>
  </si>
  <si>
    <t>ILLUSTRATIVE MODEL USING SYNTHETIC DATA. Not a real valuation.</t>
  </si>
  <si>
    <t>Legend: blue text = input you may edit; black = formula; yellow fill = key assumption.</t>
  </si>
  <si>
    <t>Assumption</t>
  </si>
  <si>
    <t>Basis / note</t>
  </si>
  <si>
    <t>Valuation date</t>
  </si>
  <si>
    <t>A financial year-end (chosen by the project).</t>
  </si>
  <si>
    <t>Retirement age (years)</t>
  </si>
  <si>
    <t>Common assumption; the Stage 1 data check also uses 60.</t>
  </si>
  <si>
    <t>Discount rate</t>
  </si>
  <si>
    <t>Proxy: 10-year government bond yield near 31 March 2026 (about 7.00% per a Trading Economics table; approximate, cite your source).</t>
  </si>
  <si>
    <t>Salary escalation (per year)</t>
  </si>
  <si>
    <t>Illustrative judgement; in a real valuation it follows the employer's pay policy.</t>
  </si>
  <si>
    <t>Ceiling on gratuity (Rs)</t>
  </si>
  <si>
    <t>Rs 20 lakh. Verify against the current notification.</t>
  </si>
  <si>
    <t>Minimum service for withdrawal benefit (years)</t>
  </si>
  <si>
    <t>Five-year rule for exits other than death (and retirement here).</t>
  </si>
  <si>
    <t>Mortality A (Gompertz-Makeham)</t>
  </si>
  <si>
    <t>ILLUSTRATIVE placeholder; replace with the published IALM table.</t>
  </si>
  <si>
    <t>Mortality B</t>
  </si>
  <si>
    <t>ILLUSTRATIVE placeholder.</t>
  </si>
  <si>
    <t>Mortality c</t>
  </si>
  <si>
    <t>Illustrative annual withdrawal rates by age band</t>
  </si>
  <si>
    <t>From age</t>
  </si>
  <si>
    <t>To age (exclusive)</t>
  </si>
  <si>
    <t>Annual withdrawal rate</t>
  </si>
  <si>
    <t>Rates are illustrative placeholders, not company or industry data.</t>
  </si>
  <si>
    <t>Employee census and per-employee valuation</t>
  </si>
  <si>
    <t>SYNTHETIC DATA generated for learning (seed 2026). Columns A-D are inputs; E-M are formulas; N is the Python result pasted for cross-checking.</t>
  </si>
  <si>
    <t>DBO = sum over exit years of [expected benefit x service now / service at exit x discount factor]. See Benefit_Grid for the expected benefit by year.</t>
  </si>
  <si>
    <t>Emp ID</t>
  </si>
  <si>
    <t>Date of birth</t>
  </si>
  <si>
    <t>Date of joining</t>
  </si>
  <si>
    <t>Monthly wages (Rs)</t>
  </si>
  <si>
    <t>Age at valuation</t>
  </si>
  <si>
    <t>Service at valuation (years)</t>
  </si>
  <si>
    <t>Start age (rounded down)</t>
  </si>
  <si>
    <t>Years to retirement</t>
  </si>
  <si>
    <t>Years for formula (part-year rule)</t>
  </si>
  <si>
    <t>Benefit if exit today (Rs)</t>
  </si>
  <si>
    <t>Eligible today (1 = yes)</t>
  </si>
  <si>
    <t>DBO (Rs)</t>
  </si>
  <si>
    <t>Current service cost (Rs)</t>
  </si>
  <si>
    <t>Python DBO (Rs)</t>
  </si>
  <si>
    <t>Excel minus Python (Rs)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</si>
  <si>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</si>
  <si>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</si>
  <si>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</si>
  <si>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</si>
  <si>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</si>
  <si>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</si>
  <si>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</si>
  <si>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</si>
  <si>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</si>
  <si>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</si>
  <si>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</si>
  <si>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</si>
  <si>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</si>
  <si>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</si>
  <si>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</si>
  <si>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</si>
  <si>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</si>
  <si>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</si>
  <si>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</si>
  <si>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</si>
  <si>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</si>
  <si>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</si>
  <si>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</si>
  <si>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</si>
  <si>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</si>
  <si>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</si>
  <si>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</si>
  <si>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</si>
  <si>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</si>
  <si>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</si>
  <si>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</si>
  <si>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</si>
  <si>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</si>
  <si>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</si>
  <si>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</si>
  <si>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</si>
  <si>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</si>
  <si>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</si>
  <si>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</si>
  <si>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</si>
  <si>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</si>
  <si>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</si>
  <si>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</si>
  <si>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</si>
  <si>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</si>
  <si>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</si>
  <si>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</si>
  <si>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</si>
  <si>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</si>
  <si>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</si>
  <si>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</si>
  <si>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</si>
  <si>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</si>
  <si>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</si>
  <si>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</si>
  <si>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</si>
  <si>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</si>
  <si>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</si>
  <si>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</si>
  <si>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</si>
  <si>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</si>
  <si>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</si>
  <si>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</si>
  <si>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</si>
  <si>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</si>
  <si>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</si>
  <si>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</si>
  <si>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</si>
  <si>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</si>
  <si>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</si>
  <si>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</si>
  <si>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</si>
  <si>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</si>
  <si>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</si>
  <si>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</si>
  <si>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</si>
  <si>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</si>
  <si>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</si>
  <si>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</si>
  <si>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</si>
  <si>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</si>
  <si>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</si>
  <si>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</si>
  <si>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</si>
  <si>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</si>
  <si>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</si>
  <si>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</si>
  <si>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</si>
  <si>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</si>
  <si>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</si>
  <si>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</si>
  <si>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</si>
  <si>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</si>
  <si>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</si>
  <si>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</si>
  <si>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</si>
  <si>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</si>
  <si>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</si>
  <si>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</si>
  <si>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</si>
  <si>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</si>
  <si>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</si>
  <si>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</si>
  <si>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</si>
  <si>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</si>
  <si>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</si>
  <si>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</si>
  <si>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</si>
  <si>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</si>
  <si>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</si>
  <si>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</si>
  <si>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</si>
  <si>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</si>
  <si>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</si>
  <si>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</si>
  <si>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</si>
  <si>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</si>
  <si>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</si>
  <si>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</si>
  <si>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</si>
  <si>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</si>
  <si>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</si>
  <si>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</si>
  <si>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</si>
  <si>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</si>
  <si>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</si>
  <si>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</si>
  <si>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</si>
  <si>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</si>
  <si>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</si>
  <si>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</si>
  <si>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</si>
  <si>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</si>
  <si>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</si>
  <si>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</si>
  <si>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</si>
  <si>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</si>
  <si>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</si>
  <si>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</si>
  <si>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</si>
  <si>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</si>
  <si>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</si>
  <si>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</si>
  <si>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</si>
  <si>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</si>
  <si>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</si>
  <si>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</si>
  <si>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</si>
  <si>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</si>
  <si>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</si>
  <si>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Decrement table by age</t>
  </si>
  <si>
    <t>q = death probability, w = withdrawal probability. Combined so the two do not double count: death = q(1 - w/2), withdrawal = w(1 - q/2). L = probability of still being in service at the start of that age, starting from 1 at age 18.</t>
  </si>
  <si>
    <t>Age</t>
  </si>
  <si>
    <t>q (death)</t>
  </si>
  <si>
    <t>w (withdrawal)</t>
  </si>
  <si>
    <t>Death decrement</t>
  </si>
  <si>
    <t>Withdrawal decrement</t>
  </si>
  <si>
    <t>Stay in service</t>
  </si>
  <si>
    <t>In service at start of age (L)</t>
  </si>
  <si>
    <t>Expected benefit payable at the end of each future year (Rs), before attribution and discounting</t>
  </si>
  <si>
    <t>Each cell = P(paid in year t) x benefit at exit, with the part-year rule, wage growth, ceiling, and the five-year rule for withdrawals. Death and retirement are paid regardless of service length.</t>
  </si>
  <si>
    <t>Row numbers match the Census sheet. Columns are years from the valuation date (t).</t>
  </si>
  <si>
    <t>One employee, line by line</t>
  </si>
  <si>
    <t>Type any employee ID in B3. This sheet shows the full working behind that person's DBO.</t>
  </si>
  <si>
    <t>Employee ID</t>
  </si>
  <si>
    <t>Row in Census</t>
  </si>
  <si>
    <t>DBO on Census sheet (Rs)</t>
  </si>
  <si>
    <t>Difference (should be 0)</t>
  </si>
  <si>
    <t>t (years from valuation)</t>
  </si>
  <si>
    <t>Age at start of year</t>
  </si>
  <si>
    <t>In service at start</t>
  </si>
  <si>
    <t>P(death in year)</t>
  </si>
  <si>
    <t>P(withdraw in year)</t>
  </si>
  <si>
    <t>P(retire at end)</t>
  </si>
  <si>
    <t>Service at exit (years)</t>
  </si>
  <si>
    <t>Projected monthly wages at exit (Rs)</t>
  </si>
  <si>
    <t>Years for formula</t>
  </si>
  <si>
    <t>Benefit if paid (Rs)</t>
  </si>
  <si>
    <t>P(paid)</t>
  </si>
  <si>
    <t>Expected benefit (Rs)</t>
  </si>
  <si>
    <t>Share earned to date</t>
  </si>
  <si>
    <t>PV attributed (Rs)</t>
  </si>
  <si>
    <t>PV service cost part (Rs)</t>
  </si>
  <si>
    <t>Hand check: the worked example from the theory lesson</t>
  </si>
  <si>
    <t>One employee who retires at 60 with certainty. No exits before 60. Input values are from the lesson.</t>
  </si>
  <si>
    <t>Item</t>
  </si>
  <si>
    <t>Age now</t>
  </si>
  <si>
    <t>Service now (years)</t>
  </si>
  <si>
    <t>Monthly wages now (Rs)</t>
  </si>
  <si>
    <t>Retirement age</t>
  </si>
  <si>
    <t>Wage growth</t>
  </si>
  <si>
    <t>Ceiling (Rs)</t>
  </si>
  <si>
    <t>Wages at retirement (Rs)</t>
  </si>
  <si>
    <t>Service at retirement (years)</t>
  </si>
  <si>
    <t>Benefit before ceiling (Rs)</t>
  </si>
  <si>
    <t>Benefit after ceiling (Rs)</t>
  </si>
  <si>
    <t>Expected from the lesson: DBO (Rs)</t>
  </si>
  <si>
    <t>Expected from the lesson: service cost (Rs)</t>
  </si>
  <si>
    <t>Result</t>
  </si>
  <si>
    <t>Source of the expected values: hand calculation in the theory lesson (Stage 0).</t>
  </si>
  <si>
    <t>Cross-check: Excel against the Python notebook (Stage 3)</t>
  </si>
  <si>
    <t>Python values are pasted outputs from the Stage 3 notebook run with the same inputs and assumptions (blue = hardcoded).</t>
  </si>
  <si>
    <t>Excel</t>
  </si>
  <si>
    <t>Python (pasted)</t>
  </si>
  <si>
    <t>Difference</t>
  </si>
  <si>
    <t>Tolerance</t>
  </si>
  <si>
    <t>Status</t>
  </si>
  <si>
    <t>Expected payments, year 1 (Rs)</t>
  </si>
  <si>
    <t>Weighted average term (years)</t>
  </si>
  <si>
    <t>Benefit if eligible left today (Rs)</t>
  </si>
  <si>
    <t>Top 10 share of DBO</t>
  </si>
  <si>
    <t>Largest per-employee difference in DBO (Rs)</t>
  </si>
  <si>
    <t>Hand-check example (Hand_Check sheet)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</si>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</sst>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;\(#,##0\);\-"/>
    <numFmt numFmtId="165" formatCode="0.0"/>
    <numFmt numFmtId="166" formatCode="0.0%"/>
    <numFmt numFmtId="167" formatCode="#,##0.00;\(#,##0.00\);\-"/>
    <numFmt numFmtId="168" formatCode="0.0000"/>
    <numFmt numFmtId="169" formatCode="dd\-mmm\-yyyy"/>
    <numFmt numFmtId="170" formatCode="0.00000"/>
    <numFmt numFmtId="171" formatCode="0.000000"/>
    <numFmt numFmtId="172" formatCode="0.000"/>
    <numFmt numFmtId="173" formatCode="0.0000;\(0.0000\);\-"/>
    <numFmt numFmtId="174" formatCode="0.0000%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color rgb="FFC0000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" fontId="4" fillId="0" borderId="1" xfId="0" applyNumberFormat="1" applyFont="1" applyBorder="1"/>
    <xf numFmtId="164" fontId="4" fillId="3" borderId="1" xfId="0" applyNumberFormat="1" applyFont="1" applyFill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0" fontId="4" fillId="0" borderId="0" xfId="0" applyFont="1"/>
    <xf numFmtId="167" fontId="4" fillId="0" borderId="0" xfId="0" applyNumberFormat="1" applyFont="1"/>
    <xf numFmtId="0" fontId="5" fillId="0" borderId="0" xfId="0" applyFont="1"/>
    <xf numFmtId="168" fontId="4" fillId="0" borderId="1" xfId="0" applyNumberFormat="1" applyFont="1" applyBorder="1"/>
    <xf numFmtId="169" fontId="6" fillId="0" borderId="1" xfId="0" applyNumberFormat="1" applyFont="1" applyBorder="1"/>
    <xf numFmtId="1" fontId="6" fillId="3" borderId="1" xfId="0" applyNumberFormat="1" applyFont="1" applyFill="1" applyBorder="1"/>
    <xf numFmtId="166" fontId="6" fillId="3" borderId="1" xfId="0" applyNumberFormat="1" applyFont="1" applyFill="1" applyBorder="1"/>
    <xf numFmtId="164" fontId="6" fillId="3" borderId="1" xfId="0" applyNumberFormat="1" applyFont="1" applyFill="1" applyBorder="1"/>
    <xf numFmtId="1" fontId="6" fillId="0" borderId="1" xfId="0" applyNumberFormat="1" applyFont="1" applyBorder="1"/>
    <xf numFmtId="170" fontId="6" fillId="0" borderId="1" xfId="0" applyNumberFormat="1" applyFont="1" applyBorder="1"/>
    <xf numFmtId="171" fontId="6" fillId="0" borderId="1" xfId="0" applyNumberFormat="1" applyFont="1" applyBorder="1"/>
    <xf numFmtId="2" fontId="6" fillId="0" borderId="1" xfId="0" applyNumberFormat="1" applyFont="1" applyBorder="1"/>
    <xf numFmtId="166" fontId="6" fillId="0" borderId="1" xfId="0" applyNumberFormat="1" applyFont="1" applyBorder="1"/>
    <xf numFmtId="0" fontId="6" fillId="0" borderId="1" xfId="0" applyFont="1" applyBorder="1"/>
    <xf numFmtId="164" fontId="6" fillId="0" borderId="1" xfId="0" applyNumberFormat="1" applyFont="1" applyBorder="1"/>
    <xf numFmtId="2" fontId="4" fillId="0" borderId="1" xfId="0" applyNumberFormat="1" applyFont="1" applyBorder="1"/>
    <xf numFmtId="167" fontId="4" fillId="0" borderId="1" xfId="0" applyNumberFormat="1" applyFont="1" applyBorder="1"/>
    <xf numFmtId="170" fontId="4" fillId="0" borderId="1" xfId="0" applyNumberFormat="1" applyFont="1" applyBorder="1"/>
    <xf numFmtId="0" fontId="3" fillId="2" borderId="1" xfId="0" applyFont="1" applyFill="1" applyBorder="1" applyAlignment="1">
      <alignment horizontal="center"/>
    </xf>
    <xf numFmtId="1" fontId="4" fillId="0" borderId="0" xfId="0" applyNumberFormat="1" applyFont="1"/>
    <xf numFmtId="164" fontId="4" fillId="0" borderId="0" xfId="0" applyNumberFormat="1" applyFont="1"/>
    <xf numFmtId="0" fontId="6" fillId="3" borderId="1" xfId="0" applyFont="1" applyFill="1" applyBorder="1"/>
    <xf numFmtId="164" fontId="5" fillId="0" borderId="1" xfId="0" applyNumberFormat="1" applyFont="1" applyBorder="1"/>
    <xf numFmtId="172" fontId="4" fillId="0" borderId="1" xfId="0" applyNumberFormat="1" applyFont="1" applyBorder="1"/>
    <xf numFmtId="173" fontId="4" fillId="0" borderId="1" xfId="0" applyNumberFormat="1" applyFont="1" applyBorder="1"/>
    <xf numFmtId="172" fontId="6" fillId="0" borderId="1" xfId="0" applyNumberFormat="1" applyFont="1" applyBorder="1"/>
    <xf numFmtId="174" fontId="4" fillId="0" borderId="1" xfId="0" applyNumberFormat="1" applyFont="1" applyBorder="1"/>
    <xf numFmtId="174" fontId="6" fillId="0" borderId="1" xfId="0" applyNumberFormat="1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Expected payments for service earned to date (Rs, undiscounted)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Summary!$B$19</c:f>
              <c:strCache>
                <c:ptCount val="1"/>
                <c:pt idx="0">
                  <c:v>Expected payments, undiscounted (Rs)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Summary!$A$20:$A$49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Summary!$B$20:$B$49</c:f>
              <c:numCache>
                <c:formatCode>#,##0;\(#,##0\);\-</c:formatCode>
                <c:ptCount val="30"/>
                <c:pt idx="0">
                  <c:v>3990406.005181496</c:v>
                </c:pt>
                <c:pt idx="1">
                  <c:v>3726064.6598298065</c:v>
                </c:pt>
                <c:pt idx="2">
                  <c:v>3403823.0636107116</c:v>
                </c:pt>
                <c:pt idx="3">
                  <c:v>3094926.4821645371</c:v>
                </c:pt>
                <c:pt idx="4">
                  <c:v>7603910.9415396517</c:v>
                </c:pt>
                <c:pt idx="5">
                  <c:v>3998581.8167867297</c:v>
                </c:pt>
                <c:pt idx="6">
                  <c:v>6388681.3145999173</c:v>
                </c:pt>
                <c:pt idx="7">
                  <c:v>4737826.8056308879</c:v>
                </c:pt>
                <c:pt idx="8">
                  <c:v>2915160.1303226245</c:v>
                </c:pt>
                <c:pt idx="9">
                  <c:v>4904407.6835322287</c:v>
                </c:pt>
                <c:pt idx="10">
                  <c:v>6515531.936027471</c:v>
                </c:pt>
                <c:pt idx="11">
                  <c:v>4847983.4110874981</c:v>
                </c:pt>
                <c:pt idx="12">
                  <c:v>4521481.2594296187</c:v>
                </c:pt>
                <c:pt idx="13">
                  <c:v>2265344.9944556709</c:v>
                </c:pt>
                <c:pt idx="14">
                  <c:v>4144994.5015083542</c:v>
                </c:pt>
                <c:pt idx="15">
                  <c:v>2675407.8934806483</c:v>
                </c:pt>
                <c:pt idx="16">
                  <c:v>2399239.8768072114</c:v>
                </c:pt>
                <c:pt idx="17">
                  <c:v>3115397.5371537912</c:v>
                </c:pt>
                <c:pt idx="18">
                  <c:v>1588467.0165435623</c:v>
                </c:pt>
                <c:pt idx="19">
                  <c:v>1964701.1113515634</c:v>
                </c:pt>
                <c:pt idx="20">
                  <c:v>3019789.8696497353</c:v>
                </c:pt>
                <c:pt idx="21">
                  <c:v>2493836.6341671171</c:v>
                </c:pt>
                <c:pt idx="22">
                  <c:v>1164175.6630787102</c:v>
                </c:pt>
                <c:pt idx="23">
                  <c:v>2423745.4905493776</c:v>
                </c:pt>
                <c:pt idx="24">
                  <c:v>855635.87804154819</c:v>
                </c:pt>
                <c:pt idx="25">
                  <c:v>988347.9345026454</c:v>
                </c:pt>
                <c:pt idx="26">
                  <c:v>619405.55063489382</c:v>
                </c:pt>
                <c:pt idx="27">
                  <c:v>793517.46478899731</c:v>
                </c:pt>
                <c:pt idx="28">
                  <c:v>277211.91693384777</c:v>
                </c:pt>
                <c:pt idx="29">
                  <c:v>566026.00552811788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A-49B9-BC12-0FB46CCD1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259258"/>
        <c:axId val="16511097"/>
      </c:barChart>
      <c:catAx>
        <c:axId val="482592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Years from valuation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511097"/>
        <c:crosses val="autoZero"/>
        <c:auto val="1"/>
        <c:lblAlgn val="ctr"/>
        <c:lblOffset val="100"/>
        <c:noMultiLvlLbl val="0"/>
      </c:catAx>
      <c:valAx>
        <c:axId val="165110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2592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160920</xdr:rowOff>
    </xdr:from>
    <xdr:to>
      <xdr:col>15</xdr:col>
      <xdr:colOff>364680</xdr:colOff>
      <xdr:row>17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zoomScaleNormal="100" workbookViewId="0"/>
  </sheetViews>
  <sheetFormatPr defaultColWidth="8.6640625" defaultRowHeight="14.4" x14ac:dyDescent="0.3"/>
  <cols>
    <col min="1" max="1" width="62" customWidth="1"/>
    <col min="2" max="2" width="26" customWidth="1"/>
    <col min="3" max="3" width="16" customWidth="1"/>
    <col min="4" max="4" width="2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3" t="s">
        <v>3</v>
      </c>
    </row>
    <row r="5" spans="1:2" x14ac:dyDescent="0.3">
      <c r="A5" s="4" t="s">
        <v>4</v>
      </c>
      <c r="B5" s="5">
        <f>COUNTA(Census!$A$6:$A$155)</f>
        <v>150</v>
      </c>
    </row>
    <row r="6" spans="1:2" x14ac:dyDescent="0.3">
      <c r="A6" s="4" t="s">
        <v>5</v>
      </c>
      <c r="B6" s="5">
        <f>SUM(Census!$K$6:$K$155)</f>
        <v>100</v>
      </c>
    </row>
    <row r="7" spans="1:2" x14ac:dyDescent="0.3">
      <c r="A7" s="4" t="s">
        <v>6</v>
      </c>
      <c r="B7" s="6">
        <f>SUM(Census!$L$6:$L$155)</f>
        <v>46785527.70573131</v>
      </c>
    </row>
    <row r="8" spans="1:2" x14ac:dyDescent="0.3">
      <c r="A8" s="4" t="s">
        <v>7</v>
      </c>
      <c r="B8" s="7">
        <f>SUM(Census!$M$6:$M$155)</f>
        <v>3723248.3790012724</v>
      </c>
    </row>
    <row r="9" spans="1:2" x14ac:dyDescent="0.3">
      <c r="A9" s="4" t="s">
        <v>8</v>
      </c>
      <c r="B9" s="7">
        <f>Assumptions!$B$8*B7</f>
        <v>3274986.9394011921</v>
      </c>
    </row>
    <row r="10" spans="1:2" x14ac:dyDescent="0.3">
      <c r="A10" s="4" t="s">
        <v>9</v>
      </c>
      <c r="B10" s="7">
        <f>B20</f>
        <v>3990406.005181496</v>
      </c>
    </row>
    <row r="11" spans="1:2" x14ac:dyDescent="0.3">
      <c r="A11" s="4" t="s">
        <v>10</v>
      </c>
      <c r="B11" s="8">
        <f>SUMPRODUCT(A20:A64,D20:D64)/SUM(D20:D64)</f>
        <v>8.6756229834513903</v>
      </c>
    </row>
    <row r="12" spans="1:2" x14ac:dyDescent="0.3">
      <c r="A12" s="4" t="s">
        <v>11</v>
      </c>
      <c r="B12" s="7">
        <f>SUMPRODUCT(Census!$J$6:$J$155,Census!$K$6:$K$155)</f>
        <v>78425826.923076898</v>
      </c>
    </row>
    <row r="13" spans="1:2" x14ac:dyDescent="0.3">
      <c r="A13" s="4" t="s">
        <v>12</v>
      </c>
      <c r="B13" s="9">
        <f>B7/B12</f>
        <v>0.5965576588898498</v>
      </c>
    </row>
    <row r="14" spans="1:2" x14ac:dyDescent="0.3">
      <c r="A14" s="4" t="s">
        <v>13</v>
      </c>
      <c r="B14" s="9">
        <f>SUMPRODUCT(LARGE(Census!$L$6:$L$155,{1,2,3,4,5,6,7,8,9,10}))/B7</f>
        <v>0.22813264773885608</v>
      </c>
    </row>
    <row r="16" spans="1:2" x14ac:dyDescent="0.3">
      <c r="A16" s="10" t="s">
        <v>14</v>
      </c>
      <c r="B16" s="11">
        <f>SUM(D20:D64)-B7</f>
        <v>0</v>
      </c>
    </row>
    <row r="18" spans="1:4" x14ac:dyDescent="0.3">
      <c r="A18" s="12" t="s">
        <v>15</v>
      </c>
    </row>
    <row r="19" spans="1:4" ht="31.5" customHeight="1" x14ac:dyDescent="0.3">
      <c r="A19" s="3" t="s">
        <v>16</v>
      </c>
      <c r="B19" s="3" t="s">
        <v>17</v>
      </c>
      <c r="C19" s="3" t="s">
        <v>18</v>
      </c>
      <c r="D19" s="3" t="s">
        <v>19</v>
      </c>
    </row>
    <row r="20" spans="1:4" x14ac:dyDescent="0.3">
      <c r="A20" s="4">
        <v>1</v>
      </c>
      <c r="B20" s="7">
        <f>SUMPRODUCT(INDEX(Benefit_Grid!$C$6:$AU$155,0,A20)*Census!$F$6:$F$155/(Census!$F$6:$F$155+A20))</f>
        <v>3990406.005181496</v>
      </c>
      <c r="C20" s="13">
        <f>(1/(1+Assumptions!$B$8))^A20</f>
        <v>0.93457943925233644</v>
      </c>
      <c r="D20" s="7">
        <f t="shared" ref="D20:D64" si="0">B20*C20</f>
        <v>3729351.4067116785</v>
      </c>
    </row>
    <row r="21" spans="1:4" x14ac:dyDescent="0.3">
      <c r="A21" s="4">
        <f t="shared" ref="A21:A64" si="1">A20+1</f>
        <v>2</v>
      </c>
      <c r="B21" s="7">
        <f>SUMPRODUCT(INDEX(Benefit_Grid!$C$6:$AU$155,0,A21)*Census!$F$6:$F$155/(Census!$F$6:$F$155+A21))</f>
        <v>3726064.6598298065</v>
      </c>
      <c r="C21" s="13">
        <f>(1/(1+Assumptions!$B$8))^A21</f>
        <v>0.87343872827321167</v>
      </c>
      <c r="D21" s="7">
        <f t="shared" si="0"/>
        <v>3254489.1779455035</v>
      </c>
    </row>
    <row r="22" spans="1:4" x14ac:dyDescent="0.3">
      <c r="A22" s="4">
        <f t="shared" si="1"/>
        <v>3</v>
      </c>
      <c r="B22" s="7">
        <f>SUMPRODUCT(INDEX(Benefit_Grid!$C$6:$AU$155,0,A22)*Census!$F$6:$F$155/(Census!$F$6:$F$155+A22))</f>
        <v>3403823.0636107116</v>
      </c>
      <c r="C22" s="13">
        <f>(1/(1+Assumptions!$B$8))^A22</f>
        <v>0.81629787689085198</v>
      </c>
      <c r="D22" s="7">
        <f t="shared" si="0"/>
        <v>2778533.5401375392</v>
      </c>
    </row>
    <row r="23" spans="1:4" x14ac:dyDescent="0.3">
      <c r="A23" s="4">
        <f t="shared" si="1"/>
        <v>4</v>
      </c>
      <c r="B23" s="7">
        <f>SUMPRODUCT(INDEX(Benefit_Grid!$C$6:$AU$155,0,A23)*Census!$F$6:$F$155/(Census!$F$6:$F$155+A23))</f>
        <v>3094926.4821645371</v>
      </c>
      <c r="C23" s="13">
        <f>(1/(1+Assumptions!$B$8))^A23</f>
        <v>0.76289521204752531</v>
      </c>
      <c r="D23" s="7">
        <f t="shared" si="0"/>
        <v>2361104.5948824161</v>
      </c>
    </row>
    <row r="24" spans="1:4" x14ac:dyDescent="0.3">
      <c r="A24" s="4">
        <f t="shared" si="1"/>
        <v>5</v>
      </c>
      <c r="B24" s="7">
        <f>SUMPRODUCT(INDEX(Benefit_Grid!$C$6:$AU$155,0,A24)*Census!$F$6:$F$155/(Census!$F$6:$F$155+A24))</f>
        <v>7603910.9415396517</v>
      </c>
      <c r="C24" s="13">
        <f>(1/(1+Assumptions!$B$8))^A24</f>
        <v>0.71298617948366849</v>
      </c>
      <c r="D24" s="7">
        <f t="shared" si="0"/>
        <v>5421483.4113424206</v>
      </c>
    </row>
    <row r="25" spans="1:4" x14ac:dyDescent="0.3">
      <c r="A25" s="4">
        <f t="shared" si="1"/>
        <v>6</v>
      </c>
      <c r="B25" s="7">
        <f>SUMPRODUCT(INDEX(Benefit_Grid!$C$6:$AU$155,0,A25)*Census!$F$6:$F$155/(Census!$F$6:$F$155+A25))</f>
        <v>3998581.8167867297</v>
      </c>
      <c r="C25" s="13">
        <f>(1/(1+Assumptions!$B$8))^A25</f>
        <v>0.66634222381651265</v>
      </c>
      <c r="D25" s="7">
        <f t="shared" si="0"/>
        <v>2664423.899909941</v>
      </c>
    </row>
    <row r="26" spans="1:4" x14ac:dyDescent="0.3">
      <c r="A26" s="4">
        <f t="shared" si="1"/>
        <v>7</v>
      </c>
      <c r="B26" s="7">
        <f>SUMPRODUCT(INDEX(Benefit_Grid!$C$6:$AU$155,0,A26)*Census!$F$6:$F$155/(Census!$F$6:$F$155+A26))</f>
        <v>6388681.3145999173</v>
      </c>
      <c r="C26" s="13">
        <f>(1/(1+Assumptions!$B$8))^A26</f>
        <v>0.6227497418845912</v>
      </c>
      <c r="D26" s="7">
        <f t="shared" si="0"/>
        <v>3978549.6396500091</v>
      </c>
    </row>
    <row r="27" spans="1:4" x14ac:dyDescent="0.3">
      <c r="A27" s="4">
        <f t="shared" si="1"/>
        <v>8</v>
      </c>
      <c r="B27" s="7">
        <f>SUMPRODUCT(INDEX(Benefit_Grid!$C$6:$AU$155,0,A27)*Census!$F$6:$F$155/(Census!$F$6:$F$155+A27))</f>
        <v>4737826.8056308879</v>
      </c>
      <c r="C27" s="13">
        <f>(1/(1+Assumptions!$B$8))^A27</f>
        <v>0.58200910456503863</v>
      </c>
      <c r="D27" s="7">
        <f t="shared" si="0"/>
        <v>2757458.3367294702</v>
      </c>
    </row>
    <row r="28" spans="1:4" x14ac:dyDescent="0.3">
      <c r="A28" s="4">
        <f t="shared" si="1"/>
        <v>9</v>
      </c>
      <c r="B28" s="7">
        <f>SUMPRODUCT(INDEX(Benefit_Grid!$C$6:$AU$155,0,A28)*Census!$F$6:$F$155/(Census!$F$6:$F$155+A28))</f>
        <v>2915160.1303226245</v>
      </c>
      <c r="C28" s="13">
        <f>(1/(1+Assumptions!$B$8))^A28</f>
        <v>0.54393374258414828</v>
      </c>
      <c r="D28" s="7">
        <f t="shared" si="0"/>
        <v>1585653.9599184785</v>
      </c>
    </row>
    <row r="29" spans="1:4" x14ac:dyDescent="0.3">
      <c r="A29" s="4">
        <f t="shared" si="1"/>
        <v>10</v>
      </c>
      <c r="B29" s="7">
        <f>SUMPRODUCT(INDEX(Benefit_Grid!$C$6:$AU$155,0,A29)*Census!$F$6:$F$155/(Census!$F$6:$F$155+A29))</f>
        <v>4904407.6835322287</v>
      </c>
      <c r="C29" s="13">
        <f>(1/(1+Assumptions!$B$8))^A29</f>
        <v>0.50834929213471802</v>
      </c>
      <c r="D29" s="7">
        <f t="shared" si="0"/>
        <v>2493152.1742636808</v>
      </c>
    </row>
    <row r="30" spans="1:4" x14ac:dyDescent="0.3">
      <c r="A30" s="4">
        <f t="shared" si="1"/>
        <v>11</v>
      </c>
      <c r="B30" s="7">
        <f>SUMPRODUCT(INDEX(Benefit_Grid!$C$6:$AU$155,0,A30)*Census!$F$6:$F$155/(Census!$F$6:$F$155+A30))</f>
        <v>6515531.936027471</v>
      </c>
      <c r="C30" s="13">
        <f>(1/(1+Assumptions!$B$8))^A30</f>
        <v>0.47509279638758689</v>
      </c>
      <c r="D30" s="7">
        <f t="shared" si="0"/>
        <v>3095482.2874399191</v>
      </c>
    </row>
    <row r="31" spans="1:4" x14ac:dyDescent="0.3">
      <c r="A31" s="4">
        <f t="shared" si="1"/>
        <v>12</v>
      </c>
      <c r="B31" s="7">
        <f>SUMPRODUCT(INDEX(Benefit_Grid!$C$6:$AU$155,0,A31)*Census!$F$6:$F$155/(Census!$F$6:$F$155+A31))</f>
        <v>4847983.4110874981</v>
      </c>
      <c r="C31" s="13">
        <f>(1/(1+Assumptions!$B$8))^A31</f>
        <v>0.4440119592407355</v>
      </c>
      <c r="D31" s="7">
        <f t="shared" si="0"/>
        <v>2152562.6127235442</v>
      </c>
    </row>
    <row r="32" spans="1:4" x14ac:dyDescent="0.3">
      <c r="A32" s="4">
        <f t="shared" si="1"/>
        <v>13</v>
      </c>
      <c r="B32" s="7">
        <f>SUMPRODUCT(INDEX(Benefit_Grid!$C$6:$AU$155,0,A32)*Census!$F$6:$F$155/(Census!$F$6:$F$155+A32))</f>
        <v>4521481.2594296187</v>
      </c>
      <c r="C32" s="13">
        <f>(1/(1+Assumptions!$B$8))^A32</f>
        <v>0.41496444788853781</v>
      </c>
      <c r="D32" s="7">
        <f t="shared" si="0"/>
        <v>1876253.9744575822</v>
      </c>
    </row>
    <row r="33" spans="1:4" x14ac:dyDescent="0.3">
      <c r="A33" s="4">
        <f t="shared" si="1"/>
        <v>14</v>
      </c>
      <c r="B33" s="7">
        <f>SUMPRODUCT(INDEX(Benefit_Grid!$C$6:$AU$155,0,A33)*Census!$F$6:$F$155/(Census!$F$6:$F$155+A33))</f>
        <v>2265344.9944556709</v>
      </c>
      <c r="C33" s="13">
        <f>(1/(1+Assumptions!$B$8))^A33</f>
        <v>0.38781724101732507</v>
      </c>
      <c r="D33" s="7">
        <f t="shared" si="0"/>
        <v>878539.8457022059</v>
      </c>
    </row>
    <row r="34" spans="1:4" x14ac:dyDescent="0.3">
      <c r="A34" s="4">
        <f t="shared" si="1"/>
        <v>15</v>
      </c>
      <c r="B34" s="7">
        <f>SUMPRODUCT(INDEX(Benefit_Grid!$C$6:$AU$155,0,A34)*Census!$F$6:$F$155/(Census!$F$6:$F$155+A34))</f>
        <v>4144994.5015083542</v>
      </c>
      <c r="C34" s="13">
        <f>(1/(1+Assumptions!$B$8))^A34</f>
        <v>0.36244601964235984</v>
      </c>
      <c r="D34" s="7">
        <f t="shared" si="0"/>
        <v>1502336.7585111705</v>
      </c>
    </row>
    <row r="35" spans="1:4" x14ac:dyDescent="0.3">
      <c r="A35" s="4">
        <f t="shared" si="1"/>
        <v>16</v>
      </c>
      <c r="B35" s="7">
        <f>SUMPRODUCT(INDEX(Benefit_Grid!$C$6:$AU$155,0,A35)*Census!$F$6:$F$155/(Census!$F$6:$F$155+A35))</f>
        <v>2675407.8934806483</v>
      </c>
      <c r="C35" s="13">
        <f>(1/(1+Assumptions!$B$8))^A35</f>
        <v>0.33873459779659809</v>
      </c>
      <c r="D35" s="7">
        <f t="shared" si="0"/>
        <v>906253.21674001112</v>
      </c>
    </row>
    <row r="36" spans="1:4" x14ac:dyDescent="0.3">
      <c r="A36" s="4">
        <f t="shared" si="1"/>
        <v>17</v>
      </c>
      <c r="B36" s="7">
        <f>SUMPRODUCT(INDEX(Benefit_Grid!$C$6:$AU$155,0,A36)*Census!$F$6:$F$155/(Census!$F$6:$F$155+A36))</f>
        <v>2399239.8768072114</v>
      </c>
      <c r="C36" s="13">
        <f>(1/(1+Assumptions!$B$8))^A36</f>
        <v>0.31657439046411034</v>
      </c>
      <c r="D36" s="7">
        <f t="shared" si="0"/>
        <v>759537.9015774302</v>
      </c>
    </row>
    <row r="37" spans="1:4" x14ac:dyDescent="0.3">
      <c r="A37" s="4">
        <f t="shared" si="1"/>
        <v>18</v>
      </c>
      <c r="B37" s="7">
        <f>SUMPRODUCT(INDEX(Benefit_Grid!$C$6:$AU$155,0,A37)*Census!$F$6:$F$155/(Census!$F$6:$F$155+A37))</f>
        <v>3115397.5371537912</v>
      </c>
      <c r="C37" s="13">
        <f>(1/(1+Assumptions!$B$8))^A37</f>
        <v>0.29586391632159847</v>
      </c>
      <c r="D37" s="7">
        <f t="shared" si="0"/>
        <v>921733.71624098322</v>
      </c>
    </row>
    <row r="38" spans="1:4" x14ac:dyDescent="0.3">
      <c r="A38" s="4">
        <f t="shared" si="1"/>
        <v>19</v>
      </c>
      <c r="B38" s="7">
        <f>SUMPRODUCT(INDEX(Benefit_Grid!$C$6:$AU$155,0,A38)*Census!$F$6:$F$155/(Census!$F$6:$F$155+A38))</f>
        <v>1588467.0165435623</v>
      </c>
      <c r="C38" s="13">
        <f>(1/(1+Assumptions!$B$8))^A38</f>
        <v>0.27650833301083971</v>
      </c>
      <c r="D38" s="7">
        <f t="shared" si="0"/>
        <v>439224.36678716238</v>
      </c>
    </row>
    <row r="39" spans="1:4" x14ac:dyDescent="0.3">
      <c r="A39" s="4">
        <f t="shared" si="1"/>
        <v>20</v>
      </c>
      <c r="B39" s="7">
        <f>SUMPRODUCT(INDEX(Benefit_Grid!$C$6:$AU$155,0,A39)*Census!$F$6:$F$155/(Census!$F$6:$F$155+A39))</f>
        <v>1964701.1113515634</v>
      </c>
      <c r="C39" s="13">
        <f>(1/(1+Assumptions!$B$8))^A39</f>
        <v>0.25841900281386893</v>
      </c>
      <c r="D39" s="7">
        <f t="shared" si="0"/>
        <v>507716.10202277108</v>
      </c>
    </row>
    <row r="40" spans="1:4" x14ac:dyDescent="0.3">
      <c r="A40" s="4">
        <f t="shared" si="1"/>
        <v>21</v>
      </c>
      <c r="B40" s="7">
        <f>SUMPRODUCT(INDEX(Benefit_Grid!$C$6:$AU$155,0,A40)*Census!$F$6:$F$155/(Census!$F$6:$F$155+A40))</f>
        <v>3019789.8696497353</v>
      </c>
      <c r="C40" s="13">
        <f>(1/(1+Assumptions!$B$8))^A40</f>
        <v>0.24151308674193356</v>
      </c>
      <c r="D40" s="7">
        <f t="shared" si="0"/>
        <v>729318.77273112873</v>
      </c>
    </row>
    <row r="41" spans="1:4" x14ac:dyDescent="0.3">
      <c r="A41" s="4">
        <f t="shared" si="1"/>
        <v>22</v>
      </c>
      <c r="B41" s="7">
        <f>SUMPRODUCT(INDEX(Benefit_Grid!$C$6:$AU$155,0,A41)*Census!$F$6:$F$155/(Census!$F$6:$F$155+A41))</f>
        <v>2493836.6341671171</v>
      </c>
      <c r="C41" s="13">
        <f>(1/(1+Assumptions!$B$8))^A41</f>
        <v>0.22571316517937715</v>
      </c>
      <c r="D41" s="7">
        <f t="shared" si="0"/>
        <v>562891.76013814448</v>
      </c>
    </row>
    <row r="42" spans="1:4" x14ac:dyDescent="0.3">
      <c r="A42" s="4">
        <f t="shared" si="1"/>
        <v>23</v>
      </c>
      <c r="B42" s="7">
        <f>SUMPRODUCT(INDEX(Benefit_Grid!$C$6:$AU$155,0,A42)*Census!$F$6:$F$155/(Census!$F$6:$F$155+A42))</f>
        <v>1164175.6630787102</v>
      </c>
      <c r="C42" s="13">
        <f>(1/(1+Assumptions!$B$8))^A42</f>
        <v>0.21094688334521228</v>
      </c>
      <c r="D42" s="7">
        <f t="shared" si="0"/>
        <v>245579.22779279982</v>
      </c>
    </row>
    <row r="43" spans="1:4" x14ac:dyDescent="0.3">
      <c r="A43" s="4">
        <f t="shared" si="1"/>
        <v>24</v>
      </c>
      <c r="B43" s="7">
        <f>SUMPRODUCT(INDEX(Benefit_Grid!$C$6:$AU$155,0,A43)*Census!$F$6:$F$155/(Census!$F$6:$F$155+A43))</f>
        <v>2423745.4905493776</v>
      </c>
      <c r="C43" s="13">
        <f>(1/(1+Assumptions!$B$8))^A43</f>
        <v>0.19714661994879656</v>
      </c>
      <c r="D43" s="7">
        <f t="shared" si="0"/>
        <v>477833.23107794765</v>
      </c>
    </row>
    <row r="44" spans="1:4" x14ac:dyDescent="0.3">
      <c r="A44" s="4">
        <f t="shared" si="1"/>
        <v>25</v>
      </c>
      <c r="B44" s="7">
        <f>SUMPRODUCT(INDEX(Benefit_Grid!$C$6:$AU$155,0,A44)*Census!$F$6:$F$155/(Census!$F$6:$F$155+A44))</f>
        <v>855635.87804154819</v>
      </c>
      <c r="C44" s="13">
        <f>(1/(1+Assumptions!$B$8))^A44</f>
        <v>0.18424917752223979</v>
      </c>
      <c r="D44" s="7">
        <f t="shared" si="0"/>
        <v>157650.20678767472</v>
      </c>
    </row>
    <row r="45" spans="1:4" x14ac:dyDescent="0.3">
      <c r="A45" s="4">
        <f t="shared" si="1"/>
        <v>26</v>
      </c>
      <c r="B45" s="7">
        <f>SUMPRODUCT(INDEX(Benefit_Grid!$C$6:$AU$155,0,A45)*Census!$F$6:$F$155/(Census!$F$6:$F$155+A45))</f>
        <v>988347.9345026454</v>
      </c>
      <c r="C45" s="13">
        <f>(1/(1+Assumptions!$B$8))^A45</f>
        <v>0.17219549301143905</v>
      </c>
      <c r="D45" s="7">
        <f t="shared" si="0"/>
        <v>170189.0598485205</v>
      </c>
    </row>
    <row r="46" spans="1:4" x14ac:dyDescent="0.3">
      <c r="A46" s="4">
        <f t="shared" si="1"/>
        <v>27</v>
      </c>
      <c r="B46" s="7">
        <f>SUMPRODUCT(INDEX(Benefit_Grid!$C$6:$AU$155,0,A46)*Census!$F$6:$F$155/(Census!$F$6:$F$155+A46))</f>
        <v>619405.55063489382</v>
      </c>
      <c r="C46" s="13">
        <f>(1/(1+Assumptions!$B$8))^A46</f>
        <v>0.16093036730041033</v>
      </c>
      <c r="D46" s="7">
        <f t="shared" si="0"/>
        <v>99681.162771586372</v>
      </c>
    </row>
    <row r="47" spans="1:4" x14ac:dyDescent="0.3">
      <c r="A47" s="4">
        <f t="shared" si="1"/>
        <v>28</v>
      </c>
      <c r="B47" s="7">
        <f>SUMPRODUCT(INDEX(Benefit_Grid!$C$6:$AU$155,0,A47)*Census!$F$6:$F$155/(Census!$F$6:$F$155+A47))</f>
        <v>793517.46478899731</v>
      </c>
      <c r="C47" s="13">
        <f>(1/(1+Assumptions!$B$8))^A47</f>
        <v>0.15040221243029003</v>
      </c>
      <c r="D47" s="7">
        <f t="shared" si="0"/>
        <v>119346.78230633997</v>
      </c>
    </row>
    <row r="48" spans="1:4" x14ac:dyDescent="0.3">
      <c r="A48" s="4">
        <f t="shared" si="1"/>
        <v>29</v>
      </c>
      <c r="B48" s="7">
        <f>SUMPRODUCT(INDEX(Benefit_Grid!$C$6:$AU$155,0,A48)*Census!$F$6:$F$155/(Census!$F$6:$F$155+A48))</f>
        <v>277211.91693384777</v>
      </c>
      <c r="C48" s="13">
        <f>(1/(1+Assumptions!$B$8))^A48</f>
        <v>0.14056281535541124</v>
      </c>
      <c r="D48" s="7">
        <f t="shared" si="0"/>
        <v>38965.68749429204</v>
      </c>
    </row>
    <row r="49" spans="1:4" x14ac:dyDescent="0.3">
      <c r="A49" s="4">
        <f t="shared" si="1"/>
        <v>30</v>
      </c>
      <c r="B49" s="7">
        <f>SUMPRODUCT(INDEX(Benefit_Grid!$C$6:$AU$155,0,A49)*Census!$F$6:$F$155/(Census!$F$6:$F$155+A49))</f>
        <v>566026.00552811788</v>
      </c>
      <c r="C49" s="13">
        <f>(1/(1+Assumptions!$B$8))^A49</f>
        <v>0.13136711715458996</v>
      </c>
      <c r="D49" s="7">
        <f t="shared" si="0"/>
        <v>74357.20458075685</v>
      </c>
    </row>
    <row r="50" spans="1:4" x14ac:dyDescent="0.3">
      <c r="A50" s="4">
        <f t="shared" si="1"/>
        <v>31</v>
      </c>
      <c r="B50" s="7">
        <f>SUMPRODUCT(INDEX(Benefit_Grid!$C$6:$AU$155,0,A50)*Census!$F$6:$F$155/(Census!$F$6:$F$155+A50))</f>
        <v>132726.46013071411</v>
      </c>
      <c r="C50" s="13">
        <f>(1/(1+Assumptions!$B$8))^A50</f>
        <v>0.12277300668653265</v>
      </c>
      <c r="D50" s="7">
        <f t="shared" si="0"/>
        <v>16295.226577107973</v>
      </c>
    </row>
    <row r="51" spans="1:4" x14ac:dyDescent="0.3">
      <c r="A51" s="4">
        <f t="shared" si="1"/>
        <v>32</v>
      </c>
      <c r="B51" s="7">
        <f>SUMPRODUCT(INDEX(Benefit_Grid!$C$6:$AU$155,0,A51)*Census!$F$6:$F$155/(Census!$F$6:$F$155+A51))</f>
        <v>120800.75445195695</v>
      </c>
      <c r="C51" s="13">
        <f>(1/(1+Assumptions!$B$8))^A51</f>
        <v>0.11474112774442308</v>
      </c>
      <c r="D51" s="7">
        <f t="shared" si="0"/>
        <v>13860.814798194677</v>
      </c>
    </row>
    <row r="52" spans="1:4" x14ac:dyDescent="0.3">
      <c r="A52" s="4">
        <f t="shared" si="1"/>
        <v>33</v>
      </c>
      <c r="B52" s="7">
        <f>SUMPRODUCT(INDEX(Benefit_Grid!$C$6:$AU$155,0,A52)*Census!$F$6:$F$155/(Census!$F$6:$F$155+A52))</f>
        <v>73054.903696429086</v>
      </c>
      <c r="C52" s="13">
        <f>(1/(1+Assumptions!$B$8))^A52</f>
        <v>0.10723469882656363</v>
      </c>
      <c r="D52" s="7">
        <f t="shared" si="0"/>
        <v>7834.0205956901827</v>
      </c>
    </row>
    <row r="53" spans="1:4" x14ac:dyDescent="0.3">
      <c r="A53" s="4">
        <f t="shared" si="1"/>
        <v>34</v>
      </c>
      <c r="B53" s="7">
        <f>SUMPRODUCT(INDEX(Benefit_Grid!$C$6:$AU$155,0,A53)*Census!$F$6:$F$155/(Census!$F$6:$F$155+A53))</f>
        <v>33650.97947986114</v>
      </c>
      <c r="C53" s="13">
        <f>(1/(1+Assumptions!$B$8))^A53</f>
        <v>0.10021934469772302</v>
      </c>
      <c r="D53" s="7">
        <f t="shared" si="0"/>
        <v>3372.4791119082079</v>
      </c>
    </row>
    <row r="54" spans="1:4" x14ac:dyDescent="0.3">
      <c r="A54" s="4">
        <f t="shared" si="1"/>
        <v>35</v>
      </c>
      <c r="B54" s="7">
        <f>SUMPRODUCT(INDEX(Benefit_Grid!$C$6:$AU$155,0,A54)*Census!$F$6:$F$155/(Census!$F$6:$F$155+A54))</f>
        <v>10454.039473362851</v>
      </c>
      <c r="C54" s="13">
        <f>(1/(1+Assumptions!$B$8))^A54</f>
        <v>9.3662938969834589E-2</v>
      </c>
      <c r="D54" s="7">
        <f t="shared" si="0"/>
        <v>979.15606118182643</v>
      </c>
    </row>
    <row r="55" spans="1:4" x14ac:dyDescent="0.3">
      <c r="A55" s="4">
        <f t="shared" si="1"/>
        <v>36</v>
      </c>
      <c r="B55" s="7">
        <f>SUMPRODUCT(INDEX(Benefit_Grid!$C$6:$AU$155,0,A55)*Census!$F$6:$F$155/(Census!$F$6:$F$155+A55))</f>
        <v>35697.894764771387</v>
      </c>
      <c r="C55" s="13">
        <f>(1/(1+Assumptions!$B$8))^A55</f>
        <v>8.7535456981153836E-2</v>
      </c>
      <c r="D55" s="7">
        <f t="shared" si="0"/>
        <v>3124.8315314994024</v>
      </c>
    </row>
    <row r="56" spans="1:4" x14ac:dyDescent="0.3">
      <c r="A56" s="4">
        <f t="shared" si="1"/>
        <v>37</v>
      </c>
      <c r="B56" s="7">
        <f>SUMPRODUCT(INDEX(Benefit_Grid!$C$6:$AU$155,0,A56)*Census!$F$6:$F$155/(Census!$F$6:$F$155+A56))</f>
        <v>4079.1297295025092</v>
      </c>
      <c r="C56" s="13">
        <f>(1/(1+Assumptions!$B$8))^A56</f>
        <v>8.1808838300143766E-2</v>
      </c>
      <c r="D56" s="7">
        <f t="shared" si="0"/>
        <v>333.70886444617997</v>
      </c>
    </row>
    <row r="57" spans="1:4" x14ac:dyDescent="0.3">
      <c r="A57" s="4">
        <f t="shared" si="1"/>
        <v>38</v>
      </c>
      <c r="B57" s="7">
        <f>SUMPRODUCT(INDEX(Benefit_Grid!$C$6:$AU$155,0,A57)*Census!$F$6:$F$155/(Census!$F$6:$F$155+A57))</f>
        <v>960.65898963096822</v>
      </c>
      <c r="C57" s="13">
        <f>(1/(1+Assumptions!$B$8))^A57</f>
        <v>7.6456858224433433E-2</v>
      </c>
      <c r="D57" s="7">
        <f t="shared" si="0"/>
        <v>73.448968172242402</v>
      </c>
    </row>
    <row r="58" spans="1:4" x14ac:dyDescent="0.3">
      <c r="A58" s="4">
        <f t="shared" si="1"/>
        <v>39</v>
      </c>
      <c r="B58" s="7">
        <f>SUMPRODUCT(INDEX(Benefit_Grid!$C$6:$AU$155,0,A58)*Census!$F$6:$F$155/(Census!$F$6:$F$155+A58))</f>
        <v>0</v>
      </c>
      <c r="C58" s="13">
        <f>(1/(1+Assumptions!$B$8))^A58</f>
        <v>7.1455007686386379E-2</v>
      </c>
      <c r="D58" s="7">
        <f t="shared" si="0"/>
        <v>0</v>
      </c>
    </row>
    <row r="59" spans="1:4" x14ac:dyDescent="0.3">
      <c r="A59" s="4">
        <f t="shared" si="1"/>
        <v>40</v>
      </c>
      <c r="B59" s="7">
        <f>SUMPRODUCT(INDEX(Benefit_Grid!$C$6:$AU$155,0,A59)*Census!$F$6:$F$155/(Census!$F$6:$F$155+A59))</f>
        <v>0</v>
      </c>
      <c r="C59" s="13">
        <f>(1/(1+Assumptions!$B$8))^A59</f>
        <v>6.6780381015314388E-2</v>
      </c>
      <c r="D59" s="7">
        <f t="shared" si="0"/>
        <v>0</v>
      </c>
    </row>
    <row r="60" spans="1:4" x14ac:dyDescent="0.3">
      <c r="A60" s="4">
        <f t="shared" si="1"/>
        <v>41</v>
      </c>
      <c r="B60" s="7">
        <f>SUMPRODUCT(INDEX(Benefit_Grid!$C$6:$AU$155,0,A60)*Census!$F$6:$F$155/(Census!$F$6:$F$155+A60))</f>
        <v>0</v>
      </c>
      <c r="C60" s="13">
        <f>(1/(1+Assumptions!$B$8))^A60</f>
        <v>6.2411571042349893E-2</v>
      </c>
      <c r="D60" s="7">
        <f t="shared" si="0"/>
        <v>0</v>
      </c>
    </row>
    <row r="61" spans="1:4" x14ac:dyDescent="0.3">
      <c r="A61" s="4">
        <f t="shared" si="1"/>
        <v>42</v>
      </c>
      <c r="B61" s="7">
        <f>SUMPRODUCT(INDEX(Benefit_Grid!$C$6:$AU$155,0,A61)*Census!$F$6:$F$155/(Census!$F$6:$F$155+A61))</f>
        <v>0</v>
      </c>
      <c r="C61" s="13">
        <f>(1/(1+Assumptions!$B$8))^A61</f>
        <v>5.8328571067616727E-2</v>
      </c>
      <c r="D61" s="7">
        <f t="shared" si="0"/>
        <v>0</v>
      </c>
    </row>
    <row r="62" spans="1:4" x14ac:dyDescent="0.3">
      <c r="A62" s="4">
        <f t="shared" si="1"/>
        <v>43</v>
      </c>
      <c r="B62" s="7">
        <f>SUMPRODUCT(INDEX(Benefit_Grid!$C$6:$AU$155,0,A62)*Census!$F$6:$F$155/(Census!$F$6:$F$155+A62))</f>
        <v>0</v>
      </c>
      <c r="C62" s="13">
        <f>(1/(1+Assumptions!$B$8))^A62</f>
        <v>5.4512683240763291E-2</v>
      </c>
      <c r="D62" s="7">
        <f t="shared" si="0"/>
        <v>0</v>
      </c>
    </row>
    <row r="63" spans="1:4" x14ac:dyDescent="0.3">
      <c r="A63" s="4">
        <f t="shared" si="1"/>
        <v>44</v>
      </c>
      <c r="B63" s="7">
        <f>SUMPRODUCT(INDEX(Benefit_Grid!$C$6:$AU$155,0,A63)*Census!$F$6:$F$155/(Census!$F$6:$F$155+A63))</f>
        <v>0</v>
      </c>
      <c r="C63" s="13">
        <f>(1/(1+Assumptions!$B$8))^A63</f>
        <v>5.0946432935292801E-2</v>
      </c>
      <c r="D63" s="7">
        <f t="shared" si="0"/>
        <v>0</v>
      </c>
    </row>
    <row r="64" spans="1:4" x14ac:dyDescent="0.3">
      <c r="A64" s="4">
        <f t="shared" si="1"/>
        <v>45</v>
      </c>
      <c r="B64" s="7">
        <f>SUMPRODUCT(INDEX(Benefit_Grid!$C$6:$AU$155,0,A64)*Census!$F$6:$F$155/(Census!$F$6:$F$155+A64))</f>
        <v>0</v>
      </c>
      <c r="C64" s="13">
        <f>(1/(1+Assumptions!$B$8))^A64</f>
        <v>4.761348872457271E-2</v>
      </c>
      <c r="D64" s="7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zoomScaleNormal="100" workbookViewId="0">
      <selection activeCell="F12" sqref="F12"/>
    </sheetView>
  </sheetViews>
  <sheetFormatPr defaultColWidth="8.6640625" defaultRowHeight="14.4" x14ac:dyDescent="0.3"/>
  <cols>
    <col min="1" max="1" width="46" customWidth="1"/>
    <col min="2" max="2" width="18" customWidth="1"/>
    <col min="3" max="3" width="100" customWidth="1"/>
  </cols>
  <sheetData>
    <row r="1" spans="1:3" ht="17.399999999999999" x14ac:dyDescent="0.3">
      <c r="A1" s="38" t="s">
        <v>20</v>
      </c>
      <c r="B1" s="38"/>
      <c r="C1" s="38"/>
    </row>
    <row r="2" spans="1:3" x14ac:dyDescent="0.3">
      <c r="A2" s="39" t="s">
        <v>21</v>
      </c>
      <c r="B2" s="39"/>
      <c r="C2" s="39"/>
    </row>
    <row r="3" spans="1:3" x14ac:dyDescent="0.3">
      <c r="A3" s="40" t="s">
        <v>22</v>
      </c>
      <c r="B3" s="40"/>
      <c r="C3" s="40"/>
    </row>
    <row r="5" spans="1:3" x14ac:dyDescent="0.3">
      <c r="A5" s="3" t="s">
        <v>23</v>
      </c>
      <c r="B5" s="3" t="s">
        <v>3</v>
      </c>
      <c r="C5" s="3" t="s">
        <v>24</v>
      </c>
    </row>
    <row r="6" spans="1:3" x14ac:dyDescent="0.3">
      <c r="A6" s="4" t="s">
        <v>25</v>
      </c>
      <c r="B6" s="14">
        <v>46112</v>
      </c>
      <c r="C6" s="4" t="s">
        <v>26</v>
      </c>
    </row>
    <row r="7" spans="1:3" x14ac:dyDescent="0.3">
      <c r="A7" s="4" t="s">
        <v>27</v>
      </c>
      <c r="B7" s="15">
        <v>60</v>
      </c>
      <c r="C7" s="4" t="s">
        <v>28</v>
      </c>
    </row>
    <row r="8" spans="1:3" x14ac:dyDescent="0.3">
      <c r="A8" s="4" t="s">
        <v>29</v>
      </c>
      <c r="B8" s="16">
        <v>7.0000000000000007E-2</v>
      </c>
      <c r="C8" s="4" t="s">
        <v>30</v>
      </c>
    </row>
    <row r="9" spans="1:3" x14ac:dyDescent="0.3">
      <c r="A9" s="4" t="s">
        <v>31</v>
      </c>
      <c r="B9" s="16">
        <v>0.08</v>
      </c>
      <c r="C9" s="4" t="s">
        <v>32</v>
      </c>
    </row>
    <row r="10" spans="1:3" x14ac:dyDescent="0.3">
      <c r="A10" s="4" t="s">
        <v>33</v>
      </c>
      <c r="B10" s="17">
        <v>2000000</v>
      </c>
      <c r="C10" s="4" t="s">
        <v>34</v>
      </c>
    </row>
    <row r="11" spans="1:3" x14ac:dyDescent="0.3">
      <c r="A11" s="4" t="s">
        <v>35</v>
      </c>
      <c r="B11" s="18">
        <v>5</v>
      </c>
      <c r="C11" s="4" t="s">
        <v>36</v>
      </c>
    </row>
    <row r="12" spans="1:3" x14ac:dyDescent="0.3">
      <c r="A12" s="4" t="s">
        <v>37</v>
      </c>
      <c r="B12" s="19">
        <v>4.0000000000000002E-4</v>
      </c>
      <c r="C12" s="4" t="s">
        <v>38</v>
      </c>
    </row>
    <row r="13" spans="1:3" x14ac:dyDescent="0.3">
      <c r="A13" s="4" t="s">
        <v>39</v>
      </c>
      <c r="B13" s="20">
        <v>2.0000000000000002E-5</v>
      </c>
      <c r="C13" s="4" t="s">
        <v>40</v>
      </c>
    </row>
    <row r="14" spans="1:3" x14ac:dyDescent="0.3">
      <c r="A14" s="4" t="s">
        <v>41</v>
      </c>
      <c r="B14" s="21">
        <v>1.1000000000000001</v>
      </c>
      <c r="C14" s="4" t="s">
        <v>40</v>
      </c>
    </row>
    <row r="17" spans="1:3" x14ac:dyDescent="0.3">
      <c r="A17" s="12" t="s">
        <v>42</v>
      </c>
    </row>
    <row r="18" spans="1:3" x14ac:dyDescent="0.3">
      <c r="A18" s="3" t="s">
        <v>43</v>
      </c>
      <c r="B18" s="3" t="s">
        <v>44</v>
      </c>
      <c r="C18" s="3" t="s">
        <v>45</v>
      </c>
    </row>
    <row r="19" spans="1:3" x14ac:dyDescent="0.3">
      <c r="A19" s="18">
        <v>18</v>
      </c>
      <c r="B19" s="18">
        <v>25</v>
      </c>
      <c r="C19" s="22">
        <v>0.2</v>
      </c>
    </row>
    <row r="20" spans="1:3" x14ac:dyDescent="0.3">
      <c r="A20" s="18">
        <v>25</v>
      </c>
      <c r="B20" s="18">
        <v>30</v>
      </c>
      <c r="C20" s="22">
        <v>0.15</v>
      </c>
    </row>
    <row r="21" spans="1:3" x14ac:dyDescent="0.3">
      <c r="A21" s="18">
        <v>30</v>
      </c>
      <c r="B21" s="18">
        <v>35</v>
      </c>
      <c r="C21" s="22">
        <v>0.11</v>
      </c>
    </row>
    <row r="22" spans="1:3" x14ac:dyDescent="0.3">
      <c r="A22" s="18">
        <v>35</v>
      </c>
      <c r="B22" s="18">
        <v>40</v>
      </c>
      <c r="C22" s="22">
        <v>0.08</v>
      </c>
    </row>
    <row r="23" spans="1:3" x14ac:dyDescent="0.3">
      <c r="A23" s="18">
        <v>40</v>
      </c>
      <c r="B23" s="18">
        <v>45</v>
      </c>
      <c r="C23" s="22">
        <v>0.05</v>
      </c>
    </row>
    <row r="24" spans="1:3" x14ac:dyDescent="0.3">
      <c r="A24" s="18">
        <v>45</v>
      </c>
      <c r="B24" s="18">
        <v>50</v>
      </c>
      <c r="C24" s="22">
        <v>0.03</v>
      </c>
    </row>
    <row r="25" spans="1:3" x14ac:dyDescent="0.3">
      <c r="A25" s="18">
        <v>50</v>
      </c>
      <c r="B25" s="18">
        <v>55</v>
      </c>
      <c r="C25" s="22">
        <v>0.02</v>
      </c>
    </row>
    <row r="26" spans="1:3" x14ac:dyDescent="0.3">
      <c r="A26" s="18">
        <v>55</v>
      </c>
      <c r="B26" s="18">
        <v>60</v>
      </c>
      <c r="C26" s="22">
        <v>0.01</v>
      </c>
    </row>
    <row r="27" spans="1:3" x14ac:dyDescent="0.3">
      <c r="A27" s="18">
        <v>60</v>
      </c>
      <c r="B27" s="18">
        <v>200</v>
      </c>
      <c r="C27" s="22">
        <v>0</v>
      </c>
    </row>
    <row r="29" spans="1:3" x14ac:dyDescent="0.3">
      <c r="A29" s="10" t="s">
        <v>46</v>
      </c>
    </row>
  </sheetData>
  <mergeCells count="3">
    <mergeCell ref="A1:C1"/>
    <mergeCell ref="A3:C3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5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3" sqref="K3"/>
    </sheetView>
  </sheetViews>
  <sheetFormatPr defaultColWidth="8.6640625" defaultRowHeight="14.4" x14ac:dyDescent="0.3"/>
  <cols>
    <col min="1" max="1" width="9" customWidth="1"/>
    <col min="2" max="4" width="14" customWidth="1"/>
    <col min="5" max="5" width="12" customWidth="1"/>
    <col min="6" max="6" width="14" customWidth="1"/>
    <col min="7" max="8" width="12" customWidth="1"/>
    <col min="9" max="9" width="14" customWidth="1"/>
    <col min="10" max="10" width="16" customWidth="1"/>
    <col min="11" max="11" width="11" customWidth="1"/>
    <col min="12" max="14" width="16" customWidth="1"/>
    <col min="15" max="15" width="14" customWidth="1"/>
  </cols>
  <sheetData>
    <row r="1" spans="1:15" ht="17.399999999999999" x14ac:dyDescent="0.3">
      <c r="A1" s="38" t="s">
        <v>47</v>
      </c>
      <c r="B1" s="38"/>
      <c r="C1" s="38"/>
      <c r="D1" s="38"/>
      <c r="E1" s="38"/>
    </row>
    <row r="2" spans="1:15" x14ac:dyDescent="0.3">
      <c r="A2" s="40" t="s">
        <v>48</v>
      </c>
      <c r="B2" s="40"/>
      <c r="C2" s="40"/>
      <c r="D2" s="40"/>
      <c r="E2" s="40"/>
      <c r="F2" s="40"/>
      <c r="G2" s="40"/>
      <c r="H2" s="40"/>
      <c r="I2" s="40"/>
      <c r="J2" s="40"/>
    </row>
    <row r="3" spans="1:15" x14ac:dyDescent="0.3">
      <c r="A3" s="40" t="s">
        <v>49</v>
      </c>
      <c r="B3" s="40"/>
      <c r="C3" s="40"/>
      <c r="D3" s="40"/>
      <c r="E3" s="40"/>
      <c r="F3" s="40"/>
      <c r="G3" s="40"/>
      <c r="H3" s="40"/>
      <c r="I3" s="40"/>
      <c r="J3" s="40"/>
    </row>
    <row r="5" spans="1:15" ht="45" customHeight="1" x14ac:dyDescent="0.3">
      <c r="A5" s="3" t="s">
        <v>50</v>
      </c>
      <c r="B5" s="3" t="s">
        <v>51</v>
      </c>
      <c r="C5" s="3" t="s">
        <v>52</v>
      </c>
      <c r="D5" s="3" t="s">
        <v>53</v>
      </c>
      <c r="E5" s="3" t="s">
        <v>54</v>
      </c>
      <c r="F5" s="3" t="s">
        <v>55</v>
      </c>
      <c r="G5" s="3" t="s">
        <v>56</v>
      </c>
      <c r="H5" s="3" t="s">
        <v>57</v>
      </c>
      <c r="I5" s="3" t="s">
        <v>58</v>
      </c>
      <c r="J5" s="3" t="s">
        <v>59</v>
      </c>
      <c r="K5" s="3" t="s">
        <v>60</v>
      </c>
      <c r="L5" s="3" t="s">
        <v>61</v>
      </c>
      <c r="M5" s="3" t="s">
        <v>62</v>
      </c>
      <c r="N5" s="3" t="s">
        <v>63</v>
      </c>
      <c r="O5" s="3" t="s">
        <v>64</v>
      </c>
    </row>
    <row r="6" spans="1:15" x14ac:dyDescent="0.3">
      <c r="A6" s="23" t="s">
        <v>65</v>
      </c>
      <c r="B6" s="14">
        <v>35146</v>
      </c>
      <c r="C6" s="14">
        <v>44914</v>
      </c>
      <c r="D6" s="24">
        <v>23700</v>
      </c>
      <c r="E6" s="25">
        <f>(Assumptions!$B$6-B6)/365.25</f>
        <v>30.023271731690624</v>
      </c>
      <c r="F6" s="25">
        <f>(Assumptions!$B$6-C6)/365.25</f>
        <v>3.2799452429842573</v>
      </c>
      <c r="G6" s="5">
        <f t="shared" ref="G6:G37" si="0">INT(E6)</f>
        <v>30</v>
      </c>
      <c r="H6" s="5">
        <f>Assumptions!$B$7-G6</f>
        <v>30</v>
      </c>
      <c r="I6" s="5">
        <f t="shared" ref="I6:I37" si="1">INT(F6)+IF(F6-INT(F6)&gt;0.5,1,0)</f>
        <v>3</v>
      </c>
      <c r="J6" s="7">
        <f>MIN(15/26*D6*I6,Assumptions!$B$10)</f>
        <v>41019.230769230766</v>
      </c>
      <c r="K6" s="5">
        <f>IF(F6&gt;=Assumptions!$B$11,1,0)</f>
        <v>0</v>
      </c>
      <c r="L6" s="7">
        <f>SUMPRODUCT(Benefit_Grid!$C6:$AU6*(F6/(F6+Benefit_Grid!$C$5:$AU$5))*(1/(1+Assumptions!$B$8))^Benefit_Grid!$C$5:$AU$5)</f>
        <v>37093.242384348297</v>
      </c>
      <c r="M6" s="7">
        <f>SUMPRODUCT(Benefit_Grid!$C6:$AU6/(F6+Benefit_Grid!$C$5:$AU$5)*(1/(1+Assumptions!$B$8))^Benefit_Grid!$C$5:$AU$5)</f>
        <v>11309.104157665453</v>
      </c>
      <c r="N6" s="24">
        <v>37093.242383999997</v>
      </c>
      <c r="O6" s="26">
        <f t="shared" ref="O6:O37" si="2">L6-N6</f>
        <v>3.483000909909606E-7</v>
      </c>
    </row>
    <row r="7" spans="1:15" x14ac:dyDescent="0.3">
      <c r="A7" s="23" t="s">
        <v>66</v>
      </c>
      <c r="B7" s="14">
        <v>33903</v>
      </c>
      <c r="C7" s="14">
        <v>45147</v>
      </c>
      <c r="D7" s="24">
        <v>33500</v>
      </c>
      <c r="E7" s="25">
        <f>(Assumptions!$B$6-B7)/365.25</f>
        <v>33.426420260095824</v>
      </c>
      <c r="F7" s="25">
        <f>(Assumptions!$B$6-C7)/365.25</f>
        <v>2.6420260095824779</v>
      </c>
      <c r="G7" s="5">
        <f t="shared" si="0"/>
        <v>33</v>
      </c>
      <c r="H7" s="5">
        <f>Assumptions!$B$7-G7</f>
        <v>27</v>
      </c>
      <c r="I7" s="5">
        <f t="shared" si="1"/>
        <v>3</v>
      </c>
      <c r="J7" s="7">
        <f>MIN(15/26*D7*I7,Assumptions!$B$10)</f>
        <v>57980.76923076922</v>
      </c>
      <c r="K7" s="5">
        <f>IF(F7&gt;=Assumptions!$B$11,1,0)</f>
        <v>0</v>
      </c>
      <c r="L7" s="7">
        <f>SUMPRODUCT(Benefit_Grid!$C7:$AU7*(F7/(F7+Benefit_Grid!$C$5:$AU$5))*(1/(1+Assumptions!$B$8))^Benefit_Grid!$C$5:$AU$5)</f>
        <v>36812.584761345221</v>
      </c>
      <c r="M7" s="7">
        <f>SUMPRODUCT(Benefit_Grid!$C7:$AU7/(F7+Benefit_Grid!$C$5:$AU$5)*(1/(1+Assumptions!$B$8))^Benefit_Grid!$C$5:$AU$5)</f>
        <v>13933.467962778588</v>
      </c>
      <c r="N7" s="24">
        <v>36812.584760999998</v>
      </c>
      <c r="O7" s="26">
        <f t="shared" si="2"/>
        <v>3.4522236092016101E-7</v>
      </c>
    </row>
    <row r="8" spans="1:15" x14ac:dyDescent="0.3">
      <c r="A8" s="23" t="s">
        <v>67</v>
      </c>
      <c r="B8" s="14">
        <v>31513</v>
      </c>
      <c r="C8" s="14">
        <v>41035</v>
      </c>
      <c r="D8" s="24">
        <v>99400</v>
      </c>
      <c r="E8" s="25">
        <f>(Assumptions!$B$6-B8)/365.25</f>
        <v>39.969883641341546</v>
      </c>
      <c r="F8" s="25">
        <f>(Assumptions!$B$6-C8)/365.25</f>
        <v>13.900068446269678</v>
      </c>
      <c r="G8" s="5">
        <f t="shared" si="0"/>
        <v>39</v>
      </c>
      <c r="H8" s="5">
        <f>Assumptions!$B$7-G8</f>
        <v>21</v>
      </c>
      <c r="I8" s="5">
        <f t="shared" si="1"/>
        <v>14</v>
      </c>
      <c r="J8" s="7">
        <f>MIN(15/26*D8*I8,Assumptions!$B$10)</f>
        <v>802846.15384615376</v>
      </c>
      <c r="K8" s="5">
        <f>IF(F8&gt;=Assumptions!$B$11,1,0)</f>
        <v>1</v>
      </c>
      <c r="L8" s="7">
        <f>SUMPRODUCT(Benefit_Grid!$C8:$AU8*(F8/(F8+Benefit_Grid!$C$5:$AU$5))*(1/(1+Assumptions!$B$8))^Benefit_Grid!$C$5:$AU$5)</f>
        <v>445115.15930111555</v>
      </c>
      <c r="M8" s="7">
        <f>SUMPRODUCT(Benefit_Grid!$C8:$AU8/(F8+Benefit_Grid!$C$5:$AU$5)*(1/(1+Assumptions!$B$8))^Benefit_Grid!$C$5:$AU$5)</f>
        <v>32022.515645998115</v>
      </c>
      <c r="N8" s="24">
        <v>445115.15930100001</v>
      </c>
      <c r="O8" s="26">
        <f t="shared" si="2"/>
        <v>1.155422069132328E-7</v>
      </c>
    </row>
    <row r="9" spans="1:15" x14ac:dyDescent="0.3">
      <c r="A9" s="23" t="s">
        <v>68</v>
      </c>
      <c r="B9" s="14">
        <v>31671</v>
      </c>
      <c r="C9" s="14">
        <v>44015</v>
      </c>
      <c r="D9" s="24">
        <v>44200</v>
      </c>
      <c r="E9" s="25">
        <f>(Assumptions!$B$6-B9)/365.25</f>
        <v>39.537303216974678</v>
      </c>
      <c r="F9" s="25">
        <f>(Assumptions!$B$6-C9)/365.25</f>
        <v>5.7412731006160165</v>
      </c>
      <c r="G9" s="5">
        <f t="shared" si="0"/>
        <v>39</v>
      </c>
      <c r="H9" s="5">
        <f>Assumptions!$B$7-G9</f>
        <v>21</v>
      </c>
      <c r="I9" s="5">
        <f t="shared" si="1"/>
        <v>6</v>
      </c>
      <c r="J9" s="7">
        <f>MIN(15/26*D9*I9,Assumptions!$B$10)</f>
        <v>152999.99999999997</v>
      </c>
      <c r="K9" s="5">
        <f>IF(F9&gt;=Assumptions!$B$11,1,0)</f>
        <v>1</v>
      </c>
      <c r="L9" s="7">
        <f>SUMPRODUCT(Benefit_Grid!$C9:$AU9*(F9/(F9+Benefit_Grid!$C$5:$AU$5))*(1/(1+Assumptions!$B$8))^Benefit_Grid!$C$5:$AU$5)</f>
        <v>130464.78093926585</v>
      </c>
      <c r="M9" s="7">
        <f>SUMPRODUCT(Benefit_Grid!$C9:$AU9/(F9+Benefit_Grid!$C$5:$AU$5)*(1/(1+Assumptions!$B$8))^Benefit_Grid!$C$5:$AU$5)</f>
        <v>22724.015850294163</v>
      </c>
      <c r="N9" s="24">
        <v>130464.780939</v>
      </c>
      <c r="O9" s="26">
        <f t="shared" si="2"/>
        <v>2.6584893930703402E-7</v>
      </c>
    </row>
    <row r="10" spans="1:15" x14ac:dyDescent="0.3">
      <c r="A10" s="23" t="s">
        <v>69</v>
      </c>
      <c r="B10" s="14">
        <v>33227</v>
      </c>
      <c r="C10" s="14">
        <v>42657</v>
      </c>
      <c r="D10" s="24">
        <v>49000</v>
      </c>
      <c r="E10" s="25">
        <f>(Assumptions!$B$6-B10)/365.25</f>
        <v>35.277207392197127</v>
      </c>
      <c r="F10" s="25">
        <f>(Assumptions!$B$6-C10)/365.25</f>
        <v>9.4592744695414108</v>
      </c>
      <c r="G10" s="5">
        <f t="shared" si="0"/>
        <v>35</v>
      </c>
      <c r="H10" s="5">
        <f>Assumptions!$B$7-G10</f>
        <v>25</v>
      </c>
      <c r="I10" s="5">
        <f t="shared" si="1"/>
        <v>9</v>
      </c>
      <c r="J10" s="7">
        <f>MIN(15/26*D10*I10,Assumptions!$B$10)</f>
        <v>254423.07692307688</v>
      </c>
      <c r="K10" s="5">
        <f>IF(F10&gt;=Assumptions!$B$11,1,0)</f>
        <v>1</v>
      </c>
      <c r="L10" s="7">
        <f>SUMPRODUCT(Benefit_Grid!$C10:$AU10*(F10/(F10+Benefit_Grid!$C$5:$AU$5))*(1/(1+Assumptions!$B$8))^Benefit_Grid!$C$5:$AU$5)</f>
        <v>204697.39967115413</v>
      </c>
      <c r="M10" s="7">
        <f>SUMPRODUCT(Benefit_Grid!$C10:$AU10/(F10+Benefit_Grid!$C$5:$AU$5)*(1/(1+Assumptions!$B$8))^Benefit_Grid!$C$5:$AU$5)</f>
        <v>21639.862584627794</v>
      </c>
      <c r="N10" s="24">
        <v>204697.39967099999</v>
      </c>
      <c r="O10" s="26">
        <f t="shared" si="2"/>
        <v>1.5413388609886169E-7</v>
      </c>
    </row>
    <row r="11" spans="1:15" x14ac:dyDescent="0.3">
      <c r="A11" s="23" t="s">
        <v>70</v>
      </c>
      <c r="B11" s="14">
        <v>32623</v>
      </c>
      <c r="C11" s="14">
        <v>42793</v>
      </c>
      <c r="D11" s="24">
        <v>51100</v>
      </c>
      <c r="E11" s="25">
        <f>(Assumptions!$B$6-B11)/365.25</f>
        <v>36.930869267624914</v>
      </c>
      <c r="F11" s="25">
        <f>(Assumptions!$B$6-C11)/365.25</f>
        <v>9.0869267624914443</v>
      </c>
      <c r="G11" s="5">
        <f t="shared" si="0"/>
        <v>36</v>
      </c>
      <c r="H11" s="5">
        <f>Assumptions!$B$7-G11</f>
        <v>24</v>
      </c>
      <c r="I11" s="5">
        <f t="shared" si="1"/>
        <v>9</v>
      </c>
      <c r="J11" s="7">
        <f>MIN(15/26*D11*I11,Assumptions!$B$10)</f>
        <v>265326.92307692306</v>
      </c>
      <c r="K11" s="5">
        <f>IF(F11&gt;=Assumptions!$B$11,1,0)</f>
        <v>1</v>
      </c>
      <c r="L11" s="7">
        <f>SUMPRODUCT(Benefit_Grid!$C11:$AU11*(F11/(F11+Benefit_Grid!$C$5:$AU$5))*(1/(1+Assumptions!$B$8))^Benefit_Grid!$C$5:$AU$5)</f>
        <v>206758.63156659977</v>
      </c>
      <c r="M11" s="7">
        <f>SUMPRODUCT(Benefit_Grid!$C11:$AU11/(F11+Benefit_Grid!$C$5:$AU$5)*(1/(1+Assumptions!$B$8))^Benefit_Grid!$C$5:$AU$5)</f>
        <v>22753.41674591761</v>
      </c>
      <c r="N11" s="24">
        <v>206758.631567</v>
      </c>
      <c r="O11" s="26">
        <f t="shared" si="2"/>
        <v>-4.0023587644100189E-7</v>
      </c>
    </row>
    <row r="12" spans="1:15" x14ac:dyDescent="0.3">
      <c r="A12" s="23" t="s">
        <v>71</v>
      </c>
      <c r="B12" s="14">
        <v>33233</v>
      </c>
      <c r="C12" s="14">
        <v>42799</v>
      </c>
      <c r="D12" s="24">
        <v>49800</v>
      </c>
      <c r="E12" s="25">
        <f>(Assumptions!$B$6-B12)/365.25</f>
        <v>35.260780287474333</v>
      </c>
      <c r="F12" s="25">
        <f>(Assumptions!$B$6-C12)/365.25</f>
        <v>9.0704996577686519</v>
      </c>
      <c r="G12" s="5">
        <f t="shared" si="0"/>
        <v>35</v>
      </c>
      <c r="H12" s="5">
        <f>Assumptions!$B$7-G12</f>
        <v>25</v>
      </c>
      <c r="I12" s="5">
        <f t="shared" si="1"/>
        <v>9</v>
      </c>
      <c r="J12" s="7">
        <f>MIN(15/26*D12*I12,Assumptions!$B$10)</f>
        <v>258576.92307692303</v>
      </c>
      <c r="K12" s="5">
        <f>IF(F12&gt;=Assumptions!$B$11,1,0)</f>
        <v>1</v>
      </c>
      <c r="L12" s="7">
        <f>SUMPRODUCT(Benefit_Grid!$C12:$AU12*(F12/(F12+Benefit_Grid!$C$5:$AU$5))*(1/(1+Assumptions!$B$8))^Benefit_Grid!$C$5:$AU$5)</f>
        <v>203499.04952494614</v>
      </c>
      <c r="M12" s="7">
        <f>SUMPRODUCT(Benefit_Grid!$C12:$AU12/(F12+Benefit_Grid!$C$5:$AU$5)*(1/(1+Assumptions!$B$8))^Benefit_Grid!$C$5:$AU$5)</f>
        <v>22435.26345879462</v>
      </c>
      <c r="N12" s="24">
        <v>203499.04952500001</v>
      </c>
      <c r="O12" s="26">
        <f t="shared" si="2"/>
        <v>-5.3871190175414085E-8</v>
      </c>
    </row>
    <row r="13" spans="1:15" x14ac:dyDescent="0.3">
      <c r="A13" s="23" t="s">
        <v>72</v>
      </c>
      <c r="B13" s="14">
        <v>33325</v>
      </c>
      <c r="C13" s="14">
        <v>42524</v>
      </c>
      <c r="D13" s="24">
        <v>45700</v>
      </c>
      <c r="E13" s="25">
        <f>(Assumptions!$B$6-B13)/365.25</f>
        <v>35.008898015058179</v>
      </c>
      <c r="F13" s="25">
        <f>(Assumptions!$B$6-C13)/365.25</f>
        <v>9.8234086242299803</v>
      </c>
      <c r="G13" s="5">
        <f t="shared" si="0"/>
        <v>35</v>
      </c>
      <c r="H13" s="5">
        <f>Assumptions!$B$7-G13</f>
        <v>25</v>
      </c>
      <c r="I13" s="5">
        <f t="shared" si="1"/>
        <v>10</v>
      </c>
      <c r="J13" s="7">
        <f>MIN(15/26*D13*I13,Assumptions!$B$10)</f>
        <v>263653.84615384613</v>
      </c>
      <c r="K13" s="5">
        <f>IF(F13&gt;=Assumptions!$B$11,1,0)</f>
        <v>1</v>
      </c>
      <c r="L13" s="7">
        <f>SUMPRODUCT(Benefit_Grid!$C13:$AU13*(F13/(F13+Benefit_Grid!$C$5:$AU$5))*(1/(1+Assumptions!$B$8))^Benefit_Grid!$C$5:$AU$5)</f>
        <v>208166.92762619472</v>
      </c>
      <c r="M13" s="7">
        <f>SUMPRODUCT(Benefit_Grid!$C13:$AU13/(F13+Benefit_Grid!$C$5:$AU$5)*(1/(1+Assumptions!$B$8))^Benefit_Grid!$C$5:$AU$5)</f>
        <v>21190.905885024415</v>
      </c>
      <c r="N13" s="24">
        <v>208166.92762599999</v>
      </c>
      <c r="O13" s="26">
        <f t="shared" si="2"/>
        <v>1.9473372958600521E-7</v>
      </c>
    </row>
    <row r="14" spans="1:15" x14ac:dyDescent="0.3">
      <c r="A14" s="23" t="s">
        <v>73</v>
      </c>
      <c r="B14" s="14">
        <v>33971</v>
      </c>
      <c r="C14" s="14">
        <v>45857</v>
      </c>
      <c r="D14" s="24">
        <v>25500</v>
      </c>
      <c r="E14" s="25">
        <f>(Assumptions!$B$6-B14)/365.25</f>
        <v>33.24024640657084</v>
      </c>
      <c r="F14" s="25">
        <f>(Assumptions!$B$6-C14)/365.25</f>
        <v>0.69815195071868585</v>
      </c>
      <c r="G14" s="5">
        <f t="shared" si="0"/>
        <v>33</v>
      </c>
      <c r="H14" s="5">
        <f>Assumptions!$B$7-G14</f>
        <v>27</v>
      </c>
      <c r="I14" s="5">
        <f t="shared" si="1"/>
        <v>1</v>
      </c>
      <c r="J14" s="7">
        <f>MIN(15/26*D14*I14,Assumptions!$B$10)</f>
        <v>14711.538461538461</v>
      </c>
      <c r="K14" s="5">
        <f>IF(F14&gt;=Assumptions!$B$11,1,0)</f>
        <v>0</v>
      </c>
      <c r="L14" s="7">
        <f>SUMPRODUCT(Benefit_Grid!$C14:$AU14*(F14/(F14+Benefit_Grid!$C$5:$AU$5))*(1/(1+Assumptions!$B$8))^Benefit_Grid!$C$5:$AU$5)</f>
        <v>6804.4051452806671</v>
      </c>
      <c r="M14" s="7">
        <f>SUMPRODUCT(Benefit_Grid!$C14:$AU14/(F14+Benefit_Grid!$C$5:$AU$5)*(1/(1+Assumptions!$B$8))^Benefit_Grid!$C$5:$AU$5)</f>
        <v>9746.3097227990729</v>
      </c>
      <c r="N14" s="24">
        <v>6804.4051449999997</v>
      </c>
      <c r="O14" s="26">
        <f t="shared" si="2"/>
        <v>2.8066733648302034E-7</v>
      </c>
    </row>
    <row r="15" spans="1:15" x14ac:dyDescent="0.3">
      <c r="A15" s="23" t="s">
        <v>74</v>
      </c>
      <c r="B15" s="14">
        <v>28454</v>
      </c>
      <c r="C15" s="14">
        <v>38107</v>
      </c>
      <c r="D15" s="24">
        <v>165000</v>
      </c>
      <c r="E15" s="25">
        <f>(Assumptions!$B$6-B15)/365.25</f>
        <v>48.344969199178642</v>
      </c>
      <c r="F15" s="25">
        <f>(Assumptions!$B$6-C15)/365.25</f>
        <v>21.916495550992472</v>
      </c>
      <c r="G15" s="5">
        <f t="shared" si="0"/>
        <v>48</v>
      </c>
      <c r="H15" s="5">
        <f>Assumptions!$B$7-G15</f>
        <v>12</v>
      </c>
      <c r="I15" s="5">
        <f t="shared" si="1"/>
        <v>22</v>
      </c>
      <c r="J15" s="7">
        <f>MIN(15/26*D15*I15,Assumptions!$B$10)</f>
        <v>2000000</v>
      </c>
      <c r="K15" s="5">
        <f>IF(F15&gt;=Assumptions!$B$11,1,0)</f>
        <v>1</v>
      </c>
      <c r="L15" s="7">
        <f>SUMPRODUCT(Benefit_Grid!$C15:$AU15*(F15/(F15+Benefit_Grid!$C$5:$AU$5))*(1/(1+Assumptions!$B$8))^Benefit_Grid!$C$5:$AU$5)</f>
        <v>716430.2436566283</v>
      </c>
      <c r="M15" s="7">
        <f>SUMPRODUCT(Benefit_Grid!$C15:$AU15/(F15+Benefit_Grid!$C$5:$AU$5)*(1/(1+Assumptions!$B$8))^Benefit_Grid!$C$5:$AU$5)</f>
        <v>32689.087632177812</v>
      </c>
      <c r="N15" s="24">
        <v>716430.24365700001</v>
      </c>
      <c r="O15" s="26">
        <f t="shared" si="2"/>
        <v>-3.7171412259340286E-7</v>
      </c>
    </row>
    <row r="16" spans="1:15" x14ac:dyDescent="0.3">
      <c r="A16" s="23" t="s">
        <v>75</v>
      </c>
      <c r="B16" s="14">
        <v>34533</v>
      </c>
      <c r="C16" s="14">
        <v>44930</v>
      </c>
      <c r="D16" s="24">
        <v>32700</v>
      </c>
      <c r="E16" s="25">
        <f>(Assumptions!$B$6-B16)/365.25</f>
        <v>31.701574264202602</v>
      </c>
      <c r="F16" s="25">
        <f>(Assumptions!$B$6-C16)/365.25</f>
        <v>3.2361396303901437</v>
      </c>
      <c r="G16" s="5">
        <f t="shared" si="0"/>
        <v>31</v>
      </c>
      <c r="H16" s="5">
        <f>Assumptions!$B$7-G16</f>
        <v>29</v>
      </c>
      <c r="I16" s="5">
        <f t="shared" si="1"/>
        <v>3</v>
      </c>
      <c r="J16" s="7">
        <f>MIN(15/26*D16*I16,Assumptions!$B$10)</f>
        <v>56596.153846153844</v>
      </c>
      <c r="K16" s="5">
        <f>IF(F16&gt;=Assumptions!$B$11,1,0)</f>
        <v>0</v>
      </c>
      <c r="L16" s="7">
        <f>SUMPRODUCT(Benefit_Grid!$C16:$AU16*(F16/(F16+Benefit_Grid!$C$5:$AU$5))*(1/(1+Assumptions!$B$8))^Benefit_Grid!$C$5:$AU$5)</f>
        <v>47952.243340776469</v>
      </c>
      <c r="M16" s="7">
        <f>SUMPRODUCT(Benefit_Grid!$C16:$AU16/(F16+Benefit_Grid!$C$5:$AU$5)*(1/(1+Assumptions!$B$8))^Benefit_Grid!$C$5:$AU$5)</f>
        <v>14817.730017105418</v>
      </c>
      <c r="N16" s="24">
        <v>47952.243341000001</v>
      </c>
      <c r="O16" s="26">
        <f t="shared" si="2"/>
        <v>-2.2353196982294321E-7</v>
      </c>
    </row>
    <row r="17" spans="1:15" x14ac:dyDescent="0.3">
      <c r="A17" s="23" t="s">
        <v>76</v>
      </c>
      <c r="B17" s="14">
        <v>32170</v>
      </c>
      <c r="C17" s="14">
        <v>41013</v>
      </c>
      <c r="D17" s="24">
        <v>139100</v>
      </c>
      <c r="E17" s="25">
        <f>(Assumptions!$B$6-B17)/365.25</f>
        <v>38.171115674195754</v>
      </c>
      <c r="F17" s="25">
        <f>(Assumptions!$B$6-C17)/365.25</f>
        <v>13.960301163586584</v>
      </c>
      <c r="G17" s="5">
        <f t="shared" si="0"/>
        <v>38</v>
      </c>
      <c r="H17" s="5">
        <f>Assumptions!$B$7-G17</f>
        <v>22</v>
      </c>
      <c r="I17" s="5">
        <f t="shared" si="1"/>
        <v>14</v>
      </c>
      <c r="J17" s="7">
        <f>MIN(15/26*D17*I17,Assumptions!$B$10)</f>
        <v>1123500</v>
      </c>
      <c r="K17" s="5">
        <f>IF(F17&gt;=Assumptions!$B$11,1,0)</f>
        <v>1</v>
      </c>
      <c r="L17" s="7">
        <f>SUMPRODUCT(Benefit_Grid!$C17:$AU17*(F17/(F17+Benefit_Grid!$C$5:$AU$5))*(1/(1+Assumptions!$B$8))^Benefit_Grid!$C$5:$AU$5)</f>
        <v>548205.21503338206</v>
      </c>
      <c r="M17" s="7">
        <f>SUMPRODUCT(Benefit_Grid!$C17:$AU17/(F17+Benefit_Grid!$C$5:$AU$5)*(1/(1+Assumptions!$B$8))^Benefit_Grid!$C$5:$AU$5)</f>
        <v>39268.867383985656</v>
      </c>
      <c r="N17" s="24">
        <v>548205.21503299999</v>
      </c>
      <c r="O17" s="26">
        <f t="shared" si="2"/>
        <v>3.8207508623600006E-7</v>
      </c>
    </row>
    <row r="18" spans="1:15" x14ac:dyDescent="0.3">
      <c r="A18" s="23" t="s">
        <v>77</v>
      </c>
      <c r="B18" s="14">
        <v>31803</v>
      </c>
      <c r="C18" s="14">
        <v>41783</v>
      </c>
      <c r="D18" s="24">
        <v>60500</v>
      </c>
      <c r="E18" s="25">
        <f>(Assumptions!$B$6-B18)/365.25</f>
        <v>39.175906913073234</v>
      </c>
      <c r="F18" s="25">
        <f>(Assumptions!$B$6-C18)/365.25</f>
        <v>11.852156057494867</v>
      </c>
      <c r="G18" s="5">
        <f t="shared" si="0"/>
        <v>39</v>
      </c>
      <c r="H18" s="5">
        <f>Assumptions!$B$7-G18</f>
        <v>21</v>
      </c>
      <c r="I18" s="5">
        <f t="shared" si="1"/>
        <v>12</v>
      </c>
      <c r="J18" s="7">
        <f>MIN(15/26*D18*I18,Assumptions!$B$10)</f>
        <v>418846.15384615376</v>
      </c>
      <c r="K18" s="5">
        <f>IF(F18&gt;=Assumptions!$B$11,1,0)</f>
        <v>1</v>
      </c>
      <c r="L18" s="7">
        <f>SUMPRODUCT(Benefit_Grid!$C18:$AU18*(F18/(F18+Benefit_Grid!$C$5:$AU$5))*(1/(1+Assumptions!$B$8))^Benefit_Grid!$C$5:$AU$5)</f>
        <v>293306.53698333097</v>
      </c>
      <c r="M18" s="7">
        <f>SUMPRODUCT(Benefit_Grid!$C18:$AU18/(F18+Benefit_Grid!$C$5:$AU$5)*(1/(1+Assumptions!$B$8))^Benefit_Grid!$C$5:$AU$5)</f>
        <v>24747.10386536421</v>
      </c>
      <c r="N18" s="24">
        <v>293306.536983</v>
      </c>
      <c r="O18" s="26">
        <f t="shared" si="2"/>
        <v>3.3096875995397568E-7</v>
      </c>
    </row>
    <row r="19" spans="1:15" x14ac:dyDescent="0.3">
      <c r="A19" s="23" t="s">
        <v>78</v>
      </c>
      <c r="B19" s="14">
        <v>33063</v>
      </c>
      <c r="C19" s="14">
        <v>44355</v>
      </c>
      <c r="D19" s="24">
        <v>54000</v>
      </c>
      <c r="E19" s="25">
        <f>(Assumptions!$B$6-B19)/365.25</f>
        <v>35.72621492128679</v>
      </c>
      <c r="F19" s="25">
        <f>(Assumptions!$B$6-C19)/365.25</f>
        <v>4.8104038329911019</v>
      </c>
      <c r="G19" s="5">
        <f t="shared" si="0"/>
        <v>35</v>
      </c>
      <c r="H19" s="5">
        <f>Assumptions!$B$7-G19</f>
        <v>25</v>
      </c>
      <c r="I19" s="5">
        <f t="shared" si="1"/>
        <v>5</v>
      </c>
      <c r="J19" s="7">
        <f>MIN(15/26*D19*I19,Assumptions!$B$10)</f>
        <v>155769.23076923075</v>
      </c>
      <c r="K19" s="5">
        <f>IF(F19&gt;=Assumptions!$B$11,1,0)</f>
        <v>0</v>
      </c>
      <c r="L19" s="7">
        <f>SUMPRODUCT(Benefit_Grid!$C19:$AU19*(F19/(F19+Benefit_Grid!$C$5:$AU$5))*(1/(1+Assumptions!$B$8))^Benefit_Grid!$C$5:$AU$5)</f>
        <v>121294.30424303839</v>
      </c>
      <c r="M19" s="7">
        <f>SUMPRODUCT(Benefit_Grid!$C19:$AU19/(F19+Benefit_Grid!$C$5:$AU$5)*(1/(1+Assumptions!$B$8))^Benefit_Grid!$C$5:$AU$5)</f>
        <v>25214.994094917347</v>
      </c>
      <c r="N19" s="24">
        <v>121294.30424300001</v>
      </c>
      <c r="O19" s="26">
        <f t="shared" si="2"/>
        <v>3.8387952372431755E-8</v>
      </c>
    </row>
    <row r="20" spans="1:15" x14ac:dyDescent="0.3">
      <c r="A20" s="23" t="s">
        <v>79</v>
      </c>
      <c r="B20" s="14">
        <v>37783</v>
      </c>
      <c r="C20" s="14">
        <v>45962</v>
      </c>
      <c r="D20" s="24">
        <v>37200</v>
      </c>
      <c r="E20" s="25">
        <f>(Assumptions!$B$6-B20)/365.25</f>
        <v>22.803559206023273</v>
      </c>
      <c r="F20" s="25">
        <f>(Assumptions!$B$6-C20)/365.25</f>
        <v>0.41067761806981518</v>
      </c>
      <c r="G20" s="5">
        <f t="shared" si="0"/>
        <v>22</v>
      </c>
      <c r="H20" s="5">
        <f>Assumptions!$B$7-G20</f>
        <v>38</v>
      </c>
      <c r="I20" s="5">
        <f t="shared" si="1"/>
        <v>0</v>
      </c>
      <c r="J20" s="7">
        <f>MIN(15/26*D20*I20,Assumptions!$B$10)</f>
        <v>0</v>
      </c>
      <c r="K20" s="5">
        <f>IF(F20&gt;=Assumptions!$B$11,1,0)</f>
        <v>0</v>
      </c>
      <c r="L20" s="7">
        <f>SUMPRODUCT(Benefit_Grid!$C20:$AU20*(F20/(F20+Benefit_Grid!$C$5:$AU$5))*(1/(1+Assumptions!$B$8))^Benefit_Grid!$C$5:$AU$5)</f>
        <v>3533.9602816998472</v>
      </c>
      <c r="M20" s="7">
        <f>SUMPRODUCT(Benefit_Grid!$C20:$AU20/(F20+Benefit_Grid!$C$5:$AU$5)*(1/(1+Assumptions!$B$8))^Benefit_Grid!$C$5:$AU$5)</f>
        <v>8605.1932859391272</v>
      </c>
      <c r="N20" s="24">
        <v>3533.960282</v>
      </c>
      <c r="O20" s="26">
        <f t="shared" si="2"/>
        <v>-3.0015280572115444E-7</v>
      </c>
    </row>
    <row r="21" spans="1:15" x14ac:dyDescent="0.3">
      <c r="A21" s="23" t="s">
        <v>80</v>
      </c>
      <c r="B21" s="14">
        <v>32830</v>
      </c>
      <c r="C21" s="14">
        <v>41022</v>
      </c>
      <c r="D21" s="24">
        <v>60300</v>
      </c>
      <c r="E21" s="25">
        <f>(Assumptions!$B$6-B21)/365.25</f>
        <v>36.364134154688571</v>
      </c>
      <c r="F21" s="25">
        <f>(Assumptions!$B$6-C21)/365.25</f>
        <v>13.935660506502396</v>
      </c>
      <c r="G21" s="5">
        <f t="shared" si="0"/>
        <v>36</v>
      </c>
      <c r="H21" s="5">
        <f>Assumptions!$B$7-G21</f>
        <v>24</v>
      </c>
      <c r="I21" s="5">
        <f t="shared" si="1"/>
        <v>14</v>
      </c>
      <c r="J21" s="7">
        <f>MIN(15/26*D21*I21,Assumptions!$B$10)</f>
        <v>487038.46153846144</v>
      </c>
      <c r="K21" s="5">
        <f>IF(F21&gt;=Assumptions!$B$11,1,0)</f>
        <v>1</v>
      </c>
      <c r="L21" s="7">
        <f>SUMPRODUCT(Benefit_Grid!$C21:$AU21*(F21/(F21+Benefit_Grid!$C$5:$AU$5))*(1/(1+Assumptions!$B$8))^Benefit_Grid!$C$5:$AU$5)</f>
        <v>343575.97622328752</v>
      </c>
      <c r="M21" s="7">
        <f>SUMPRODUCT(Benefit_Grid!$C21:$AU21/(F21+Benefit_Grid!$C$5:$AU$5)*(1/(1+Assumptions!$B$8))^Benefit_Grid!$C$5:$AU$5)</f>
        <v>24654.445052172061</v>
      </c>
      <c r="N21" s="24">
        <v>343575.97622299998</v>
      </c>
      <c r="O21" s="26">
        <f t="shared" si="2"/>
        <v>2.8754584491252899E-7</v>
      </c>
    </row>
    <row r="22" spans="1:15" x14ac:dyDescent="0.3">
      <c r="A22" s="23" t="s">
        <v>81</v>
      </c>
      <c r="B22" s="14">
        <v>36397</v>
      </c>
      <c r="C22" s="14">
        <v>44793</v>
      </c>
      <c r="D22" s="24">
        <v>23200</v>
      </c>
      <c r="E22" s="25">
        <f>(Assumptions!$B$6-B22)/365.25</f>
        <v>26.598220396988363</v>
      </c>
      <c r="F22" s="25">
        <f>(Assumptions!$B$6-C22)/365.25</f>
        <v>3.6112251882272415</v>
      </c>
      <c r="G22" s="5">
        <f t="shared" si="0"/>
        <v>26</v>
      </c>
      <c r="H22" s="5">
        <f>Assumptions!$B$7-G22</f>
        <v>34</v>
      </c>
      <c r="I22" s="5">
        <f t="shared" si="1"/>
        <v>4</v>
      </c>
      <c r="J22" s="7">
        <f>MIN(15/26*D22*I22,Assumptions!$B$10)</f>
        <v>53538.461538461532</v>
      </c>
      <c r="K22" s="5">
        <f>IF(F22&gt;=Assumptions!$B$11,1,0)</f>
        <v>0</v>
      </c>
      <c r="L22" s="7">
        <f>SUMPRODUCT(Benefit_Grid!$C22:$AU22*(F22/(F22+Benefit_Grid!$C$5:$AU$5))*(1/(1+Assumptions!$B$8))^Benefit_Grid!$C$5:$AU$5)</f>
        <v>41708.786607438698</v>
      </c>
      <c r="M22" s="7">
        <f>SUMPRODUCT(Benefit_Grid!$C22:$AU22/(F22+Benefit_Grid!$C$5:$AU$5)*(1/(1+Assumptions!$B$8))^Benefit_Grid!$C$5:$AU$5)</f>
        <v>11549.760658352527</v>
      </c>
      <c r="N22" s="24">
        <v>41708.786607000002</v>
      </c>
      <c r="O22" s="26">
        <f t="shared" si="2"/>
        <v>4.3869658838957548E-7</v>
      </c>
    </row>
    <row r="23" spans="1:15" x14ac:dyDescent="0.3">
      <c r="A23" s="23" t="s">
        <v>82</v>
      </c>
      <c r="B23" s="14">
        <v>32281</v>
      </c>
      <c r="C23" s="14">
        <v>42510</v>
      </c>
      <c r="D23" s="24">
        <v>57300</v>
      </c>
      <c r="E23" s="25">
        <f>(Assumptions!$B$6-B23)/365.25</f>
        <v>37.86721423682409</v>
      </c>
      <c r="F23" s="25">
        <f>(Assumptions!$B$6-C23)/365.25</f>
        <v>9.8617385352498292</v>
      </c>
      <c r="G23" s="5">
        <f t="shared" si="0"/>
        <v>37</v>
      </c>
      <c r="H23" s="5">
        <f>Assumptions!$B$7-G23</f>
        <v>23</v>
      </c>
      <c r="I23" s="5">
        <f t="shared" si="1"/>
        <v>10</v>
      </c>
      <c r="J23" s="7">
        <f>MIN(15/26*D23*I23,Assumptions!$B$10)</f>
        <v>330576.92307692306</v>
      </c>
      <c r="K23" s="5">
        <f>IF(F23&gt;=Assumptions!$B$11,1,0)</f>
        <v>1</v>
      </c>
      <c r="L23" s="7">
        <f>SUMPRODUCT(Benefit_Grid!$C23:$AU23*(F23/(F23+Benefit_Grid!$C$5:$AU$5))*(1/(1+Assumptions!$B$8))^Benefit_Grid!$C$5:$AU$5)</f>
        <v>242984.77322793001</v>
      </c>
      <c r="M23" s="7">
        <f>SUMPRODUCT(Benefit_Grid!$C23:$AU23/(F23+Benefit_Grid!$C$5:$AU$5)*(1/(1+Assumptions!$B$8))^Benefit_Grid!$C$5:$AU$5)</f>
        <v>24639.141705025388</v>
      </c>
      <c r="N23" s="24">
        <v>242984.77322800001</v>
      </c>
      <c r="O23" s="26">
        <f t="shared" si="2"/>
        <v>-6.9994712248444557E-8</v>
      </c>
    </row>
    <row r="24" spans="1:15" x14ac:dyDescent="0.3">
      <c r="A24" s="23" t="s">
        <v>83</v>
      </c>
      <c r="B24" s="14">
        <v>28661</v>
      </c>
      <c r="C24" s="14">
        <v>40186</v>
      </c>
      <c r="D24" s="24">
        <v>87300</v>
      </c>
      <c r="E24" s="25">
        <f>(Assumptions!$B$6-B24)/365.25</f>
        <v>47.7782340862423</v>
      </c>
      <c r="F24" s="25">
        <f>(Assumptions!$B$6-C24)/365.25</f>
        <v>16.224503764544831</v>
      </c>
      <c r="G24" s="5">
        <f t="shared" si="0"/>
        <v>47</v>
      </c>
      <c r="H24" s="5">
        <f>Assumptions!$B$7-G24</f>
        <v>13</v>
      </c>
      <c r="I24" s="5">
        <f t="shared" si="1"/>
        <v>16</v>
      </c>
      <c r="J24" s="7">
        <f>MIN(15/26*D24*I24,Assumptions!$B$10)</f>
        <v>805846.15384615376</v>
      </c>
      <c r="K24" s="5">
        <f>IF(F24&gt;=Assumptions!$B$11,1,0)</f>
        <v>1</v>
      </c>
      <c r="L24" s="7">
        <f>SUMPRODUCT(Benefit_Grid!$C24:$AU24*(F24/(F24+Benefit_Grid!$C$5:$AU$5))*(1/(1+Assumptions!$B$8))^Benefit_Grid!$C$5:$AU$5)</f>
        <v>539243.94930664042</v>
      </c>
      <c r="M24" s="7">
        <f>SUMPRODUCT(Benefit_Grid!$C24:$AU24/(F24+Benefit_Grid!$C$5:$AU$5)*(1/(1+Assumptions!$B$8))^Benefit_Grid!$C$5:$AU$5)</f>
        <v>33236.390901830986</v>
      </c>
      <c r="N24" s="24">
        <v>539243.94930700003</v>
      </c>
      <c r="O24" s="26">
        <f t="shared" si="2"/>
        <v>-3.5960692912340164E-7</v>
      </c>
    </row>
    <row r="25" spans="1:15" x14ac:dyDescent="0.3">
      <c r="A25" s="23" t="s">
        <v>84</v>
      </c>
      <c r="B25" s="14">
        <v>37012</v>
      </c>
      <c r="C25" s="14">
        <v>45102</v>
      </c>
      <c r="D25" s="24">
        <v>41000</v>
      </c>
      <c r="E25" s="25">
        <f>(Assumptions!$B$6-B25)/365.25</f>
        <v>24.914442162902123</v>
      </c>
      <c r="F25" s="25">
        <f>(Assumptions!$B$6-C25)/365.25</f>
        <v>2.7652292950034223</v>
      </c>
      <c r="G25" s="5">
        <f t="shared" si="0"/>
        <v>24</v>
      </c>
      <c r="H25" s="5">
        <f>Assumptions!$B$7-G25</f>
        <v>36</v>
      </c>
      <c r="I25" s="5">
        <f t="shared" si="1"/>
        <v>3</v>
      </c>
      <c r="J25" s="7">
        <f>MIN(15/26*D25*I25,Assumptions!$B$10)</f>
        <v>70961.538461538454</v>
      </c>
      <c r="K25" s="5">
        <f>IF(F25&gt;=Assumptions!$B$11,1,0)</f>
        <v>0</v>
      </c>
      <c r="L25" s="7">
        <f>SUMPRODUCT(Benefit_Grid!$C25:$AU25*(F25/(F25+Benefit_Grid!$C$5:$AU$5))*(1/(1+Assumptions!$B$8))^Benefit_Grid!$C$5:$AU$5)</f>
        <v>43353.510139686157</v>
      </c>
      <c r="M25" s="7">
        <f>SUMPRODUCT(Benefit_Grid!$C25:$AU25/(F25+Benefit_Grid!$C$5:$AU$5)*(1/(1+Assumptions!$B$8))^Benefit_Grid!$C$5:$AU$5)</f>
        <v>15678.08869160432</v>
      </c>
      <c r="N25" s="24">
        <v>43353.510139999999</v>
      </c>
      <c r="O25" s="26">
        <f t="shared" si="2"/>
        <v>-3.1384115573018789E-7</v>
      </c>
    </row>
    <row r="26" spans="1:15" x14ac:dyDescent="0.3">
      <c r="A26" s="23" t="s">
        <v>85</v>
      </c>
      <c r="B26" s="14">
        <v>32929</v>
      </c>
      <c r="C26" s="14">
        <v>41109</v>
      </c>
      <c r="D26" s="24">
        <v>81200</v>
      </c>
      <c r="E26" s="25">
        <f>(Assumptions!$B$6-B26)/365.25</f>
        <v>36.093086926762489</v>
      </c>
      <c r="F26" s="25">
        <f>(Assumptions!$B$6-C26)/365.25</f>
        <v>13.697467488021903</v>
      </c>
      <c r="G26" s="5">
        <f t="shared" si="0"/>
        <v>36</v>
      </c>
      <c r="H26" s="5">
        <f>Assumptions!$B$7-G26</f>
        <v>24</v>
      </c>
      <c r="I26" s="5">
        <f t="shared" si="1"/>
        <v>14</v>
      </c>
      <c r="J26" s="7">
        <f>MIN(15/26*D26*I26,Assumptions!$B$10)</f>
        <v>655846.15384615376</v>
      </c>
      <c r="K26" s="5">
        <f>IF(F26&gt;=Assumptions!$B$11,1,0)</f>
        <v>1</v>
      </c>
      <c r="L26" s="7">
        <f>SUMPRODUCT(Benefit_Grid!$C26:$AU26*(F26/(F26+Benefit_Grid!$C$5:$AU$5))*(1/(1+Assumptions!$B$8))^Benefit_Grid!$C$5:$AU$5)</f>
        <v>420095.87152080482</v>
      </c>
      <c r="M26" s="7">
        <f>SUMPRODUCT(Benefit_Grid!$C26:$AU26/(F26+Benefit_Grid!$C$5:$AU$5)*(1/(1+Assumptions!$B$8))^Benefit_Grid!$C$5:$AU$5)</f>
        <v>30669.601653602633</v>
      </c>
      <c r="N26" s="24">
        <v>420095.87152099999</v>
      </c>
      <c r="O26" s="26">
        <f t="shared" si="2"/>
        <v>-1.9517028704285622E-7</v>
      </c>
    </row>
    <row r="27" spans="1:15" x14ac:dyDescent="0.3">
      <c r="A27" s="23" t="s">
        <v>86</v>
      </c>
      <c r="B27" s="14">
        <v>32897</v>
      </c>
      <c r="C27" s="14">
        <v>43891</v>
      </c>
      <c r="D27" s="24">
        <v>37600</v>
      </c>
      <c r="E27" s="25">
        <f>(Assumptions!$B$6-B27)/365.25</f>
        <v>36.180698151950722</v>
      </c>
      <c r="F27" s="25">
        <f>(Assumptions!$B$6-C27)/365.25</f>
        <v>6.0807665982203973</v>
      </c>
      <c r="G27" s="5">
        <f t="shared" si="0"/>
        <v>36</v>
      </c>
      <c r="H27" s="5">
        <f>Assumptions!$B$7-G27</f>
        <v>24</v>
      </c>
      <c r="I27" s="5">
        <f t="shared" si="1"/>
        <v>6</v>
      </c>
      <c r="J27" s="7">
        <f>MIN(15/26*D27*I27,Assumptions!$B$10)</f>
        <v>130153.84615384616</v>
      </c>
      <c r="K27" s="5">
        <f>IF(F27&gt;=Assumptions!$B$11,1,0)</f>
        <v>1</v>
      </c>
      <c r="L27" s="7">
        <f>SUMPRODUCT(Benefit_Grid!$C27:$AU27*(F27/(F27+Benefit_Grid!$C$5:$AU$5))*(1/(1+Assumptions!$B$8))^Benefit_Grid!$C$5:$AU$5)</f>
        <v>114777.00119869146</v>
      </c>
      <c r="M27" s="7">
        <f>SUMPRODUCT(Benefit_Grid!$C27:$AU27/(F27+Benefit_Grid!$C$5:$AU$5)*(1/(1+Assumptions!$B$8))^Benefit_Grid!$C$5:$AU$5)</f>
        <v>18875.416338506104</v>
      </c>
      <c r="N27" s="24">
        <v>114777.00119900001</v>
      </c>
      <c r="O27" s="26">
        <f t="shared" si="2"/>
        <v>-3.0854425858706236E-7</v>
      </c>
    </row>
    <row r="28" spans="1:15" x14ac:dyDescent="0.3">
      <c r="A28" s="23" t="s">
        <v>87</v>
      </c>
      <c r="B28" s="14">
        <v>28120</v>
      </c>
      <c r="C28" s="14">
        <v>36959</v>
      </c>
      <c r="D28" s="24">
        <v>107100</v>
      </c>
      <c r="E28" s="25">
        <f>(Assumptions!$B$6-B28)/365.25</f>
        <v>49.259411362080769</v>
      </c>
      <c r="F28" s="25">
        <f>(Assumptions!$B$6-C28)/365.25</f>
        <v>25.059548254620122</v>
      </c>
      <c r="G28" s="5">
        <f t="shared" si="0"/>
        <v>49</v>
      </c>
      <c r="H28" s="5">
        <f>Assumptions!$B$7-G28</f>
        <v>11</v>
      </c>
      <c r="I28" s="5">
        <f t="shared" si="1"/>
        <v>25</v>
      </c>
      <c r="J28" s="7">
        <f>MIN(15/26*D28*I28,Assumptions!$B$10)</f>
        <v>1544711.5384615383</v>
      </c>
      <c r="K28" s="5">
        <f>IF(F28&gt;=Assumptions!$B$11,1,0)</f>
        <v>1</v>
      </c>
      <c r="L28" s="7">
        <f>SUMPRODUCT(Benefit_Grid!$C28:$AU28*(F28/(F28+Benefit_Grid!$C$5:$AU$5))*(1/(1+Assumptions!$B$8))^Benefit_Grid!$C$5:$AU$5)</f>
        <v>770473.58645600686</v>
      </c>
      <c r="M28" s="7">
        <f>SUMPRODUCT(Benefit_Grid!$C28:$AU28/(F28+Benefit_Grid!$C$5:$AU$5)*(1/(1+Assumptions!$B$8))^Benefit_Grid!$C$5:$AU$5)</f>
        <v>30745.709325145472</v>
      </c>
      <c r="N28" s="24">
        <v>770473.58645599999</v>
      </c>
      <c r="O28" s="26">
        <f t="shared" si="2"/>
        <v>6.8685039877891541E-9</v>
      </c>
    </row>
    <row r="29" spans="1:15" x14ac:dyDescent="0.3">
      <c r="A29" s="23" t="s">
        <v>88</v>
      </c>
      <c r="B29" s="14">
        <v>31642</v>
      </c>
      <c r="C29" s="14">
        <v>43407</v>
      </c>
      <c r="D29" s="24">
        <v>63600</v>
      </c>
      <c r="E29" s="25">
        <f>(Assumptions!$B$6-B29)/365.25</f>
        <v>39.616700889801507</v>
      </c>
      <c r="F29" s="25">
        <f>(Assumptions!$B$6-C29)/365.25</f>
        <v>7.4058863791923342</v>
      </c>
      <c r="G29" s="5">
        <f t="shared" si="0"/>
        <v>39</v>
      </c>
      <c r="H29" s="5">
        <f>Assumptions!$B$7-G29</f>
        <v>21</v>
      </c>
      <c r="I29" s="5">
        <f t="shared" si="1"/>
        <v>7</v>
      </c>
      <c r="J29" s="7">
        <f>MIN(15/26*D29*I29,Assumptions!$B$10)</f>
        <v>256846.15384615381</v>
      </c>
      <c r="K29" s="5">
        <f>IF(F29&gt;=Assumptions!$B$11,1,0)</f>
        <v>1</v>
      </c>
      <c r="L29" s="7">
        <f>SUMPRODUCT(Benefit_Grid!$C29:$AU29*(F29/(F29+Benefit_Grid!$C$5:$AU$5))*(1/(1+Assumptions!$B$8))^Benefit_Grid!$C$5:$AU$5)</f>
        <v>195670.52434869684</v>
      </c>
      <c r="M29" s="7">
        <f>SUMPRODUCT(Benefit_Grid!$C29:$AU29/(F29+Benefit_Grid!$C$5:$AU$5)*(1/(1+Assumptions!$B$8))^Benefit_Grid!$C$5:$AU$5)</f>
        <v>26420.946032665997</v>
      </c>
      <c r="N29" s="24">
        <v>195670.52434900001</v>
      </c>
      <c r="O29" s="26">
        <f t="shared" si="2"/>
        <v>-3.0317460186779499E-7</v>
      </c>
    </row>
    <row r="30" spans="1:15" x14ac:dyDescent="0.3">
      <c r="A30" s="23" t="s">
        <v>89</v>
      </c>
      <c r="B30" s="14">
        <v>34730</v>
      </c>
      <c r="C30" s="14">
        <v>44614</v>
      </c>
      <c r="D30" s="24">
        <v>27200</v>
      </c>
      <c r="E30" s="25">
        <f>(Assumptions!$B$6-B30)/365.25</f>
        <v>31.162217659137578</v>
      </c>
      <c r="F30" s="25">
        <f>(Assumptions!$B$6-C30)/365.25</f>
        <v>4.1013004791238874</v>
      </c>
      <c r="G30" s="5">
        <f t="shared" si="0"/>
        <v>31</v>
      </c>
      <c r="H30" s="5">
        <f>Assumptions!$B$7-G30</f>
        <v>29</v>
      </c>
      <c r="I30" s="5">
        <f t="shared" si="1"/>
        <v>4</v>
      </c>
      <c r="J30" s="7">
        <f>MIN(15/26*D30*I30,Assumptions!$B$10)</f>
        <v>62769.230769230766</v>
      </c>
      <c r="K30" s="5">
        <f>IF(F30&gt;=Assumptions!$B$11,1,0)</f>
        <v>0</v>
      </c>
      <c r="L30" s="7">
        <f>SUMPRODUCT(Benefit_Grid!$C30:$AU30*(F30/(F30+Benefit_Grid!$C$5:$AU$5))*(1/(1+Assumptions!$B$8))^Benefit_Grid!$C$5:$AU$5)</f>
        <v>59733.382929572908</v>
      </c>
      <c r="M30" s="7">
        <f>SUMPRODUCT(Benefit_Grid!$C30:$AU30/(F30+Benefit_Grid!$C$5:$AU$5)*(1/(1+Assumptions!$B$8))^Benefit_Grid!$C$5:$AU$5)</f>
        <v>14564.498074116485</v>
      </c>
      <c r="N30" s="24">
        <v>59733.38293</v>
      </c>
      <c r="O30" s="26">
        <f t="shared" si="2"/>
        <v>-4.2709143599495292E-7</v>
      </c>
    </row>
    <row r="31" spans="1:15" x14ac:dyDescent="0.3">
      <c r="A31" s="23" t="s">
        <v>90</v>
      </c>
      <c r="B31" s="14">
        <v>31857</v>
      </c>
      <c r="C31" s="14">
        <v>42028</v>
      </c>
      <c r="D31" s="24">
        <v>63300</v>
      </c>
      <c r="E31" s="25">
        <f>(Assumptions!$B$6-B31)/365.25</f>
        <v>39.028062970568101</v>
      </c>
      <c r="F31" s="25">
        <f>(Assumptions!$B$6-C31)/365.25</f>
        <v>11.181382614647502</v>
      </c>
      <c r="G31" s="5">
        <f t="shared" si="0"/>
        <v>39</v>
      </c>
      <c r="H31" s="5">
        <f>Assumptions!$B$7-G31</f>
        <v>21</v>
      </c>
      <c r="I31" s="5">
        <f t="shared" si="1"/>
        <v>11</v>
      </c>
      <c r="J31" s="7">
        <f>MIN(15/26*D31*I31,Assumptions!$B$10)</f>
        <v>401711.53846153844</v>
      </c>
      <c r="K31" s="5">
        <f>IF(F31&gt;=Assumptions!$B$11,1,0)</f>
        <v>1</v>
      </c>
      <c r="L31" s="7">
        <f>SUMPRODUCT(Benefit_Grid!$C31:$AU31*(F31/(F31+Benefit_Grid!$C$5:$AU$5))*(1/(1+Assumptions!$B$8))^Benefit_Grid!$C$5:$AU$5)</f>
        <v>283226.54616605374</v>
      </c>
      <c r="M31" s="7">
        <f>SUMPRODUCT(Benefit_Grid!$C31:$AU31/(F31+Benefit_Grid!$C$5:$AU$5)*(1/(1+Assumptions!$B$8))^Benefit_Grid!$C$5:$AU$5)</f>
        <v>25330.190006648176</v>
      </c>
      <c r="N31" s="24">
        <v>283226.54616600001</v>
      </c>
      <c r="O31" s="26">
        <f t="shared" si="2"/>
        <v>5.3725671023130417E-8</v>
      </c>
    </row>
    <row r="32" spans="1:15" x14ac:dyDescent="0.3">
      <c r="A32" s="23" t="s">
        <v>91</v>
      </c>
      <c r="B32" s="14">
        <v>31935</v>
      </c>
      <c r="C32" s="14">
        <v>44927</v>
      </c>
      <c r="D32" s="24">
        <v>40000</v>
      </c>
      <c r="E32" s="25">
        <f>(Assumptions!$B$6-B32)/365.25</f>
        <v>38.814510609171798</v>
      </c>
      <c r="F32" s="25">
        <f>(Assumptions!$B$6-C32)/365.25</f>
        <v>3.2443531827515399</v>
      </c>
      <c r="G32" s="5">
        <f t="shared" si="0"/>
        <v>38</v>
      </c>
      <c r="H32" s="5">
        <f>Assumptions!$B$7-G32</f>
        <v>22</v>
      </c>
      <c r="I32" s="5">
        <f t="shared" si="1"/>
        <v>3</v>
      </c>
      <c r="J32" s="7">
        <f>MIN(15/26*D32*I32,Assumptions!$B$10)</f>
        <v>69230.76923076922</v>
      </c>
      <c r="K32" s="5">
        <f>IF(F32&gt;=Assumptions!$B$11,1,0)</f>
        <v>0</v>
      </c>
      <c r="L32" s="7">
        <f>SUMPRODUCT(Benefit_Grid!$C32:$AU32*(F32/(F32+Benefit_Grid!$C$5:$AU$5))*(1/(1+Assumptions!$B$8))^Benefit_Grid!$C$5:$AU$5)</f>
        <v>62380.071149409167</v>
      </c>
      <c r="M32" s="7">
        <f>SUMPRODUCT(Benefit_Grid!$C32:$AU32/(F32+Benefit_Grid!$C$5:$AU$5)*(1/(1+Assumptions!$B$8))^Benefit_Grid!$C$5:$AU$5)</f>
        <v>19227.275094786244</v>
      </c>
      <c r="N32" s="24">
        <v>62380.071149000003</v>
      </c>
      <c r="O32" s="26">
        <f t="shared" si="2"/>
        <v>4.0916347643360496E-7</v>
      </c>
    </row>
    <row r="33" spans="1:15" x14ac:dyDescent="0.3">
      <c r="A33" s="23" t="s">
        <v>92</v>
      </c>
      <c r="B33" s="14">
        <v>31484</v>
      </c>
      <c r="C33" s="14">
        <v>41253</v>
      </c>
      <c r="D33" s="24">
        <v>78100</v>
      </c>
      <c r="E33" s="25">
        <f>(Assumptions!$B$6-B33)/365.25</f>
        <v>40.049281314168375</v>
      </c>
      <c r="F33" s="25">
        <f>(Assumptions!$B$6-C33)/365.25</f>
        <v>13.30321697467488</v>
      </c>
      <c r="G33" s="5">
        <f t="shared" si="0"/>
        <v>40</v>
      </c>
      <c r="H33" s="5">
        <f>Assumptions!$B$7-G33</f>
        <v>20</v>
      </c>
      <c r="I33" s="5">
        <f t="shared" si="1"/>
        <v>13</v>
      </c>
      <c r="J33" s="7">
        <f>MIN(15/26*D33*I33,Assumptions!$B$10)</f>
        <v>585750</v>
      </c>
      <c r="K33" s="5">
        <f>IF(F33&gt;=Assumptions!$B$11,1,0)</f>
        <v>1</v>
      </c>
      <c r="L33" s="7">
        <f>SUMPRODUCT(Benefit_Grid!$C33:$AU33*(F33/(F33+Benefit_Grid!$C$5:$AU$5))*(1/(1+Assumptions!$B$8))^Benefit_Grid!$C$5:$AU$5)</f>
        <v>365078.47018496541</v>
      </c>
      <c r="M33" s="7">
        <f>SUMPRODUCT(Benefit_Grid!$C33:$AU33/(F33+Benefit_Grid!$C$5:$AU$5)*(1/(1+Assumptions!$B$8))^Benefit_Grid!$C$5:$AU$5)</f>
        <v>27442.871215282696</v>
      </c>
      <c r="N33" s="24">
        <v>365078.47018499998</v>
      </c>
      <c r="O33" s="26">
        <f t="shared" si="2"/>
        <v>-3.457535058259964E-8</v>
      </c>
    </row>
    <row r="34" spans="1:15" x14ac:dyDescent="0.3">
      <c r="A34" s="23" t="s">
        <v>93</v>
      </c>
      <c r="B34" s="14">
        <v>34410</v>
      </c>
      <c r="C34" s="14">
        <v>42211</v>
      </c>
      <c r="D34" s="24">
        <v>81800</v>
      </c>
      <c r="E34" s="25">
        <f>(Assumptions!$B$6-B34)/365.25</f>
        <v>32.038329911019851</v>
      </c>
      <c r="F34" s="25">
        <f>(Assumptions!$B$6-C34)/365.25</f>
        <v>10.680355920602327</v>
      </c>
      <c r="G34" s="5">
        <f t="shared" si="0"/>
        <v>32</v>
      </c>
      <c r="H34" s="5">
        <f>Assumptions!$B$7-G34</f>
        <v>28</v>
      </c>
      <c r="I34" s="5">
        <f t="shared" si="1"/>
        <v>11</v>
      </c>
      <c r="J34" s="7">
        <f>MIN(15/26*D34*I34,Assumptions!$B$10)</f>
        <v>519115.38461538457</v>
      </c>
      <c r="K34" s="5">
        <f>IF(F34&gt;=Assumptions!$B$11,1,0)</f>
        <v>1</v>
      </c>
      <c r="L34" s="7">
        <f>SUMPRODUCT(Benefit_Grid!$C34:$AU34*(F34/(F34+Benefit_Grid!$C$5:$AU$5))*(1/(1+Assumptions!$B$8))^Benefit_Grid!$C$5:$AU$5)</f>
        <v>381125.15987434943</v>
      </c>
      <c r="M34" s="7">
        <f>SUMPRODUCT(Benefit_Grid!$C34:$AU34/(F34+Benefit_Grid!$C$5:$AU$5)*(1/(1+Assumptions!$B$8))^Benefit_Grid!$C$5:$AU$5)</f>
        <v>35684.687168445576</v>
      </c>
      <c r="N34" s="24">
        <v>381125.159874</v>
      </c>
      <c r="O34" s="26">
        <f t="shared" si="2"/>
        <v>3.4942058846354485E-7</v>
      </c>
    </row>
    <row r="35" spans="1:15" x14ac:dyDescent="0.3">
      <c r="A35" s="23" t="s">
        <v>94</v>
      </c>
      <c r="B35" s="14">
        <v>34741</v>
      </c>
      <c r="C35" s="14">
        <v>44311</v>
      </c>
      <c r="D35" s="24">
        <v>34800</v>
      </c>
      <c r="E35" s="25">
        <f>(Assumptions!$B$6-B35)/365.25</f>
        <v>31.132101300479125</v>
      </c>
      <c r="F35" s="25">
        <f>(Assumptions!$B$6-C35)/365.25</f>
        <v>4.9308692676249146</v>
      </c>
      <c r="G35" s="5">
        <f t="shared" si="0"/>
        <v>31</v>
      </c>
      <c r="H35" s="5">
        <f>Assumptions!$B$7-G35</f>
        <v>29</v>
      </c>
      <c r="I35" s="5">
        <f t="shared" si="1"/>
        <v>5</v>
      </c>
      <c r="J35" s="7">
        <f>MIN(15/26*D35*I35,Assumptions!$B$10)</f>
        <v>100384.61538461538</v>
      </c>
      <c r="K35" s="5">
        <f>IF(F35&gt;=Assumptions!$B$11,1,0)</f>
        <v>0</v>
      </c>
      <c r="L35" s="7">
        <f>SUMPRODUCT(Benefit_Grid!$C35:$AU35*(F35/(F35+Benefit_Grid!$C$5:$AU$5))*(1/(1+Assumptions!$B$8))^Benefit_Grid!$C$5:$AU$5)</f>
        <v>89561.519000481683</v>
      </c>
      <c r="M35" s="7">
        <f>SUMPRODUCT(Benefit_Grid!$C35:$AU35/(F35+Benefit_Grid!$C$5:$AU$5)*(1/(1+Assumptions!$B$8))^Benefit_Grid!$C$5:$AU$5)</f>
        <v>18163.434100458602</v>
      </c>
      <c r="N35" s="24">
        <v>89561.519</v>
      </c>
      <c r="O35" s="26">
        <f t="shared" si="2"/>
        <v>4.8168294597417116E-7</v>
      </c>
    </row>
    <row r="36" spans="1:15" x14ac:dyDescent="0.3">
      <c r="A36" s="23" t="s">
        <v>95</v>
      </c>
      <c r="B36" s="14">
        <v>33902</v>
      </c>
      <c r="C36" s="14">
        <v>43013</v>
      </c>
      <c r="D36" s="24">
        <v>72300</v>
      </c>
      <c r="E36" s="25">
        <f>(Assumptions!$B$6-B36)/365.25</f>
        <v>33.429158110882959</v>
      </c>
      <c r="F36" s="25">
        <f>(Assumptions!$B$6-C36)/365.25</f>
        <v>8.4845995893223822</v>
      </c>
      <c r="G36" s="5">
        <f t="shared" si="0"/>
        <v>33</v>
      </c>
      <c r="H36" s="5">
        <f>Assumptions!$B$7-G36</f>
        <v>27</v>
      </c>
      <c r="I36" s="5">
        <f t="shared" si="1"/>
        <v>8</v>
      </c>
      <c r="J36" s="7">
        <f>MIN(15/26*D36*I36,Assumptions!$B$10)</f>
        <v>333692.30769230769</v>
      </c>
      <c r="K36" s="5">
        <f>IF(F36&gt;=Assumptions!$B$11,1,0)</f>
        <v>1</v>
      </c>
      <c r="L36" s="7">
        <f>SUMPRODUCT(Benefit_Grid!$C36:$AU36*(F36/(F36+Benefit_Grid!$C$5:$AU$5))*(1/(1+Assumptions!$B$8))^Benefit_Grid!$C$5:$AU$5)</f>
        <v>259067.29856667668</v>
      </c>
      <c r="M36" s="7">
        <f>SUMPRODUCT(Benefit_Grid!$C36:$AU36/(F36+Benefit_Grid!$C$5:$AU$5)*(1/(1+Assumptions!$B$8))^Benefit_Grid!$C$5:$AU$5)</f>
        <v>30533.827299605895</v>
      </c>
      <c r="N36" s="24">
        <v>259067.29856699999</v>
      </c>
      <c r="O36" s="26">
        <f t="shared" si="2"/>
        <v>-3.2331445254385471E-7</v>
      </c>
    </row>
    <row r="37" spans="1:15" x14ac:dyDescent="0.3">
      <c r="A37" s="23" t="s">
        <v>96</v>
      </c>
      <c r="B37" s="14">
        <v>31413</v>
      </c>
      <c r="C37" s="14">
        <v>44172</v>
      </c>
      <c r="D37" s="24">
        <v>35500</v>
      </c>
      <c r="E37" s="25">
        <f>(Assumptions!$B$6-B37)/365.25</f>
        <v>40.243668720054757</v>
      </c>
      <c r="F37" s="25">
        <f>(Assumptions!$B$6-C37)/365.25</f>
        <v>5.3114305270362765</v>
      </c>
      <c r="G37" s="5">
        <f t="shared" si="0"/>
        <v>40</v>
      </c>
      <c r="H37" s="5">
        <f>Assumptions!$B$7-G37</f>
        <v>20</v>
      </c>
      <c r="I37" s="5">
        <f t="shared" si="1"/>
        <v>5</v>
      </c>
      <c r="J37" s="7">
        <f>MIN(15/26*D37*I37,Assumptions!$B$10)</f>
        <v>102403.84615384616</v>
      </c>
      <c r="K37" s="5">
        <f>IF(F37&gt;=Assumptions!$B$11,1,0)</f>
        <v>1</v>
      </c>
      <c r="L37" s="7">
        <f>SUMPRODUCT(Benefit_Grid!$C37:$AU37*(F37/(F37+Benefit_Grid!$C$5:$AU$5))*(1/(1+Assumptions!$B$8))^Benefit_Grid!$C$5:$AU$5)</f>
        <v>110320.83067728725</v>
      </c>
      <c r="M37" s="7">
        <f>SUMPRODUCT(Benefit_Grid!$C37:$AU37/(F37+Benefit_Grid!$C$5:$AU$5)*(1/(1+Assumptions!$B$8))^Benefit_Grid!$C$5:$AU$5)</f>
        <v>20770.455363339774</v>
      </c>
      <c r="N37" s="24">
        <v>110320.83067700001</v>
      </c>
      <c r="O37" s="26">
        <f t="shared" si="2"/>
        <v>2.8724025469273329E-7</v>
      </c>
    </row>
    <row r="38" spans="1:15" x14ac:dyDescent="0.3">
      <c r="A38" s="23" t="s">
        <v>97</v>
      </c>
      <c r="B38" s="14">
        <v>27205</v>
      </c>
      <c r="C38" s="14">
        <v>39214</v>
      </c>
      <c r="D38" s="24">
        <v>166200</v>
      </c>
      <c r="E38" s="25">
        <f>(Assumptions!$B$6-B38)/365.25</f>
        <v>51.76454483230664</v>
      </c>
      <c r="F38" s="25">
        <f>(Assumptions!$B$6-C38)/365.25</f>
        <v>18.885694729637233</v>
      </c>
      <c r="G38" s="5">
        <f t="shared" ref="G38:G69" si="3">INT(E38)</f>
        <v>51</v>
      </c>
      <c r="H38" s="5">
        <f>Assumptions!$B$7-G38</f>
        <v>9</v>
      </c>
      <c r="I38" s="5">
        <f t="shared" ref="I38:I69" si="4">INT(F38)+IF(F38-INT(F38)&gt;0.5,1,0)</f>
        <v>19</v>
      </c>
      <c r="J38" s="7">
        <f>MIN(15/26*D38*I38,Assumptions!$B$10)</f>
        <v>1821807.692307692</v>
      </c>
      <c r="K38" s="5">
        <f>IF(F38&gt;=Assumptions!$B$11,1,0)</f>
        <v>1</v>
      </c>
      <c r="L38" s="7">
        <f>SUMPRODUCT(Benefit_Grid!$C38:$AU38*(F38/(F38+Benefit_Grid!$C$5:$AU$5))*(1/(1+Assumptions!$B$8))^Benefit_Grid!$C$5:$AU$5)</f>
        <v>818756.5288071211</v>
      </c>
      <c r="M38" s="7">
        <f>SUMPRODUCT(Benefit_Grid!$C38:$AU38/(F38+Benefit_Grid!$C$5:$AU$5)*(1/(1+Assumptions!$B$8))^Benefit_Grid!$C$5:$AU$5)</f>
        <v>43353.265025630761</v>
      </c>
      <c r="N38" s="24">
        <v>818756.52880700002</v>
      </c>
      <c r="O38" s="26">
        <f t="shared" ref="O38:O69" si="5">L38-N38</f>
        <v>1.2107193470001221E-7</v>
      </c>
    </row>
    <row r="39" spans="1:15" x14ac:dyDescent="0.3">
      <c r="A39" s="23" t="s">
        <v>98</v>
      </c>
      <c r="B39" s="14">
        <v>34858</v>
      </c>
      <c r="C39" s="14">
        <v>44846</v>
      </c>
      <c r="D39" s="24">
        <v>23400</v>
      </c>
      <c r="E39" s="25">
        <f>(Assumptions!$B$6-B39)/365.25</f>
        <v>30.811772758384667</v>
      </c>
      <c r="F39" s="25">
        <f>(Assumptions!$B$6-C39)/365.25</f>
        <v>3.4661190965092401</v>
      </c>
      <c r="G39" s="5">
        <f t="shared" si="3"/>
        <v>30</v>
      </c>
      <c r="H39" s="5">
        <f>Assumptions!$B$7-G39</f>
        <v>30</v>
      </c>
      <c r="I39" s="5">
        <f t="shared" si="4"/>
        <v>3</v>
      </c>
      <c r="J39" s="7">
        <f>MIN(15/26*D39*I39,Assumptions!$B$10)</f>
        <v>40499.999999999993</v>
      </c>
      <c r="K39" s="5">
        <f>IF(F39&gt;=Assumptions!$B$11,1,0)</f>
        <v>0</v>
      </c>
      <c r="L39" s="7">
        <f>SUMPRODUCT(Benefit_Grid!$C39:$AU39*(F39/(F39+Benefit_Grid!$C$5:$AU$5))*(1/(1+Assumptions!$B$8))^Benefit_Grid!$C$5:$AU$5)</f>
        <v>38085.208496373125</v>
      </c>
      <c r="M39" s="7">
        <f>SUMPRODUCT(Benefit_Grid!$C39:$AU39/(F39+Benefit_Grid!$C$5:$AU$5)*(1/(1+Assumptions!$B$8))^Benefit_Grid!$C$5:$AU$5)</f>
        <v>10987.853399131349</v>
      </c>
      <c r="N39" s="24">
        <v>38085.208495999999</v>
      </c>
      <c r="O39" s="26">
        <f t="shared" si="5"/>
        <v>3.7312565837055445E-7</v>
      </c>
    </row>
    <row r="40" spans="1:15" x14ac:dyDescent="0.3">
      <c r="A40" s="23" t="s">
        <v>99</v>
      </c>
      <c r="B40" s="14">
        <v>33980</v>
      </c>
      <c r="C40" s="14">
        <v>44711</v>
      </c>
      <c r="D40" s="24">
        <v>24200</v>
      </c>
      <c r="E40" s="25">
        <f>(Assumptions!$B$6-B40)/365.25</f>
        <v>33.215605749486656</v>
      </c>
      <c r="F40" s="25">
        <f>(Assumptions!$B$6-C40)/365.25</f>
        <v>3.8357289527720737</v>
      </c>
      <c r="G40" s="5">
        <f t="shared" si="3"/>
        <v>33</v>
      </c>
      <c r="H40" s="5">
        <f>Assumptions!$B$7-G40</f>
        <v>27</v>
      </c>
      <c r="I40" s="5">
        <f t="shared" si="4"/>
        <v>4</v>
      </c>
      <c r="J40" s="7">
        <f>MIN(15/26*D40*I40,Assumptions!$B$10)</f>
        <v>55846.153846153844</v>
      </c>
      <c r="K40" s="5">
        <f>IF(F40&gt;=Assumptions!$B$11,1,0)</f>
        <v>0</v>
      </c>
      <c r="L40" s="7">
        <f>SUMPRODUCT(Benefit_Grid!$C40:$AU40*(F40/(F40+Benefit_Grid!$C$5:$AU$5))*(1/(1+Assumptions!$B$8))^Benefit_Grid!$C$5:$AU$5)</f>
        <v>46684.661408961059</v>
      </c>
      <c r="M40" s="7">
        <f>SUMPRODUCT(Benefit_Grid!$C40:$AU40/(F40+Benefit_Grid!$C$5:$AU$5)*(1/(1+Assumptions!$B$8))^Benefit_Grid!$C$5:$AU$5)</f>
        <v>12171.001127496809</v>
      </c>
      <c r="N40" s="24">
        <v>46684.661409</v>
      </c>
      <c r="O40" s="26">
        <f t="shared" si="5"/>
        <v>-3.8940925151109695E-8</v>
      </c>
    </row>
    <row r="41" spans="1:15" x14ac:dyDescent="0.3">
      <c r="A41" s="23" t="s">
        <v>100</v>
      </c>
      <c r="B41" s="14">
        <v>35867</v>
      </c>
      <c r="C41" s="14">
        <v>44439</v>
      </c>
      <c r="D41" s="24">
        <v>64700</v>
      </c>
      <c r="E41" s="25">
        <f>(Assumptions!$B$6-B41)/365.25</f>
        <v>28.049281314168379</v>
      </c>
      <c r="F41" s="25">
        <f>(Assumptions!$B$6-C41)/365.25</f>
        <v>4.5804243668720055</v>
      </c>
      <c r="G41" s="5">
        <f t="shared" si="3"/>
        <v>28</v>
      </c>
      <c r="H41" s="5">
        <f>Assumptions!$B$7-G41</f>
        <v>32</v>
      </c>
      <c r="I41" s="5">
        <f t="shared" si="4"/>
        <v>5</v>
      </c>
      <c r="J41" s="7">
        <f>MIN(15/26*D41*I41,Assumptions!$B$10)</f>
        <v>186634.61538461535</v>
      </c>
      <c r="K41" s="5">
        <f>IF(F41&gt;=Assumptions!$B$11,1,0)</f>
        <v>0</v>
      </c>
      <c r="L41" s="7">
        <f>SUMPRODUCT(Benefit_Grid!$C41:$AU41*(F41/(F41+Benefit_Grid!$C$5:$AU$5))*(1/(1+Assumptions!$B$8))^Benefit_Grid!$C$5:$AU$5)</f>
        <v>157130.68903872912</v>
      </c>
      <c r="M41" s="7">
        <f>SUMPRODUCT(Benefit_Grid!$C41:$AU41/(F41+Benefit_Grid!$C$5:$AU$5)*(1/(1+Assumptions!$B$8))^Benefit_Grid!$C$5:$AU$5)</f>
        <v>34304.832140702805</v>
      </c>
      <c r="N41" s="24">
        <v>157130.68903899999</v>
      </c>
      <c r="O41" s="26">
        <f t="shared" si="5"/>
        <v>-2.7086935006082058E-7</v>
      </c>
    </row>
    <row r="42" spans="1:15" x14ac:dyDescent="0.3">
      <c r="A42" s="23" t="s">
        <v>101</v>
      </c>
      <c r="B42" s="14">
        <v>35741</v>
      </c>
      <c r="C42" s="14">
        <v>44397</v>
      </c>
      <c r="D42" s="24">
        <v>27100</v>
      </c>
      <c r="E42" s="25">
        <f>(Assumptions!$B$6-B42)/365.25</f>
        <v>28.394250513347021</v>
      </c>
      <c r="F42" s="25">
        <f>(Assumptions!$B$6-C42)/365.25</f>
        <v>4.6954140999315541</v>
      </c>
      <c r="G42" s="5">
        <f t="shared" si="3"/>
        <v>28</v>
      </c>
      <c r="H42" s="5">
        <f>Assumptions!$B$7-G42</f>
        <v>32</v>
      </c>
      <c r="I42" s="5">
        <f t="shared" si="4"/>
        <v>5</v>
      </c>
      <c r="J42" s="7">
        <f>MIN(15/26*D42*I42,Assumptions!$B$10)</f>
        <v>78173.076923076907</v>
      </c>
      <c r="K42" s="5">
        <f>IF(F42&gt;=Assumptions!$B$11,1,0)</f>
        <v>0</v>
      </c>
      <c r="L42" s="7">
        <f>SUMPRODUCT(Benefit_Grid!$C42:$AU42*(F42/(F42+Benefit_Grid!$C$5:$AU$5))*(1/(1+Assumptions!$B$8))^Benefit_Grid!$C$5:$AU$5)</f>
        <v>72053.338684472154</v>
      </c>
      <c r="M42" s="7">
        <f>SUMPRODUCT(Benefit_Grid!$C42:$AU42/(F42+Benefit_Grid!$C$5:$AU$5)*(1/(1+Assumptions!$B$8))^Benefit_Grid!$C$5:$AU$5)</f>
        <v>15345.470527407266</v>
      </c>
      <c r="N42" s="24">
        <v>72053.338684000002</v>
      </c>
      <c r="O42" s="26">
        <f t="shared" si="5"/>
        <v>4.7215144149959087E-7</v>
      </c>
    </row>
    <row r="43" spans="1:15" x14ac:dyDescent="0.3">
      <c r="A43" s="23" t="s">
        <v>102</v>
      </c>
      <c r="B43" s="14">
        <v>28196</v>
      </c>
      <c r="C43" s="14">
        <v>37845</v>
      </c>
      <c r="D43" s="24">
        <v>250200</v>
      </c>
      <c r="E43" s="25">
        <f>(Assumptions!$B$6-B43)/365.25</f>
        <v>49.051334702258728</v>
      </c>
      <c r="F43" s="25">
        <f>(Assumptions!$B$6-C43)/365.25</f>
        <v>22.633812457221083</v>
      </c>
      <c r="G43" s="5">
        <f t="shared" si="3"/>
        <v>49</v>
      </c>
      <c r="H43" s="5">
        <f>Assumptions!$B$7-G43</f>
        <v>11</v>
      </c>
      <c r="I43" s="5">
        <f t="shared" si="4"/>
        <v>23</v>
      </c>
      <c r="J43" s="7">
        <f>MIN(15/26*D43*I43,Assumptions!$B$10)</f>
        <v>2000000</v>
      </c>
      <c r="K43" s="5">
        <f>IF(F43&gt;=Assumptions!$B$11,1,0)</f>
        <v>1</v>
      </c>
      <c r="L43" s="7">
        <f>SUMPRODUCT(Benefit_Grid!$C43:$AU43*(F43/(F43+Benefit_Grid!$C$5:$AU$5))*(1/(1+Assumptions!$B$8))^Benefit_Grid!$C$5:$AU$5)</f>
        <v>758968.6054108293</v>
      </c>
      <c r="M43" s="7">
        <f>SUMPRODUCT(Benefit_Grid!$C43:$AU43/(F43+Benefit_Grid!$C$5:$AU$5)*(1/(1+Assumptions!$B$8))^Benefit_Grid!$C$5:$AU$5)</f>
        <v>33532.512776860451</v>
      </c>
      <c r="N43" s="24">
        <v>758968.60541099997</v>
      </c>
      <c r="O43" s="26">
        <f t="shared" si="5"/>
        <v>-1.7066486179828644E-7</v>
      </c>
    </row>
    <row r="44" spans="1:15" x14ac:dyDescent="0.3">
      <c r="A44" s="23" t="s">
        <v>103</v>
      </c>
      <c r="B44" s="14">
        <v>31367</v>
      </c>
      <c r="C44" s="14">
        <v>39829</v>
      </c>
      <c r="D44" s="24">
        <v>93200</v>
      </c>
      <c r="E44" s="25">
        <f>(Assumptions!$B$6-B44)/365.25</f>
        <v>40.369609856262834</v>
      </c>
      <c r="F44" s="25">
        <f>(Assumptions!$B$6-C44)/365.25</f>
        <v>17.201916495550993</v>
      </c>
      <c r="G44" s="5">
        <f t="shared" si="3"/>
        <v>40</v>
      </c>
      <c r="H44" s="5">
        <f>Assumptions!$B$7-G44</f>
        <v>20</v>
      </c>
      <c r="I44" s="5">
        <f t="shared" si="4"/>
        <v>17</v>
      </c>
      <c r="J44" s="7">
        <f>MIN(15/26*D44*I44,Assumptions!$B$10)</f>
        <v>914076.92307692301</v>
      </c>
      <c r="K44" s="5">
        <f>IF(F44&gt;=Assumptions!$B$11,1,0)</f>
        <v>1</v>
      </c>
      <c r="L44" s="7">
        <f>SUMPRODUCT(Benefit_Grid!$C44:$AU44*(F44/(F44+Benefit_Grid!$C$5:$AU$5))*(1/(1+Assumptions!$B$8))^Benefit_Grid!$C$5:$AU$5)</f>
        <v>487295.72654368228</v>
      </c>
      <c r="M44" s="7">
        <f>SUMPRODUCT(Benefit_Grid!$C44:$AU44/(F44+Benefit_Grid!$C$5:$AU$5)*(1/(1+Assumptions!$B$8))^Benefit_Grid!$C$5:$AU$5)</f>
        <v>28327.990469533648</v>
      </c>
      <c r="N44" s="24">
        <v>487295.72654399998</v>
      </c>
      <c r="O44" s="26">
        <f t="shared" si="5"/>
        <v>-3.1769741326570511E-7</v>
      </c>
    </row>
    <row r="45" spans="1:15" x14ac:dyDescent="0.3">
      <c r="A45" s="23" t="s">
        <v>104</v>
      </c>
      <c r="B45" s="14">
        <v>35107</v>
      </c>
      <c r="C45" s="14">
        <v>45292</v>
      </c>
      <c r="D45" s="24">
        <v>28900</v>
      </c>
      <c r="E45" s="25">
        <f>(Assumptions!$B$6-B45)/365.25</f>
        <v>30.130047912388775</v>
      </c>
      <c r="F45" s="25">
        <f>(Assumptions!$B$6-C45)/365.25</f>
        <v>2.2450376454483232</v>
      </c>
      <c r="G45" s="5">
        <f t="shared" si="3"/>
        <v>30</v>
      </c>
      <c r="H45" s="5">
        <f>Assumptions!$B$7-G45</f>
        <v>30</v>
      </c>
      <c r="I45" s="5">
        <f t="shared" si="4"/>
        <v>2</v>
      </c>
      <c r="J45" s="7">
        <f>MIN(15/26*D45*I45,Assumptions!$B$10)</f>
        <v>33346.153846153844</v>
      </c>
      <c r="K45" s="5">
        <f>IF(F45&gt;=Assumptions!$B$11,1,0)</f>
        <v>0</v>
      </c>
      <c r="L45" s="7">
        <f>SUMPRODUCT(Benefit_Grid!$C45:$AU45*(F45/(F45+Benefit_Grid!$C$5:$AU$5))*(1/(1+Assumptions!$B$8))^Benefit_Grid!$C$5:$AU$5)</f>
        <v>26607.93466296621</v>
      </c>
      <c r="M45" s="7">
        <f>SUMPRODUCT(Benefit_Grid!$C45:$AU45/(F45+Benefit_Grid!$C$5:$AU$5)*(1/(1+Assumptions!$B$8))^Benefit_Grid!$C$5:$AU$5)</f>
        <v>11851.887970302934</v>
      </c>
      <c r="N45" s="24">
        <v>26607.934663</v>
      </c>
      <c r="O45" s="26">
        <f t="shared" si="5"/>
        <v>-3.378954716026783E-8</v>
      </c>
    </row>
    <row r="46" spans="1:15" x14ac:dyDescent="0.3">
      <c r="A46" s="23" t="s">
        <v>105</v>
      </c>
      <c r="B46" s="14">
        <v>34678</v>
      </c>
      <c r="C46" s="14">
        <v>45275</v>
      </c>
      <c r="D46" s="24">
        <v>18500</v>
      </c>
      <c r="E46" s="25">
        <f>(Assumptions!$B$6-B46)/365.25</f>
        <v>31.304585900068446</v>
      </c>
      <c r="F46" s="25">
        <f>(Assumptions!$B$6-C46)/365.25</f>
        <v>2.2915811088295688</v>
      </c>
      <c r="G46" s="5">
        <f t="shared" si="3"/>
        <v>31</v>
      </c>
      <c r="H46" s="5">
        <f>Assumptions!$B$7-G46</f>
        <v>29</v>
      </c>
      <c r="I46" s="5">
        <f t="shared" si="4"/>
        <v>2</v>
      </c>
      <c r="J46" s="7">
        <f>MIN(15/26*D46*I46,Assumptions!$B$10)</f>
        <v>21346.153846153844</v>
      </c>
      <c r="K46" s="5">
        <f>IF(F46&gt;=Assumptions!$B$11,1,0)</f>
        <v>0</v>
      </c>
      <c r="L46" s="7">
        <f>SUMPRODUCT(Benefit_Grid!$C46:$AU46*(F46/(F46+Benefit_Grid!$C$5:$AU$5))*(1/(1+Assumptions!$B$8))^Benefit_Grid!$C$5:$AU$5)</f>
        <v>19172.374489079084</v>
      </c>
      <c r="M46" s="7">
        <f>SUMPRODUCT(Benefit_Grid!$C46:$AU46/(F46+Benefit_Grid!$C$5:$AU$5)*(1/(1+Assumptions!$B$8))^Benefit_Grid!$C$5:$AU$5)</f>
        <v>8366.4394051805684</v>
      </c>
      <c r="N46" s="24">
        <v>19172.374489000002</v>
      </c>
      <c r="O46" s="26">
        <f t="shared" si="5"/>
        <v>7.9082383308559656E-8</v>
      </c>
    </row>
    <row r="47" spans="1:15" x14ac:dyDescent="0.3">
      <c r="A47" s="23" t="s">
        <v>106</v>
      </c>
      <c r="B47" s="14">
        <v>27008</v>
      </c>
      <c r="C47" s="14">
        <v>34867</v>
      </c>
      <c r="D47" s="24">
        <v>300000</v>
      </c>
      <c r="E47" s="25">
        <f>(Assumptions!$B$6-B47)/365.25</f>
        <v>52.303901437371664</v>
      </c>
      <c r="F47" s="25">
        <f>(Assumptions!$B$6-C47)/365.25</f>
        <v>30.787132101300479</v>
      </c>
      <c r="G47" s="5">
        <f t="shared" si="3"/>
        <v>52</v>
      </c>
      <c r="H47" s="5">
        <f>Assumptions!$B$7-G47</f>
        <v>8</v>
      </c>
      <c r="I47" s="5">
        <f t="shared" si="4"/>
        <v>31</v>
      </c>
      <c r="J47" s="7">
        <f>MIN(15/26*D47*I47,Assumptions!$B$10)</f>
        <v>2000000</v>
      </c>
      <c r="K47" s="5">
        <f>IF(F47&gt;=Assumptions!$B$11,1,0)</f>
        <v>1</v>
      </c>
      <c r="L47" s="7">
        <f>SUMPRODUCT(Benefit_Grid!$C47:$AU47*(F47/(F47+Benefit_Grid!$C$5:$AU$5))*(1/(1+Assumptions!$B$8))^Benefit_Grid!$C$5:$AU$5)</f>
        <v>987612.52393773303</v>
      </c>
      <c r="M47" s="7">
        <f>SUMPRODUCT(Benefit_Grid!$C47:$AU47/(F47+Benefit_Grid!$C$5:$AU$5)*(1/(1+Assumptions!$B$8))^Benefit_Grid!$C$5:$AU$5)</f>
        <v>32078.74382999173</v>
      </c>
      <c r="N47" s="24">
        <v>987612.52393799997</v>
      </c>
      <c r="O47" s="26">
        <f t="shared" si="5"/>
        <v>-2.6694033294916153E-7</v>
      </c>
    </row>
    <row r="48" spans="1:15" x14ac:dyDescent="0.3">
      <c r="A48" s="23" t="s">
        <v>107</v>
      </c>
      <c r="B48" s="14">
        <v>34917</v>
      </c>
      <c r="C48" s="14">
        <v>43762</v>
      </c>
      <c r="D48" s="24">
        <v>37500</v>
      </c>
      <c r="E48" s="25">
        <f>(Assumptions!$B$6-B48)/365.25</f>
        <v>30.650239561943874</v>
      </c>
      <c r="F48" s="25">
        <f>(Assumptions!$B$6-C48)/365.25</f>
        <v>6.4339493497604376</v>
      </c>
      <c r="G48" s="5">
        <f t="shared" si="3"/>
        <v>30</v>
      </c>
      <c r="H48" s="5">
        <f>Assumptions!$B$7-G48</f>
        <v>30</v>
      </c>
      <c r="I48" s="5">
        <f t="shared" si="4"/>
        <v>6</v>
      </c>
      <c r="J48" s="7">
        <f>MIN(15/26*D48*I48,Assumptions!$B$10)</f>
        <v>129807.6923076923</v>
      </c>
      <c r="K48" s="5">
        <f>IF(F48&gt;=Assumptions!$B$11,1,0)</f>
        <v>1</v>
      </c>
      <c r="L48" s="7">
        <f>SUMPRODUCT(Benefit_Grid!$C48:$AU48*(F48/(F48+Benefit_Grid!$C$5:$AU$5))*(1/(1+Assumptions!$B$8))^Benefit_Grid!$C$5:$AU$5)</f>
        <v>119850.2338600513</v>
      </c>
      <c r="M48" s="7">
        <f>SUMPRODUCT(Benefit_Grid!$C48:$AU48/(F48+Benefit_Grid!$C$5:$AU$5)*(1/(1+Assumptions!$B$8))^Benefit_Grid!$C$5:$AU$5)</f>
        <v>18627.786347822861</v>
      </c>
      <c r="N48" s="24">
        <v>119850.23385999999</v>
      </c>
      <c r="O48" s="26">
        <f t="shared" si="5"/>
        <v>5.1310053095221519E-8</v>
      </c>
    </row>
    <row r="49" spans="1:15" x14ac:dyDescent="0.3">
      <c r="A49" s="23" t="s">
        <v>108</v>
      </c>
      <c r="B49" s="14">
        <v>27748</v>
      </c>
      <c r="C49" s="14">
        <v>35877</v>
      </c>
      <c r="D49" s="24">
        <v>300000</v>
      </c>
      <c r="E49" s="25">
        <f>(Assumptions!$B$6-B49)/365.25</f>
        <v>50.277891854893909</v>
      </c>
      <c r="F49" s="25">
        <f>(Assumptions!$B$6-C49)/365.25</f>
        <v>28.021902806297057</v>
      </c>
      <c r="G49" s="5">
        <f t="shared" si="3"/>
        <v>50</v>
      </c>
      <c r="H49" s="5">
        <f>Assumptions!$B$7-G49</f>
        <v>10</v>
      </c>
      <c r="I49" s="5">
        <f t="shared" si="4"/>
        <v>28</v>
      </c>
      <c r="J49" s="7">
        <f>MIN(15/26*D49*I49,Assumptions!$B$10)</f>
        <v>2000000</v>
      </c>
      <c r="K49" s="5">
        <f>IF(F49&gt;=Assumptions!$B$11,1,0)</f>
        <v>1</v>
      </c>
      <c r="L49" s="7">
        <f>SUMPRODUCT(Benefit_Grid!$C49:$AU49*(F49/(F49+Benefit_Grid!$C$5:$AU$5))*(1/(1+Assumptions!$B$8))^Benefit_Grid!$C$5:$AU$5)</f>
        <v>842915.65366305411</v>
      </c>
      <c r="M49" s="7">
        <f>SUMPRODUCT(Benefit_Grid!$C49:$AU49/(F49+Benefit_Grid!$C$5:$AU$5)*(1/(1+Assumptions!$B$8))^Benefit_Grid!$C$5:$AU$5)</f>
        <v>30080.600146598001</v>
      </c>
      <c r="N49" s="24">
        <v>842915.65366299998</v>
      </c>
      <c r="O49" s="26">
        <f t="shared" si="5"/>
        <v>5.4133124649524689E-8</v>
      </c>
    </row>
    <row r="50" spans="1:15" x14ac:dyDescent="0.3">
      <c r="A50" s="23" t="s">
        <v>109</v>
      </c>
      <c r="B50" s="14">
        <v>29780</v>
      </c>
      <c r="C50" s="14">
        <v>39290</v>
      </c>
      <c r="D50" s="24">
        <v>146500</v>
      </c>
      <c r="E50" s="25">
        <f>(Assumptions!$B$6-B50)/365.25</f>
        <v>44.714579055441476</v>
      </c>
      <c r="F50" s="25">
        <f>(Assumptions!$B$6-C50)/365.25</f>
        <v>18.677618069815196</v>
      </c>
      <c r="G50" s="5">
        <f t="shared" si="3"/>
        <v>44</v>
      </c>
      <c r="H50" s="5">
        <f>Assumptions!$B$7-G50</f>
        <v>16</v>
      </c>
      <c r="I50" s="5">
        <f t="shared" si="4"/>
        <v>19</v>
      </c>
      <c r="J50" s="7">
        <f>MIN(15/26*D50*I50,Assumptions!$B$10)</f>
        <v>1605865.3846153845</v>
      </c>
      <c r="K50" s="5">
        <f>IF(F50&gt;=Assumptions!$B$11,1,0)</f>
        <v>1</v>
      </c>
      <c r="L50" s="7">
        <f>SUMPRODUCT(Benefit_Grid!$C50:$AU50*(F50/(F50+Benefit_Grid!$C$5:$AU$5))*(1/(1+Assumptions!$B$8))^Benefit_Grid!$C$5:$AU$5)</f>
        <v>599507.31357787258</v>
      </c>
      <c r="M50" s="7">
        <f>SUMPRODUCT(Benefit_Grid!$C50:$AU50/(F50+Benefit_Grid!$C$5:$AU$5)*(1/(1+Assumptions!$B$8))^Benefit_Grid!$C$5:$AU$5)</f>
        <v>32097.632114382577</v>
      </c>
      <c r="N50" s="24">
        <v>599507.31357799994</v>
      </c>
      <c r="O50" s="26">
        <f t="shared" si="5"/>
        <v>-1.2735836207866669E-7</v>
      </c>
    </row>
    <row r="51" spans="1:15" x14ac:dyDescent="0.3">
      <c r="A51" s="23" t="s">
        <v>110</v>
      </c>
      <c r="B51" s="14">
        <v>29248</v>
      </c>
      <c r="C51" s="14">
        <v>43000</v>
      </c>
      <c r="D51" s="24">
        <v>47100</v>
      </c>
      <c r="E51" s="25">
        <f>(Assumptions!$B$6-B51)/365.25</f>
        <v>46.171115674195754</v>
      </c>
      <c r="F51" s="25">
        <f>(Assumptions!$B$6-C51)/365.25</f>
        <v>8.5201916495551</v>
      </c>
      <c r="G51" s="5">
        <f t="shared" si="3"/>
        <v>46</v>
      </c>
      <c r="H51" s="5">
        <f>Assumptions!$B$7-G51</f>
        <v>14</v>
      </c>
      <c r="I51" s="5">
        <f t="shared" si="4"/>
        <v>9</v>
      </c>
      <c r="J51" s="7">
        <f>MIN(15/26*D51*I51,Assumptions!$B$10)</f>
        <v>244557.69230769231</v>
      </c>
      <c r="K51" s="5">
        <f>IF(F51&gt;=Assumptions!$B$11,1,0)</f>
        <v>1</v>
      </c>
      <c r="L51" s="7">
        <f>SUMPRODUCT(Benefit_Grid!$C51:$AU51*(F51/(F51+Benefit_Grid!$C$5:$AU$5))*(1/(1+Assumptions!$B$8))^Benefit_Grid!$C$5:$AU$5)</f>
        <v>264966.03775443608</v>
      </c>
      <c r="M51" s="7">
        <f>SUMPRODUCT(Benefit_Grid!$C51:$AU51/(F51+Benefit_Grid!$C$5:$AU$5)*(1/(1+Assumptions!$B$8))^Benefit_Grid!$C$5:$AU$5)</f>
        <v>31098.600671532062</v>
      </c>
      <c r="N51" s="24">
        <v>264966.03775399999</v>
      </c>
      <c r="O51" s="26">
        <f t="shared" si="5"/>
        <v>4.3609179556369781E-7</v>
      </c>
    </row>
    <row r="52" spans="1:15" x14ac:dyDescent="0.3">
      <c r="A52" s="23" t="s">
        <v>111</v>
      </c>
      <c r="B52" s="14">
        <v>30634</v>
      </c>
      <c r="C52" s="14">
        <v>38798</v>
      </c>
      <c r="D52" s="24">
        <v>153200</v>
      </c>
      <c r="E52" s="25">
        <f>(Assumptions!$B$6-B52)/365.25</f>
        <v>42.376454483230667</v>
      </c>
      <c r="F52" s="25">
        <f>(Assumptions!$B$6-C52)/365.25</f>
        <v>20.024640657084188</v>
      </c>
      <c r="G52" s="5">
        <f t="shared" si="3"/>
        <v>42</v>
      </c>
      <c r="H52" s="5">
        <f>Assumptions!$B$7-G52</f>
        <v>18</v>
      </c>
      <c r="I52" s="5">
        <f t="shared" si="4"/>
        <v>20</v>
      </c>
      <c r="J52" s="7">
        <f>MIN(15/26*D52*I52,Assumptions!$B$10)</f>
        <v>1767692.3076923075</v>
      </c>
      <c r="K52" s="5">
        <f>IF(F52&gt;=Assumptions!$B$11,1,0)</f>
        <v>1</v>
      </c>
      <c r="L52" s="7">
        <f>SUMPRODUCT(Benefit_Grid!$C52:$AU52*(F52/(F52+Benefit_Grid!$C$5:$AU$5))*(1/(1+Assumptions!$B$8))^Benefit_Grid!$C$5:$AU$5)</f>
        <v>623796.00473460846</v>
      </c>
      <c r="M52" s="7">
        <f>SUMPRODUCT(Benefit_Grid!$C52:$AU52/(F52+Benefit_Grid!$C$5:$AU$5)*(1/(1+Assumptions!$B$8))^Benefit_Grid!$C$5:$AU$5)</f>
        <v>31151.420663018282</v>
      </c>
      <c r="N52" s="24">
        <v>623796.00473499997</v>
      </c>
      <c r="O52" s="26">
        <f t="shared" si="5"/>
        <v>-3.9150472730398178E-7</v>
      </c>
    </row>
    <row r="53" spans="1:15" x14ac:dyDescent="0.3">
      <c r="A53" s="23" t="s">
        <v>112</v>
      </c>
      <c r="B53" s="14">
        <v>35292</v>
      </c>
      <c r="C53" s="14">
        <v>44683</v>
      </c>
      <c r="D53" s="24">
        <v>57900</v>
      </c>
      <c r="E53" s="25">
        <f>(Assumptions!$B$6-B53)/365.25</f>
        <v>29.623545516769337</v>
      </c>
      <c r="F53" s="25">
        <f>(Assumptions!$B$6-C53)/365.25</f>
        <v>3.9123887748117729</v>
      </c>
      <c r="G53" s="5">
        <f t="shared" si="3"/>
        <v>29</v>
      </c>
      <c r="H53" s="5">
        <f>Assumptions!$B$7-G53</f>
        <v>31</v>
      </c>
      <c r="I53" s="5">
        <f t="shared" si="4"/>
        <v>4</v>
      </c>
      <c r="J53" s="7">
        <f>MIN(15/26*D53*I53,Assumptions!$B$10)</f>
        <v>133615.3846153846</v>
      </c>
      <c r="K53" s="5">
        <f>IF(F53&gt;=Assumptions!$B$11,1,0)</f>
        <v>0</v>
      </c>
      <c r="L53" s="7">
        <f>SUMPRODUCT(Benefit_Grid!$C53:$AU53*(F53/(F53+Benefit_Grid!$C$5:$AU$5))*(1/(1+Assumptions!$B$8))^Benefit_Grid!$C$5:$AU$5)</f>
        <v>95202.878478335711</v>
      </c>
      <c r="M53" s="7">
        <f>SUMPRODUCT(Benefit_Grid!$C53:$AU53/(F53+Benefit_Grid!$C$5:$AU$5)*(1/(1+Assumptions!$B$8))^Benefit_Grid!$C$5:$AU$5)</f>
        <v>24333.695846194634</v>
      </c>
      <c r="N53" s="24">
        <v>95202.878477999999</v>
      </c>
      <c r="O53" s="26">
        <f t="shared" si="5"/>
        <v>3.3571268431842327E-7</v>
      </c>
    </row>
    <row r="54" spans="1:15" x14ac:dyDescent="0.3">
      <c r="A54" s="23" t="s">
        <v>113</v>
      </c>
      <c r="B54" s="14">
        <v>31615</v>
      </c>
      <c r="C54" s="14">
        <v>42381</v>
      </c>
      <c r="D54" s="24">
        <v>69200</v>
      </c>
      <c r="E54" s="25">
        <f>(Assumptions!$B$6-B54)/365.25</f>
        <v>39.690622861054074</v>
      </c>
      <c r="F54" s="25">
        <f>(Assumptions!$B$6-C54)/365.25</f>
        <v>10.21492128678987</v>
      </c>
      <c r="G54" s="5">
        <f t="shared" si="3"/>
        <v>39</v>
      </c>
      <c r="H54" s="5">
        <f>Assumptions!$B$7-G54</f>
        <v>21</v>
      </c>
      <c r="I54" s="5">
        <f t="shared" si="4"/>
        <v>10</v>
      </c>
      <c r="J54" s="7">
        <f>MIN(15/26*D54*I54,Assumptions!$B$10)</f>
        <v>399230.76923076925</v>
      </c>
      <c r="K54" s="5">
        <f>IF(F54&gt;=Assumptions!$B$11,1,0)</f>
        <v>1</v>
      </c>
      <c r="L54" s="7">
        <f>SUMPRODUCT(Benefit_Grid!$C54:$AU54*(F54/(F54+Benefit_Grid!$C$5:$AU$5))*(1/(1+Assumptions!$B$8))^Benefit_Grid!$C$5:$AU$5)</f>
        <v>276049.63979841222</v>
      </c>
      <c r="M54" s="7">
        <f>SUMPRODUCT(Benefit_Grid!$C54:$AU54/(F54+Benefit_Grid!$C$5:$AU$5)*(1/(1+Assumptions!$B$8))^Benefit_Grid!$C$5:$AU$5)</f>
        <v>27024.157313420012</v>
      </c>
      <c r="N54" s="24">
        <v>276049.63979799999</v>
      </c>
      <c r="O54" s="26">
        <f t="shared" si="5"/>
        <v>4.1222665458917618E-7</v>
      </c>
    </row>
    <row r="55" spans="1:15" x14ac:dyDescent="0.3">
      <c r="A55" s="23" t="s">
        <v>114</v>
      </c>
      <c r="B55" s="14">
        <v>34352</v>
      </c>
      <c r="C55" s="14">
        <v>43472</v>
      </c>
      <c r="D55" s="24">
        <v>58400</v>
      </c>
      <c r="E55" s="25">
        <f>(Assumptions!$B$6-B55)/365.25</f>
        <v>32.197125256673509</v>
      </c>
      <c r="F55" s="25">
        <f>(Assumptions!$B$6-C55)/365.25</f>
        <v>7.2279260780287471</v>
      </c>
      <c r="G55" s="5">
        <f t="shared" si="3"/>
        <v>32</v>
      </c>
      <c r="H55" s="5">
        <f>Assumptions!$B$7-G55</f>
        <v>28</v>
      </c>
      <c r="I55" s="5">
        <f t="shared" si="4"/>
        <v>7</v>
      </c>
      <c r="J55" s="7">
        <f>MIN(15/26*D55*I55,Assumptions!$B$10)</f>
        <v>235846.15384615381</v>
      </c>
      <c r="K55" s="5">
        <f>IF(F55&gt;=Assumptions!$B$11,1,0)</f>
        <v>1</v>
      </c>
      <c r="L55" s="7">
        <f>SUMPRODUCT(Benefit_Grid!$C55:$AU55*(F55/(F55+Benefit_Grid!$C$5:$AU$5))*(1/(1+Assumptions!$B$8))^Benefit_Grid!$C$5:$AU$5)</f>
        <v>193872.26499951421</v>
      </c>
      <c r="M55" s="7">
        <f>SUMPRODUCT(Benefit_Grid!$C55:$AU55/(F55+Benefit_Grid!$C$5:$AU$5)*(1/(1+Assumptions!$B$8))^Benefit_Grid!$C$5:$AU$5)</f>
        <v>26822.668481466892</v>
      </c>
      <c r="N55" s="24">
        <v>193872.26500000001</v>
      </c>
      <c r="O55" s="26">
        <f t="shared" si="5"/>
        <v>-4.8580113798379898E-7</v>
      </c>
    </row>
    <row r="56" spans="1:15" x14ac:dyDescent="0.3">
      <c r="A56" s="23" t="s">
        <v>115</v>
      </c>
      <c r="B56" s="14">
        <v>34928</v>
      </c>
      <c r="C56" s="14">
        <v>45200</v>
      </c>
      <c r="D56" s="24">
        <v>39100</v>
      </c>
      <c r="E56" s="25">
        <f>(Assumptions!$B$6-B56)/365.25</f>
        <v>30.62012320328542</v>
      </c>
      <c r="F56" s="25">
        <f>(Assumptions!$B$6-C56)/365.25</f>
        <v>2.4969199178644765</v>
      </c>
      <c r="G56" s="5">
        <f t="shared" si="3"/>
        <v>30</v>
      </c>
      <c r="H56" s="5">
        <f>Assumptions!$B$7-G56</f>
        <v>30</v>
      </c>
      <c r="I56" s="5">
        <f t="shared" si="4"/>
        <v>2</v>
      </c>
      <c r="J56" s="7">
        <f>MIN(15/26*D56*I56,Assumptions!$B$10)</f>
        <v>45115.38461538461</v>
      </c>
      <c r="K56" s="5">
        <f>IF(F56&gt;=Assumptions!$B$11,1,0)</f>
        <v>0</v>
      </c>
      <c r="L56" s="7">
        <f>SUMPRODUCT(Benefit_Grid!$C56:$AU56*(F56/(F56+Benefit_Grid!$C$5:$AU$5))*(1/(1+Assumptions!$B$8))^Benefit_Grid!$C$5:$AU$5)</f>
        <v>37054.068769977515</v>
      </c>
      <c r="M56" s="7">
        <f>SUMPRODUCT(Benefit_Grid!$C56:$AU56/(F56+Benefit_Grid!$C$5:$AU$5)*(1/(1+Assumptions!$B$8))^Benefit_Grid!$C$5:$AU$5)</f>
        <v>14839.910765607776</v>
      </c>
      <c r="N56" s="24">
        <v>37054.068769999998</v>
      </c>
      <c r="O56" s="26">
        <f t="shared" si="5"/>
        <v>-2.2482709027826786E-8</v>
      </c>
    </row>
    <row r="57" spans="1:15" x14ac:dyDescent="0.3">
      <c r="A57" s="23" t="s">
        <v>116</v>
      </c>
      <c r="B57" s="14">
        <v>36137</v>
      </c>
      <c r="C57" s="14">
        <v>44292</v>
      </c>
      <c r="D57" s="24">
        <v>47300</v>
      </c>
      <c r="E57" s="25">
        <f>(Assumptions!$B$6-B57)/365.25</f>
        <v>27.310061601642712</v>
      </c>
      <c r="F57" s="25">
        <f>(Assumptions!$B$6-C57)/365.25</f>
        <v>4.9828884325804248</v>
      </c>
      <c r="G57" s="5">
        <f t="shared" si="3"/>
        <v>27</v>
      </c>
      <c r="H57" s="5">
        <f>Assumptions!$B$7-G57</f>
        <v>33</v>
      </c>
      <c r="I57" s="5">
        <f t="shared" si="4"/>
        <v>5</v>
      </c>
      <c r="J57" s="7">
        <f>MIN(15/26*D57*I57,Assumptions!$B$10)</f>
        <v>136442.30769230769</v>
      </c>
      <c r="K57" s="5">
        <f>IF(F57&gt;=Assumptions!$B$11,1,0)</f>
        <v>0</v>
      </c>
      <c r="L57" s="7">
        <f>SUMPRODUCT(Benefit_Grid!$C57:$AU57*(F57/(F57+Benefit_Grid!$C$5:$AU$5))*(1/(1+Assumptions!$B$8))^Benefit_Grid!$C$5:$AU$5)</f>
        <v>125271.33731897084</v>
      </c>
      <c r="M57" s="7">
        <f>SUMPRODUCT(Benefit_Grid!$C57:$AU57/(F57+Benefit_Grid!$C$5:$AU$5)*(1/(1+Assumptions!$B$8))^Benefit_Grid!$C$5:$AU$5)</f>
        <v>25140.305470194555</v>
      </c>
      <c r="N57" s="24">
        <v>125271.337319</v>
      </c>
      <c r="O57" s="26">
        <f t="shared" si="5"/>
        <v>-2.9162038117647171E-8</v>
      </c>
    </row>
    <row r="58" spans="1:15" x14ac:dyDescent="0.3">
      <c r="A58" s="23" t="s">
        <v>117</v>
      </c>
      <c r="B58" s="14">
        <v>34935</v>
      </c>
      <c r="C58" s="14">
        <v>44529</v>
      </c>
      <c r="D58" s="24">
        <v>43700</v>
      </c>
      <c r="E58" s="25">
        <f>(Assumptions!$B$6-B58)/365.25</f>
        <v>30.600958247775495</v>
      </c>
      <c r="F58" s="25">
        <f>(Assumptions!$B$6-C58)/365.25</f>
        <v>4.3340177960301167</v>
      </c>
      <c r="G58" s="5">
        <f t="shared" si="3"/>
        <v>30</v>
      </c>
      <c r="H58" s="5">
        <f>Assumptions!$B$7-G58</f>
        <v>30</v>
      </c>
      <c r="I58" s="5">
        <f t="shared" si="4"/>
        <v>4</v>
      </c>
      <c r="J58" s="7">
        <f>MIN(15/26*D58*I58,Assumptions!$B$10)</f>
        <v>100846.15384615384</v>
      </c>
      <c r="K58" s="5">
        <f>IF(F58&gt;=Assumptions!$B$11,1,0)</f>
        <v>0</v>
      </c>
      <c r="L58" s="7">
        <f>SUMPRODUCT(Benefit_Grid!$C58:$AU58*(F58/(F58+Benefit_Grid!$C$5:$AU$5))*(1/(1+Assumptions!$B$8))^Benefit_Grid!$C$5:$AU$5)</f>
        <v>93136.628497940153</v>
      </c>
      <c r="M58" s="7">
        <f>SUMPRODUCT(Benefit_Grid!$C58:$AU58/(F58+Benefit_Grid!$C$5:$AU$5)*(1/(1+Assumptions!$B$8))^Benefit_Grid!$C$5:$AU$5)</f>
        <v>21489.673757973869</v>
      </c>
      <c r="N58" s="24">
        <v>93136.628498000005</v>
      </c>
      <c r="O58" s="26">
        <f t="shared" si="5"/>
        <v>-5.9852027334272861E-8</v>
      </c>
    </row>
    <row r="59" spans="1:15" x14ac:dyDescent="0.3">
      <c r="A59" s="23" t="s">
        <v>118</v>
      </c>
      <c r="B59" s="14">
        <v>37074</v>
      </c>
      <c r="C59" s="14">
        <v>45124</v>
      </c>
      <c r="D59" s="24">
        <v>38600</v>
      </c>
      <c r="E59" s="25">
        <f>(Assumptions!$B$6-B59)/365.25</f>
        <v>24.744695414099933</v>
      </c>
      <c r="F59" s="25">
        <f>(Assumptions!$B$6-C59)/365.25</f>
        <v>2.7049965776865159</v>
      </c>
      <c r="G59" s="5">
        <f t="shared" si="3"/>
        <v>24</v>
      </c>
      <c r="H59" s="5">
        <f>Assumptions!$B$7-G59</f>
        <v>36</v>
      </c>
      <c r="I59" s="5">
        <f t="shared" si="4"/>
        <v>3</v>
      </c>
      <c r="J59" s="7">
        <f>MIN(15/26*D59*I59,Assumptions!$B$10)</f>
        <v>66807.692307692298</v>
      </c>
      <c r="K59" s="5">
        <f>IF(F59&gt;=Assumptions!$B$11,1,0)</f>
        <v>0</v>
      </c>
      <c r="L59" s="7">
        <f>SUMPRODUCT(Benefit_Grid!$C59:$AU59*(F59/(F59+Benefit_Grid!$C$5:$AU$5))*(1/(1+Assumptions!$B$8))^Benefit_Grid!$C$5:$AU$5)</f>
        <v>40360.147199068015</v>
      </c>
      <c r="M59" s="7">
        <f>SUMPRODUCT(Benefit_Grid!$C59:$AU59/(F59+Benefit_Grid!$C$5:$AU$5)*(1/(1+Assumptions!$B$8))^Benefit_Grid!$C$5:$AU$5)</f>
        <v>14920.590854716196</v>
      </c>
      <c r="N59" s="24">
        <v>40360.147198999999</v>
      </c>
      <c r="O59" s="26">
        <f t="shared" si="5"/>
        <v>6.8015651777386665E-8</v>
      </c>
    </row>
    <row r="60" spans="1:15" x14ac:dyDescent="0.3">
      <c r="A60" s="23" t="s">
        <v>119</v>
      </c>
      <c r="B60" s="14">
        <v>32101</v>
      </c>
      <c r="C60" s="14">
        <v>40873</v>
      </c>
      <c r="D60" s="24">
        <v>105500</v>
      </c>
      <c r="E60" s="25">
        <f>(Assumptions!$B$6-B60)/365.25</f>
        <v>38.360027378507873</v>
      </c>
      <c r="F60" s="25">
        <f>(Assumptions!$B$6-C60)/365.25</f>
        <v>14.343600273785079</v>
      </c>
      <c r="G60" s="5">
        <f t="shared" si="3"/>
        <v>38</v>
      </c>
      <c r="H60" s="5">
        <f>Assumptions!$B$7-G60</f>
        <v>22</v>
      </c>
      <c r="I60" s="5">
        <f t="shared" si="4"/>
        <v>14</v>
      </c>
      <c r="J60" s="7">
        <f>MIN(15/26*D60*I60,Assumptions!$B$10)</f>
        <v>852115.38461538451</v>
      </c>
      <c r="K60" s="5">
        <f>IF(F60&gt;=Assumptions!$B$11,1,0)</f>
        <v>1</v>
      </c>
      <c r="L60" s="7">
        <f>SUMPRODUCT(Benefit_Grid!$C60:$AU60*(F60/(F60+Benefit_Grid!$C$5:$AU$5))*(1/(1+Assumptions!$B$8))^Benefit_Grid!$C$5:$AU$5)</f>
        <v>478284.41872111114</v>
      </c>
      <c r="M60" s="7">
        <f>SUMPRODUCT(Benefit_Grid!$C60:$AU60/(F60+Benefit_Grid!$C$5:$AU$5)*(1/(1+Assumptions!$B$8))^Benefit_Grid!$C$5:$AU$5)</f>
        <v>33344.795559817874</v>
      </c>
      <c r="N60" s="24">
        <v>478284.41872100002</v>
      </c>
      <c r="O60" s="26">
        <f t="shared" si="5"/>
        <v>1.1111842468380928E-7</v>
      </c>
    </row>
    <row r="61" spans="1:15" x14ac:dyDescent="0.3">
      <c r="A61" s="23" t="s">
        <v>120</v>
      </c>
      <c r="B61" s="14">
        <v>31657</v>
      </c>
      <c r="C61" s="14">
        <v>42633</v>
      </c>
      <c r="D61" s="24">
        <v>68400</v>
      </c>
      <c r="E61" s="25">
        <f>(Assumptions!$B$6-B61)/365.25</f>
        <v>39.575633127994521</v>
      </c>
      <c r="F61" s="25">
        <f>(Assumptions!$B$6-C61)/365.25</f>
        <v>9.5249828884325805</v>
      </c>
      <c r="G61" s="5">
        <f t="shared" si="3"/>
        <v>39</v>
      </c>
      <c r="H61" s="5">
        <f>Assumptions!$B$7-G61</f>
        <v>21</v>
      </c>
      <c r="I61" s="5">
        <f t="shared" si="4"/>
        <v>10</v>
      </c>
      <c r="J61" s="7">
        <f>MIN(15/26*D61*I61,Assumptions!$B$10)</f>
        <v>394615.38461538462</v>
      </c>
      <c r="K61" s="5">
        <f>IF(F61&gt;=Assumptions!$B$11,1,0)</f>
        <v>1</v>
      </c>
      <c r="L61" s="7">
        <f>SUMPRODUCT(Benefit_Grid!$C61:$AU61*(F61/(F61+Benefit_Grid!$C$5:$AU$5))*(1/(1+Assumptions!$B$8))^Benefit_Grid!$C$5:$AU$5)</f>
        <v>265865.75157470815</v>
      </c>
      <c r="M61" s="7">
        <f>SUMPRODUCT(Benefit_Grid!$C61:$AU61/(F61+Benefit_Grid!$C$5:$AU$5)*(1/(1+Assumptions!$B$8))^Benefit_Grid!$C$5:$AU$5)</f>
        <v>27912.465007951178</v>
      </c>
      <c r="N61" s="24">
        <v>265865.751575</v>
      </c>
      <c r="O61" s="26">
        <f t="shared" si="5"/>
        <v>-2.9185321182012558E-7</v>
      </c>
    </row>
    <row r="62" spans="1:15" x14ac:dyDescent="0.3">
      <c r="A62" s="23" t="s">
        <v>121</v>
      </c>
      <c r="B62" s="14">
        <v>32213</v>
      </c>
      <c r="C62" s="14">
        <v>45942</v>
      </c>
      <c r="D62" s="24">
        <v>25400</v>
      </c>
      <c r="E62" s="25">
        <f>(Assumptions!$B$6-B62)/365.25</f>
        <v>38.053388090349074</v>
      </c>
      <c r="F62" s="25">
        <f>(Assumptions!$B$6-C62)/365.25</f>
        <v>0.4654346338124572</v>
      </c>
      <c r="G62" s="5">
        <f t="shared" si="3"/>
        <v>38</v>
      </c>
      <c r="H62" s="5">
        <f>Assumptions!$B$7-G62</f>
        <v>22</v>
      </c>
      <c r="I62" s="5">
        <f t="shared" si="4"/>
        <v>0</v>
      </c>
      <c r="J62" s="7">
        <f>MIN(15/26*D62*I62,Assumptions!$B$10)</f>
        <v>0</v>
      </c>
      <c r="K62" s="5">
        <f>IF(F62&gt;=Assumptions!$B$11,1,0)</f>
        <v>0</v>
      </c>
      <c r="L62" s="7">
        <f>SUMPRODUCT(Benefit_Grid!$C62:$AU62*(F62/(F62+Benefit_Grid!$C$5:$AU$5))*(1/(1+Assumptions!$B$8))^Benefit_Grid!$C$5:$AU$5)</f>
        <v>5938.7820024063822</v>
      </c>
      <c r="M62" s="7">
        <f>SUMPRODUCT(Benefit_Grid!$C62:$AU62/(F62+Benefit_Grid!$C$5:$AU$5)*(1/(1+Assumptions!$B$8))^Benefit_Grid!$C$5:$AU$5)</f>
        <v>12759.647802229007</v>
      </c>
      <c r="N62" s="24">
        <v>5938.7820019999999</v>
      </c>
      <c r="O62" s="26">
        <f t="shared" si="5"/>
        <v>4.0638224163558334E-7</v>
      </c>
    </row>
    <row r="63" spans="1:15" x14ac:dyDescent="0.3">
      <c r="A63" s="23" t="s">
        <v>122</v>
      </c>
      <c r="B63" s="14">
        <v>37221</v>
      </c>
      <c r="C63" s="14">
        <v>45135</v>
      </c>
      <c r="D63" s="24">
        <v>26400</v>
      </c>
      <c r="E63" s="25">
        <f>(Assumptions!$B$6-B63)/365.25</f>
        <v>24.342231348391511</v>
      </c>
      <c r="F63" s="25">
        <f>(Assumptions!$B$6-C63)/365.25</f>
        <v>2.6748802190280632</v>
      </c>
      <c r="G63" s="5">
        <f t="shared" si="3"/>
        <v>24</v>
      </c>
      <c r="H63" s="5">
        <f>Assumptions!$B$7-G63</f>
        <v>36</v>
      </c>
      <c r="I63" s="5">
        <f t="shared" si="4"/>
        <v>3</v>
      </c>
      <c r="J63" s="7">
        <f>MIN(15/26*D63*I63,Assumptions!$B$10)</f>
        <v>45692.307692307688</v>
      </c>
      <c r="K63" s="5">
        <f>IF(F63&gt;=Assumptions!$B$11,1,0)</f>
        <v>0</v>
      </c>
      <c r="L63" s="7">
        <f>SUMPRODUCT(Benefit_Grid!$C63:$AU63*(F63/(F63+Benefit_Grid!$C$5:$AU$5))*(1/(1+Assumptions!$B$8))^Benefit_Grid!$C$5:$AU$5)</f>
        <v>28070.973870683662</v>
      </c>
      <c r="M63" s="7">
        <f>SUMPRODUCT(Benefit_Grid!$C63:$AU63/(F63+Benefit_Grid!$C$5:$AU$5)*(1/(1+Assumptions!$B$8))^Benefit_Grid!$C$5:$AU$5)</f>
        <v>10494.291920437267</v>
      </c>
      <c r="N63" s="24">
        <v>28070.973870999998</v>
      </c>
      <c r="O63" s="26">
        <f t="shared" si="5"/>
        <v>-3.1633680919185281E-7</v>
      </c>
    </row>
    <row r="64" spans="1:15" x14ac:dyDescent="0.3">
      <c r="A64" s="23" t="s">
        <v>123</v>
      </c>
      <c r="B64" s="14">
        <v>32927</v>
      </c>
      <c r="C64" s="14">
        <v>42624</v>
      </c>
      <c r="D64" s="24">
        <v>45500</v>
      </c>
      <c r="E64" s="25">
        <f>(Assumptions!$B$6-B64)/365.25</f>
        <v>36.098562628336758</v>
      </c>
      <c r="F64" s="25">
        <f>(Assumptions!$B$6-C64)/365.25</f>
        <v>9.54962354551677</v>
      </c>
      <c r="G64" s="5">
        <f t="shared" si="3"/>
        <v>36</v>
      </c>
      <c r="H64" s="5">
        <f>Assumptions!$B$7-G64</f>
        <v>24</v>
      </c>
      <c r="I64" s="5">
        <f t="shared" si="4"/>
        <v>10</v>
      </c>
      <c r="J64" s="7">
        <f>MIN(15/26*D64*I64,Assumptions!$B$10)</f>
        <v>262499.99999999994</v>
      </c>
      <c r="K64" s="5">
        <f>IF(F64&gt;=Assumptions!$B$11,1,0)</f>
        <v>1</v>
      </c>
      <c r="L64" s="7">
        <f>SUMPRODUCT(Benefit_Grid!$C64:$AU64*(F64/(F64+Benefit_Grid!$C$5:$AU$5))*(1/(1+Assumptions!$B$8))^Benefit_Grid!$C$5:$AU$5)</f>
        <v>204570.20714479222</v>
      </c>
      <c r="M64" s="7">
        <f>SUMPRODUCT(Benefit_Grid!$C64:$AU64/(F64+Benefit_Grid!$C$5:$AU$5)*(1/(1+Assumptions!$B$8))^Benefit_Grid!$C$5:$AU$5)</f>
        <v>21421.808532005551</v>
      </c>
      <c r="N64" s="24">
        <v>204570.20714499999</v>
      </c>
      <c r="O64" s="26">
        <f t="shared" si="5"/>
        <v>-2.0777224563062191E-7</v>
      </c>
    </row>
    <row r="65" spans="1:15" x14ac:dyDescent="0.3">
      <c r="A65" s="23" t="s">
        <v>124</v>
      </c>
      <c r="B65" s="14">
        <v>33827</v>
      </c>
      <c r="C65" s="14">
        <v>43497</v>
      </c>
      <c r="D65" s="24">
        <v>43400</v>
      </c>
      <c r="E65" s="25">
        <f>(Assumptions!$B$6-B65)/365.25</f>
        <v>33.634496919917865</v>
      </c>
      <c r="F65" s="25">
        <f>(Assumptions!$B$6-C65)/365.25</f>
        <v>7.1594798083504445</v>
      </c>
      <c r="G65" s="5">
        <f t="shared" si="3"/>
        <v>33</v>
      </c>
      <c r="H65" s="5">
        <f>Assumptions!$B$7-G65</f>
        <v>27</v>
      </c>
      <c r="I65" s="5">
        <f t="shared" si="4"/>
        <v>7</v>
      </c>
      <c r="J65" s="7">
        <f>MIN(15/26*D65*I65,Assumptions!$B$10)</f>
        <v>175269.23076923075</v>
      </c>
      <c r="K65" s="5">
        <f>IF(F65&gt;=Assumptions!$B$11,1,0)</f>
        <v>1</v>
      </c>
      <c r="L65" s="7">
        <f>SUMPRODUCT(Benefit_Grid!$C65:$AU65*(F65/(F65+Benefit_Grid!$C$5:$AU$5))*(1/(1+Assumptions!$B$8))^Benefit_Grid!$C$5:$AU$5)</f>
        <v>149008.5507388346</v>
      </c>
      <c r="M65" s="7">
        <f>SUMPRODUCT(Benefit_Grid!$C65:$AU65/(F65+Benefit_Grid!$C$5:$AU$5)*(1/(1+Assumptions!$B$8))^Benefit_Grid!$C$5:$AU$5)</f>
        <v>20812.76220166705</v>
      </c>
      <c r="N65" s="24">
        <v>149008.550739</v>
      </c>
      <c r="O65" s="26">
        <f t="shared" si="5"/>
        <v>-1.6539706848561764E-7</v>
      </c>
    </row>
    <row r="66" spans="1:15" x14ac:dyDescent="0.3">
      <c r="A66" s="23" t="s">
        <v>125</v>
      </c>
      <c r="B66" s="14">
        <v>25818</v>
      </c>
      <c r="C66" s="14">
        <v>36499</v>
      </c>
      <c r="D66" s="24">
        <v>165000</v>
      </c>
      <c r="E66" s="25">
        <f>(Assumptions!$B$6-B66)/365.25</f>
        <v>55.561943874058862</v>
      </c>
      <c r="F66" s="25">
        <f>(Assumptions!$B$6-C66)/365.25</f>
        <v>26.318959616700891</v>
      </c>
      <c r="G66" s="5">
        <f t="shared" si="3"/>
        <v>55</v>
      </c>
      <c r="H66" s="5">
        <f>Assumptions!$B$7-G66</f>
        <v>5</v>
      </c>
      <c r="I66" s="5">
        <f t="shared" si="4"/>
        <v>26</v>
      </c>
      <c r="J66" s="7">
        <f>MIN(15/26*D66*I66,Assumptions!$B$10)</f>
        <v>2000000</v>
      </c>
      <c r="K66" s="5">
        <f>IF(F66&gt;=Assumptions!$B$11,1,0)</f>
        <v>1</v>
      </c>
      <c r="L66" s="7">
        <f>SUMPRODUCT(Benefit_Grid!$C66:$AU66*(F66/(F66+Benefit_Grid!$C$5:$AU$5))*(1/(1+Assumptions!$B$8))^Benefit_Grid!$C$5:$AU$5)</f>
        <v>1218916.6974668731</v>
      </c>
      <c r="M66" s="7">
        <f>SUMPRODUCT(Benefit_Grid!$C66:$AU66/(F66+Benefit_Grid!$C$5:$AU$5)*(1/(1+Assumptions!$B$8))^Benefit_Grid!$C$5:$AU$5)</f>
        <v>46313.255357305257</v>
      </c>
      <c r="N66" s="24">
        <v>1218916.697467</v>
      </c>
      <c r="O66" s="26">
        <f t="shared" si="5"/>
        <v>-1.2689270079135895E-7</v>
      </c>
    </row>
    <row r="67" spans="1:15" x14ac:dyDescent="0.3">
      <c r="A67" s="23" t="s">
        <v>126</v>
      </c>
      <c r="B67" s="14">
        <v>32872</v>
      </c>
      <c r="C67" s="14">
        <v>40966</v>
      </c>
      <c r="D67" s="24">
        <v>143200</v>
      </c>
      <c r="E67" s="25">
        <f>(Assumptions!$B$6-B67)/365.25</f>
        <v>36.249144421629019</v>
      </c>
      <c r="F67" s="25">
        <f>(Assumptions!$B$6-C67)/365.25</f>
        <v>14.088980150581794</v>
      </c>
      <c r="G67" s="5">
        <f t="shared" si="3"/>
        <v>36</v>
      </c>
      <c r="H67" s="5">
        <f>Assumptions!$B$7-G67</f>
        <v>24</v>
      </c>
      <c r="I67" s="5">
        <f t="shared" si="4"/>
        <v>14</v>
      </c>
      <c r="J67" s="7">
        <f>MIN(15/26*D67*I67,Assumptions!$B$10)</f>
        <v>1156615.3846153845</v>
      </c>
      <c r="K67" s="5">
        <f>IF(F67&gt;=Assumptions!$B$11,1,0)</f>
        <v>1</v>
      </c>
      <c r="L67" s="7">
        <f>SUMPRODUCT(Benefit_Grid!$C67:$AU67*(F67/(F67+Benefit_Grid!$C$5:$AU$5))*(1/(1+Assumptions!$B$8))^Benefit_Grid!$C$5:$AU$5)</f>
        <v>596985.96917533071</v>
      </c>
      <c r="M67" s="7">
        <f>SUMPRODUCT(Benefit_Grid!$C67:$AU67/(F67+Benefit_Grid!$C$5:$AU$5)*(1/(1+Assumptions!$B$8))^Benefit_Grid!$C$5:$AU$5)</f>
        <v>42372.546685054302</v>
      </c>
      <c r="N67" s="24">
        <v>596985.96917499998</v>
      </c>
      <c r="O67" s="26">
        <f t="shared" si="5"/>
        <v>3.3073592931032181E-7</v>
      </c>
    </row>
    <row r="68" spans="1:15" x14ac:dyDescent="0.3">
      <c r="A68" s="23" t="s">
        <v>127</v>
      </c>
      <c r="B68" s="14">
        <v>25928</v>
      </c>
      <c r="C68" s="14">
        <v>34605</v>
      </c>
      <c r="D68" s="24">
        <v>300000</v>
      </c>
      <c r="E68" s="25">
        <f>(Assumptions!$B$6-B68)/365.25</f>
        <v>55.260780287474333</v>
      </c>
      <c r="F68" s="25">
        <f>(Assumptions!$B$6-C68)/365.25</f>
        <v>31.504449007529089</v>
      </c>
      <c r="G68" s="5">
        <f t="shared" si="3"/>
        <v>55</v>
      </c>
      <c r="H68" s="5">
        <f>Assumptions!$B$7-G68</f>
        <v>5</v>
      </c>
      <c r="I68" s="5">
        <f t="shared" si="4"/>
        <v>32</v>
      </c>
      <c r="J68" s="7">
        <f>MIN(15/26*D68*I68,Assumptions!$B$10)</f>
        <v>2000000</v>
      </c>
      <c r="K68" s="5">
        <f>IF(F68&gt;=Assumptions!$B$11,1,0)</f>
        <v>1</v>
      </c>
      <c r="L68" s="7">
        <f>SUMPRODUCT(Benefit_Grid!$C68:$AU68*(F68/(F68+Benefit_Grid!$C$5:$AU$5))*(1/(1+Assumptions!$B$8))^Benefit_Grid!$C$5:$AU$5)</f>
        <v>1250606.2327550042</v>
      </c>
      <c r="M68" s="7">
        <f>SUMPRODUCT(Benefit_Grid!$C68:$AU68/(F68+Benefit_Grid!$C$5:$AU$5)*(1/(1+Assumptions!$B$8))^Benefit_Grid!$C$5:$AU$5)</f>
        <v>39696.178544691509</v>
      </c>
      <c r="N68" s="24">
        <v>1250606.232755</v>
      </c>
      <c r="O68" s="26">
        <f t="shared" si="5"/>
        <v>4.1909515857696533E-9</v>
      </c>
    </row>
    <row r="69" spans="1:15" x14ac:dyDescent="0.3">
      <c r="A69" s="23" t="s">
        <v>128</v>
      </c>
      <c r="B69" s="14">
        <v>31798</v>
      </c>
      <c r="C69" s="14">
        <v>44062</v>
      </c>
      <c r="D69" s="24">
        <v>62000</v>
      </c>
      <c r="E69" s="25">
        <f>(Assumptions!$B$6-B69)/365.25</f>
        <v>39.189596167008901</v>
      </c>
      <c r="F69" s="25">
        <f>(Assumptions!$B$6-C69)/365.25</f>
        <v>5.6125941136208075</v>
      </c>
      <c r="G69" s="5">
        <f t="shared" si="3"/>
        <v>39</v>
      </c>
      <c r="H69" s="5">
        <f>Assumptions!$B$7-G69</f>
        <v>21</v>
      </c>
      <c r="I69" s="5">
        <f t="shared" si="4"/>
        <v>6</v>
      </c>
      <c r="J69" s="7">
        <f>MIN(15/26*D69*I69,Assumptions!$B$10)</f>
        <v>214615.3846153846</v>
      </c>
      <c r="K69" s="5">
        <f>IF(F69&gt;=Assumptions!$B$11,1,0)</f>
        <v>1</v>
      </c>
      <c r="L69" s="7">
        <f>SUMPRODUCT(Benefit_Grid!$C69:$AU69*(F69/(F69+Benefit_Grid!$C$5:$AU$5))*(1/(1+Assumptions!$B$8))^Benefit_Grid!$C$5:$AU$5)</f>
        <v>156869.25999776594</v>
      </c>
      <c r="M69" s="7">
        <f>SUMPRODUCT(Benefit_Grid!$C69:$AU69/(F69+Benefit_Grid!$C$5:$AU$5)*(1/(1+Assumptions!$B$8))^Benefit_Grid!$C$5:$AU$5)</f>
        <v>27949.510836187321</v>
      </c>
      <c r="N69" s="24">
        <v>156869.25999799999</v>
      </c>
      <c r="O69" s="26">
        <f t="shared" si="5"/>
        <v>-2.3405300453305244E-7</v>
      </c>
    </row>
    <row r="70" spans="1:15" x14ac:dyDescent="0.3">
      <c r="A70" s="23" t="s">
        <v>129</v>
      </c>
      <c r="B70" s="14">
        <v>26656</v>
      </c>
      <c r="C70" s="14">
        <v>37793</v>
      </c>
      <c r="D70" s="24">
        <v>171800</v>
      </c>
      <c r="E70" s="25">
        <f>(Assumptions!$B$6-B70)/365.25</f>
        <v>53.267624914442166</v>
      </c>
      <c r="F70" s="25">
        <f>(Assumptions!$B$6-C70)/365.25</f>
        <v>22.776180698151951</v>
      </c>
      <c r="G70" s="5">
        <f t="shared" ref="G70:G101" si="6">INT(E70)</f>
        <v>53</v>
      </c>
      <c r="H70" s="5">
        <f>Assumptions!$B$7-G70</f>
        <v>7</v>
      </c>
      <c r="I70" s="5">
        <f t="shared" ref="I70:I101" si="7">INT(F70)+IF(F70-INT(F70)&gt;0.5,1,0)</f>
        <v>23</v>
      </c>
      <c r="J70" s="7">
        <f>MIN(15/26*D70*I70,Assumptions!$B$10)</f>
        <v>2000000</v>
      </c>
      <c r="K70" s="5">
        <f>IF(F70&gt;=Assumptions!$B$11,1,0)</f>
        <v>1</v>
      </c>
      <c r="L70" s="7">
        <f>SUMPRODUCT(Benefit_Grid!$C70:$AU70*(F70/(F70+Benefit_Grid!$C$5:$AU$5))*(1/(1+Assumptions!$B$8))^Benefit_Grid!$C$5:$AU$5)</f>
        <v>1003662.5262558681</v>
      </c>
      <c r="M70" s="7">
        <f>SUMPRODUCT(Benefit_Grid!$C70:$AU70/(F70+Benefit_Grid!$C$5:$AU$5)*(1/(1+Assumptions!$B$8))^Benefit_Grid!$C$5:$AU$5)</f>
        <v>44066.322600667845</v>
      </c>
      <c r="N70" s="24">
        <v>1003662.526256</v>
      </c>
      <c r="O70" s="26">
        <f t="shared" ref="O70:O101" si="8">L70-N70</f>
        <v>-1.3189855962991714E-7</v>
      </c>
    </row>
    <row r="71" spans="1:15" x14ac:dyDescent="0.3">
      <c r="A71" s="23" t="s">
        <v>130</v>
      </c>
      <c r="B71" s="14">
        <v>33292</v>
      </c>
      <c r="C71" s="14">
        <v>44992</v>
      </c>
      <c r="D71" s="24">
        <v>44300</v>
      </c>
      <c r="E71" s="25">
        <f>(Assumptions!$B$6-B71)/365.25</f>
        <v>35.09924709103354</v>
      </c>
      <c r="F71" s="25">
        <f>(Assumptions!$B$6-C71)/365.25</f>
        <v>3.0663928815879533</v>
      </c>
      <c r="G71" s="5">
        <f t="shared" si="6"/>
        <v>35</v>
      </c>
      <c r="H71" s="5">
        <f>Assumptions!$B$7-G71</f>
        <v>25</v>
      </c>
      <c r="I71" s="5">
        <f t="shared" si="7"/>
        <v>3</v>
      </c>
      <c r="J71" s="7">
        <f>MIN(15/26*D71*I71,Assumptions!$B$10)</f>
        <v>76673.076923076907</v>
      </c>
      <c r="K71" s="5">
        <f>IF(F71&gt;=Assumptions!$B$11,1,0)</f>
        <v>0</v>
      </c>
      <c r="L71" s="7">
        <f>SUMPRODUCT(Benefit_Grid!$C71:$AU71*(F71/(F71+Benefit_Grid!$C$5:$AU$5))*(1/(1+Assumptions!$B$8))^Benefit_Grid!$C$5:$AU$5)</f>
        <v>60129.325502846958</v>
      </c>
      <c r="M71" s="7">
        <f>SUMPRODUCT(Benefit_Grid!$C71:$AU71/(F71+Benefit_Grid!$C$5:$AU$5)*(1/(1+Assumptions!$B$8))^Benefit_Grid!$C$5:$AU$5)</f>
        <v>19609.139410638258</v>
      </c>
      <c r="N71" s="24">
        <v>60129.325503</v>
      </c>
      <c r="O71" s="26">
        <f t="shared" si="8"/>
        <v>-1.5304249245673418E-7</v>
      </c>
    </row>
    <row r="72" spans="1:15" x14ac:dyDescent="0.3">
      <c r="A72" s="23" t="s">
        <v>131</v>
      </c>
      <c r="B72" s="14">
        <v>32711</v>
      </c>
      <c r="C72" s="14">
        <v>40475</v>
      </c>
      <c r="D72" s="24">
        <v>86600</v>
      </c>
      <c r="E72" s="25">
        <f>(Assumptions!$B$6-B72)/365.25</f>
        <v>36.689938398357292</v>
      </c>
      <c r="F72" s="25">
        <f>(Assumptions!$B$6-C72)/365.25</f>
        <v>15.433264887063656</v>
      </c>
      <c r="G72" s="5">
        <f t="shared" si="6"/>
        <v>36</v>
      </c>
      <c r="H72" s="5">
        <f>Assumptions!$B$7-G72</f>
        <v>24</v>
      </c>
      <c r="I72" s="5">
        <f t="shared" si="7"/>
        <v>15</v>
      </c>
      <c r="J72" s="7">
        <f>MIN(15/26*D72*I72,Assumptions!$B$10)</f>
        <v>749423.07692307676</v>
      </c>
      <c r="K72" s="5">
        <f>IF(F72&gt;=Assumptions!$B$11,1,0)</f>
        <v>1</v>
      </c>
      <c r="L72" s="7">
        <f>SUMPRODUCT(Benefit_Grid!$C72:$AU72*(F72/(F72+Benefit_Grid!$C$5:$AU$5))*(1/(1+Assumptions!$B$8))^Benefit_Grid!$C$5:$AU$5)</f>
        <v>471200.59851374809</v>
      </c>
      <c r="M72" s="7">
        <f>SUMPRODUCT(Benefit_Grid!$C72:$AU72/(F72+Benefit_Grid!$C$5:$AU$5)*(1/(1+Assumptions!$B$8))^Benefit_Grid!$C$5:$AU$5)</f>
        <v>30531.491681239389</v>
      </c>
      <c r="N72" s="24">
        <v>471200.59851400001</v>
      </c>
      <c r="O72" s="26">
        <f t="shared" si="8"/>
        <v>-2.5192275643348694E-7</v>
      </c>
    </row>
    <row r="73" spans="1:15" x14ac:dyDescent="0.3">
      <c r="A73" s="23" t="s">
        <v>132</v>
      </c>
      <c r="B73" s="14">
        <v>36588</v>
      </c>
      <c r="C73" s="14">
        <v>45980</v>
      </c>
      <c r="D73" s="24">
        <v>63300</v>
      </c>
      <c r="E73" s="25">
        <f>(Assumptions!$B$6-B73)/365.25</f>
        <v>26.075290896646134</v>
      </c>
      <c r="F73" s="25">
        <f>(Assumptions!$B$6-C73)/365.25</f>
        <v>0.3613963039014374</v>
      </c>
      <c r="G73" s="5">
        <f t="shared" si="6"/>
        <v>26</v>
      </c>
      <c r="H73" s="5">
        <f>Assumptions!$B$7-G73</f>
        <v>34</v>
      </c>
      <c r="I73" s="5">
        <f t="shared" si="7"/>
        <v>0</v>
      </c>
      <c r="J73" s="7">
        <f>MIN(15/26*D73*I73,Assumptions!$B$10)</f>
        <v>0</v>
      </c>
      <c r="K73" s="5">
        <f>IF(F73&gt;=Assumptions!$B$11,1,0)</f>
        <v>0</v>
      </c>
      <c r="L73" s="7">
        <f>SUMPRODUCT(Benefit_Grid!$C73:$AU73*(F73/(F73+Benefit_Grid!$C$5:$AU$5))*(1/(1+Assumptions!$B$8))^Benefit_Grid!$C$5:$AU$5)</f>
        <v>5562.6207726252896</v>
      </c>
      <c r="M73" s="7">
        <f>SUMPRODUCT(Benefit_Grid!$C73:$AU73/(F73+Benefit_Grid!$C$5:$AU$5)*(1/(1+Assumptions!$B$8))^Benefit_Grid!$C$5:$AU$5)</f>
        <v>15392.024524252929</v>
      </c>
      <c r="N73" s="24">
        <v>5562.6207729999996</v>
      </c>
      <c r="O73" s="26">
        <f t="shared" si="8"/>
        <v>-3.7470999814104289E-7</v>
      </c>
    </row>
    <row r="74" spans="1:15" x14ac:dyDescent="0.3">
      <c r="A74" s="23" t="s">
        <v>133</v>
      </c>
      <c r="B74" s="14">
        <v>32071</v>
      </c>
      <c r="C74" s="14">
        <v>39804</v>
      </c>
      <c r="D74" s="24">
        <v>49100</v>
      </c>
      <c r="E74" s="25">
        <f>(Assumptions!$B$6-B74)/365.25</f>
        <v>38.442162902121837</v>
      </c>
      <c r="F74" s="25">
        <f>(Assumptions!$B$6-C74)/365.25</f>
        <v>17.270362765229294</v>
      </c>
      <c r="G74" s="5">
        <f t="shared" si="6"/>
        <v>38</v>
      </c>
      <c r="H74" s="5">
        <f>Assumptions!$B$7-G74</f>
        <v>22</v>
      </c>
      <c r="I74" s="5">
        <f t="shared" si="7"/>
        <v>17</v>
      </c>
      <c r="J74" s="7">
        <f>MIN(15/26*D74*I74,Assumptions!$B$10)</f>
        <v>481557.69230769225</v>
      </c>
      <c r="K74" s="5">
        <f>IF(F74&gt;=Assumptions!$B$11,1,0)</f>
        <v>1</v>
      </c>
      <c r="L74" s="7">
        <f>SUMPRODUCT(Benefit_Grid!$C74:$AU74*(F74/(F74+Benefit_Grid!$C$5:$AU$5))*(1/(1+Assumptions!$B$8))^Benefit_Grid!$C$5:$AU$5)</f>
        <v>349658.54389609158</v>
      </c>
      <c r="M74" s="7">
        <f>SUMPRODUCT(Benefit_Grid!$C74:$AU74/(F74+Benefit_Grid!$C$5:$AU$5)*(1/(1+Assumptions!$B$8))^Benefit_Grid!$C$5:$AU$5)</f>
        <v>20246.160931840113</v>
      </c>
      <c r="N74" s="24">
        <v>349658.54389600002</v>
      </c>
      <c r="O74" s="26">
        <f t="shared" si="8"/>
        <v>9.1560650616884232E-8</v>
      </c>
    </row>
    <row r="75" spans="1:15" x14ac:dyDescent="0.3">
      <c r="A75" s="23" t="s">
        <v>134</v>
      </c>
      <c r="B75" s="14">
        <v>33502</v>
      </c>
      <c r="C75" s="14">
        <v>44892</v>
      </c>
      <c r="D75" s="24">
        <v>25900</v>
      </c>
      <c r="E75" s="25">
        <f>(Assumptions!$B$6-B75)/365.25</f>
        <v>34.5242984257358</v>
      </c>
      <c r="F75" s="25">
        <f>(Assumptions!$B$6-C75)/365.25</f>
        <v>3.3401779603011637</v>
      </c>
      <c r="G75" s="5">
        <f t="shared" si="6"/>
        <v>34</v>
      </c>
      <c r="H75" s="5">
        <f>Assumptions!$B$7-G75</f>
        <v>26</v>
      </c>
      <c r="I75" s="5">
        <f t="shared" si="7"/>
        <v>3</v>
      </c>
      <c r="J75" s="7">
        <f>MIN(15/26*D75*I75,Assumptions!$B$10)</f>
        <v>44826.923076923078</v>
      </c>
      <c r="K75" s="5">
        <f>IF(F75&gt;=Assumptions!$B$11,1,0)</f>
        <v>0</v>
      </c>
      <c r="L75" s="7">
        <f>SUMPRODUCT(Benefit_Grid!$C75:$AU75*(F75/(F75+Benefit_Grid!$C$5:$AU$5))*(1/(1+Assumptions!$B$8))^Benefit_Grid!$C$5:$AU$5)</f>
        <v>41954.445796675755</v>
      </c>
      <c r="M75" s="7">
        <f>SUMPRODUCT(Benefit_Grid!$C75:$AU75/(F75+Benefit_Grid!$C$5:$AU$5)*(1/(1+Assumptions!$B$8))^Benefit_Grid!$C$5:$AU$5)</f>
        <v>12560.542071504766</v>
      </c>
      <c r="N75" s="24">
        <v>41954.445797</v>
      </c>
      <c r="O75" s="26">
        <f t="shared" si="8"/>
        <v>-3.2424577511847019E-7</v>
      </c>
    </row>
    <row r="76" spans="1:15" x14ac:dyDescent="0.3">
      <c r="A76" s="23" t="s">
        <v>135</v>
      </c>
      <c r="B76" s="14">
        <v>31074</v>
      </c>
      <c r="C76" s="14">
        <v>44258</v>
      </c>
      <c r="D76" s="24">
        <v>45100</v>
      </c>
      <c r="E76" s="25">
        <f>(Assumptions!$B$6-B76)/365.25</f>
        <v>41.171800136892543</v>
      </c>
      <c r="F76" s="25">
        <f>(Assumptions!$B$6-C76)/365.25</f>
        <v>5.075975359342916</v>
      </c>
      <c r="G76" s="5">
        <f t="shared" si="6"/>
        <v>41</v>
      </c>
      <c r="H76" s="5">
        <f>Assumptions!$B$7-G76</f>
        <v>19</v>
      </c>
      <c r="I76" s="5">
        <f t="shared" si="7"/>
        <v>5</v>
      </c>
      <c r="J76" s="7">
        <f>MIN(15/26*D76*I76,Assumptions!$B$10)</f>
        <v>130096.15384615383</v>
      </c>
      <c r="K76" s="5">
        <f>IF(F76&gt;=Assumptions!$B$11,1,0)</f>
        <v>1</v>
      </c>
      <c r="L76" s="7">
        <f>SUMPRODUCT(Benefit_Grid!$C76:$AU76*(F76/(F76+Benefit_Grid!$C$5:$AU$5))*(1/(1+Assumptions!$B$8))^Benefit_Grid!$C$5:$AU$5)</f>
        <v>126049.98699407796</v>
      </c>
      <c r="M76" s="7">
        <f>SUMPRODUCT(Benefit_Grid!$C76:$AU76/(F76+Benefit_Grid!$C$5:$AU$5)*(1/(1+Assumptions!$B$8))^Benefit_Grid!$C$5:$AU$5)</f>
        <v>24832.663295354352</v>
      </c>
      <c r="N76" s="24">
        <v>126049.98699400001</v>
      </c>
      <c r="O76" s="26">
        <f t="shared" si="8"/>
        <v>7.7954609878361225E-8</v>
      </c>
    </row>
    <row r="77" spans="1:15" x14ac:dyDescent="0.3">
      <c r="A77" s="23" t="s">
        <v>136</v>
      </c>
      <c r="B77" s="14">
        <v>26360</v>
      </c>
      <c r="C77" s="14">
        <v>37272</v>
      </c>
      <c r="D77" s="24">
        <v>175600</v>
      </c>
      <c r="E77" s="25">
        <f>(Assumptions!$B$6-B77)/365.25</f>
        <v>54.078028747433265</v>
      </c>
      <c r="F77" s="25">
        <f>(Assumptions!$B$6-C77)/365.25</f>
        <v>24.202600958247775</v>
      </c>
      <c r="G77" s="5">
        <f t="shared" si="6"/>
        <v>54</v>
      </c>
      <c r="H77" s="5">
        <f>Assumptions!$B$7-G77</f>
        <v>6</v>
      </c>
      <c r="I77" s="5">
        <f t="shared" si="7"/>
        <v>24</v>
      </c>
      <c r="J77" s="7">
        <f>MIN(15/26*D77*I77,Assumptions!$B$10)</f>
        <v>2000000</v>
      </c>
      <c r="K77" s="5">
        <f>IF(F77&gt;=Assumptions!$B$11,1,0)</f>
        <v>1</v>
      </c>
      <c r="L77" s="7">
        <f>SUMPRODUCT(Benefit_Grid!$C77:$AU77*(F77/(F77+Benefit_Grid!$C$5:$AU$5))*(1/(1+Assumptions!$B$8))^Benefit_Grid!$C$5:$AU$5)</f>
        <v>1103513.9153400557</v>
      </c>
      <c r="M77" s="7">
        <f>SUMPRODUCT(Benefit_Grid!$C77:$AU77/(F77+Benefit_Grid!$C$5:$AU$5)*(1/(1+Assumptions!$B$8))^Benefit_Grid!$C$5:$AU$5)</f>
        <v>45594.848142302646</v>
      </c>
      <c r="N77" s="24">
        <v>1103513.9153400001</v>
      </c>
      <c r="O77" s="26">
        <f t="shared" si="8"/>
        <v>5.5646523833274841E-8</v>
      </c>
    </row>
    <row r="78" spans="1:15" x14ac:dyDescent="0.3">
      <c r="A78" s="23" t="s">
        <v>137</v>
      </c>
      <c r="B78" s="14">
        <v>33915</v>
      </c>
      <c r="C78" s="14">
        <v>45692</v>
      </c>
      <c r="D78" s="24">
        <v>39800</v>
      </c>
      <c r="E78" s="25">
        <f>(Assumptions!$B$6-B78)/365.25</f>
        <v>33.393566050650243</v>
      </c>
      <c r="F78" s="25">
        <f>(Assumptions!$B$6-C78)/365.25</f>
        <v>1.1498973305954825</v>
      </c>
      <c r="G78" s="5">
        <f t="shared" si="6"/>
        <v>33</v>
      </c>
      <c r="H78" s="5">
        <f>Assumptions!$B$7-G78</f>
        <v>27</v>
      </c>
      <c r="I78" s="5">
        <f t="shared" si="7"/>
        <v>1</v>
      </c>
      <c r="J78" s="7">
        <f>MIN(15/26*D78*I78,Assumptions!$B$10)</f>
        <v>22961.538461538461</v>
      </c>
      <c r="K78" s="5">
        <f>IF(F78&gt;=Assumptions!$B$11,1,0)</f>
        <v>0</v>
      </c>
      <c r="L78" s="7">
        <f>SUMPRODUCT(Benefit_Grid!$C78:$AU78*(F78/(F78+Benefit_Grid!$C$5:$AU$5))*(1/(1+Assumptions!$B$8))^Benefit_Grid!$C$5:$AU$5)</f>
        <v>16010.950367461211</v>
      </c>
      <c r="M78" s="7">
        <f>SUMPRODUCT(Benefit_Grid!$C78:$AU78/(F78+Benefit_Grid!$C$5:$AU$5)*(1/(1+Assumptions!$B$8))^Benefit_Grid!$C$5:$AU$5)</f>
        <v>13923.808623131448</v>
      </c>
      <c r="N78" s="24">
        <v>16010.950366999999</v>
      </c>
      <c r="O78" s="26">
        <f t="shared" si="8"/>
        <v>4.6121203922666609E-7</v>
      </c>
    </row>
    <row r="79" spans="1:15" x14ac:dyDescent="0.3">
      <c r="A79" s="23" t="s">
        <v>138</v>
      </c>
      <c r="B79" s="14">
        <v>32853</v>
      </c>
      <c r="C79" s="14">
        <v>41148</v>
      </c>
      <c r="D79" s="24">
        <v>77600</v>
      </c>
      <c r="E79" s="25">
        <f>(Assumptions!$B$6-B79)/365.25</f>
        <v>36.301163586584529</v>
      </c>
      <c r="F79" s="25">
        <f>(Assumptions!$B$6-C79)/365.25</f>
        <v>13.59069130732375</v>
      </c>
      <c r="G79" s="5">
        <f t="shared" si="6"/>
        <v>36</v>
      </c>
      <c r="H79" s="5">
        <f>Assumptions!$B$7-G79</f>
        <v>24</v>
      </c>
      <c r="I79" s="5">
        <f t="shared" si="7"/>
        <v>14</v>
      </c>
      <c r="J79" s="7">
        <f>MIN(15/26*D79*I79,Assumptions!$B$10)</f>
        <v>626769.23076923075</v>
      </c>
      <c r="K79" s="5">
        <f>IF(F79&gt;=Assumptions!$B$11,1,0)</f>
        <v>1</v>
      </c>
      <c r="L79" s="7">
        <f>SUMPRODUCT(Benefit_Grid!$C79:$AU79*(F79/(F79+Benefit_Grid!$C$5:$AU$5))*(1/(1+Assumptions!$B$8))^Benefit_Grid!$C$5:$AU$5)</f>
        <v>406430.77010066097</v>
      </c>
      <c r="M79" s="7">
        <f>SUMPRODUCT(Benefit_Grid!$C79:$AU79/(F79+Benefit_Grid!$C$5:$AU$5)*(1/(1+Assumptions!$B$8))^Benefit_Grid!$C$5:$AU$5)</f>
        <v>29905.084363268819</v>
      </c>
      <c r="N79" s="24">
        <v>406430.77010099997</v>
      </c>
      <c r="O79" s="26">
        <f t="shared" si="8"/>
        <v>-3.3900141716003418E-7</v>
      </c>
    </row>
    <row r="80" spans="1:15" x14ac:dyDescent="0.3">
      <c r="A80" s="23" t="s">
        <v>139</v>
      </c>
      <c r="B80" s="14">
        <v>30970</v>
      </c>
      <c r="C80" s="14">
        <v>43250</v>
      </c>
      <c r="D80" s="24">
        <v>69300</v>
      </c>
      <c r="E80" s="25">
        <f>(Assumptions!$B$6-B80)/365.25</f>
        <v>41.456536618754278</v>
      </c>
      <c r="F80" s="25">
        <f>(Assumptions!$B$6-C80)/365.25</f>
        <v>7.8357289527720742</v>
      </c>
      <c r="G80" s="5">
        <f t="shared" si="6"/>
        <v>41</v>
      </c>
      <c r="H80" s="5">
        <f>Assumptions!$B$7-G80</f>
        <v>19</v>
      </c>
      <c r="I80" s="5">
        <f t="shared" si="7"/>
        <v>8</v>
      </c>
      <c r="J80" s="7">
        <f>MIN(15/26*D80*I80,Assumptions!$B$10)</f>
        <v>319846.15384615381</v>
      </c>
      <c r="K80" s="5">
        <f>IF(F80&gt;=Assumptions!$B$11,1,0)</f>
        <v>1</v>
      </c>
      <c r="L80" s="7">
        <f>SUMPRODUCT(Benefit_Grid!$C80:$AU80*(F80/(F80+Benefit_Grid!$C$5:$AU$5))*(1/(1+Assumptions!$B$8))^Benefit_Grid!$C$5:$AU$5)</f>
        <v>228905.37155430921</v>
      </c>
      <c r="M80" s="7">
        <f>SUMPRODUCT(Benefit_Grid!$C80:$AU80/(F80+Benefit_Grid!$C$5:$AU$5)*(1/(1+Assumptions!$B$8))^Benefit_Grid!$C$5:$AU$5)</f>
        <v>29213.028287984434</v>
      </c>
      <c r="N80" s="24">
        <v>228905.37155400001</v>
      </c>
      <c r="O80" s="26">
        <f t="shared" si="8"/>
        <v>3.0919909477233887E-7</v>
      </c>
    </row>
    <row r="81" spans="1:15" x14ac:dyDescent="0.3">
      <c r="A81" s="23" t="s">
        <v>140</v>
      </c>
      <c r="B81" s="14">
        <v>32561</v>
      </c>
      <c r="C81" s="14">
        <v>41342</v>
      </c>
      <c r="D81" s="24">
        <v>78900</v>
      </c>
      <c r="E81" s="25">
        <f>(Assumptions!$B$6-B81)/365.25</f>
        <v>37.100616016427104</v>
      </c>
      <c r="F81" s="25">
        <f>(Assumptions!$B$6-C81)/365.25</f>
        <v>13.059548254620124</v>
      </c>
      <c r="G81" s="5">
        <f t="shared" si="6"/>
        <v>37</v>
      </c>
      <c r="H81" s="5">
        <f>Assumptions!$B$7-G81</f>
        <v>23</v>
      </c>
      <c r="I81" s="5">
        <f t="shared" si="7"/>
        <v>13</v>
      </c>
      <c r="J81" s="7">
        <f>MIN(15/26*D81*I81,Assumptions!$B$10)</f>
        <v>591750</v>
      </c>
      <c r="K81" s="5">
        <f>IF(F81&gt;=Assumptions!$B$11,1,0)</f>
        <v>1</v>
      </c>
      <c r="L81" s="7">
        <f>SUMPRODUCT(Benefit_Grid!$C81:$AU81*(F81/(F81+Benefit_Grid!$C$5:$AU$5))*(1/(1+Assumptions!$B$8))^Benefit_Grid!$C$5:$AU$5)</f>
        <v>382396.59093944024</v>
      </c>
      <c r="M81" s="7">
        <f>SUMPRODUCT(Benefit_Grid!$C81:$AU81/(F81+Benefit_Grid!$C$5:$AU$5)*(1/(1+Assumptions!$B$8))^Benefit_Grid!$C$5:$AU$5)</f>
        <v>29280.996821935125</v>
      </c>
      <c r="N81" s="24">
        <v>382396.59093900002</v>
      </c>
      <c r="O81" s="26">
        <f t="shared" si="8"/>
        <v>4.40224539488554E-7</v>
      </c>
    </row>
    <row r="82" spans="1:15" x14ac:dyDescent="0.3">
      <c r="A82" s="23" t="s">
        <v>141</v>
      </c>
      <c r="B82" s="14">
        <v>33642</v>
      </c>
      <c r="C82" s="14">
        <v>43506</v>
      </c>
      <c r="D82" s="24">
        <v>53500</v>
      </c>
      <c r="E82" s="25">
        <f>(Assumptions!$B$6-B82)/365.25</f>
        <v>34.1409993155373</v>
      </c>
      <c r="F82" s="25">
        <f>(Assumptions!$B$6-C82)/365.25</f>
        <v>7.1348391512662559</v>
      </c>
      <c r="G82" s="5">
        <f t="shared" si="6"/>
        <v>34</v>
      </c>
      <c r="H82" s="5">
        <f>Assumptions!$B$7-G82</f>
        <v>26</v>
      </c>
      <c r="I82" s="5">
        <f t="shared" si="7"/>
        <v>7</v>
      </c>
      <c r="J82" s="7">
        <f>MIN(15/26*D82*I82,Assumptions!$B$10)</f>
        <v>216057.69230769228</v>
      </c>
      <c r="K82" s="5">
        <f>IF(F82&gt;=Assumptions!$B$11,1,0)</f>
        <v>1</v>
      </c>
      <c r="L82" s="7">
        <f>SUMPRODUCT(Benefit_Grid!$C82:$AU82*(F82/(F82+Benefit_Grid!$C$5:$AU$5))*(1/(1+Assumptions!$B$8))^Benefit_Grid!$C$5:$AU$5)</f>
        <v>173342.40192118255</v>
      </c>
      <c r="M82" s="7">
        <f>SUMPRODUCT(Benefit_Grid!$C82:$AU82/(F82+Benefit_Grid!$C$5:$AU$5)*(1/(1+Assumptions!$B$8))^Benefit_Grid!$C$5:$AU$5)</f>
        <v>24295.208097356837</v>
      </c>
      <c r="N82" s="24">
        <v>173342.40192100001</v>
      </c>
      <c r="O82" s="26">
        <f t="shared" si="8"/>
        <v>1.8253922462463379E-7</v>
      </c>
    </row>
    <row r="83" spans="1:15" x14ac:dyDescent="0.3">
      <c r="A83" s="23" t="s">
        <v>142</v>
      </c>
      <c r="B83" s="14">
        <v>29371</v>
      </c>
      <c r="C83" s="14">
        <v>40219</v>
      </c>
      <c r="D83" s="24">
        <v>122800</v>
      </c>
      <c r="E83" s="25">
        <f>(Assumptions!$B$6-B83)/365.25</f>
        <v>45.834360027378509</v>
      </c>
      <c r="F83" s="25">
        <f>(Assumptions!$B$6-C83)/365.25</f>
        <v>16.134154688569474</v>
      </c>
      <c r="G83" s="5">
        <f t="shared" si="6"/>
        <v>45</v>
      </c>
      <c r="H83" s="5">
        <f>Assumptions!$B$7-G83</f>
        <v>15</v>
      </c>
      <c r="I83" s="5">
        <f t="shared" si="7"/>
        <v>16</v>
      </c>
      <c r="J83" s="7">
        <f>MIN(15/26*D83*I83,Assumptions!$B$10)</f>
        <v>1133538.4615384615</v>
      </c>
      <c r="K83" s="5">
        <f>IF(F83&gt;=Assumptions!$B$11,1,0)</f>
        <v>1</v>
      </c>
      <c r="L83" s="7">
        <f>SUMPRODUCT(Benefit_Grid!$C83:$AU83*(F83/(F83+Benefit_Grid!$C$5:$AU$5))*(1/(1+Assumptions!$B$8))^Benefit_Grid!$C$5:$AU$5)</f>
        <v>536283.22812629666</v>
      </c>
      <c r="M83" s="7">
        <f>SUMPRODUCT(Benefit_Grid!$C83:$AU83/(F83+Benefit_Grid!$C$5:$AU$5)*(1/(1+Assumptions!$B$8))^Benefit_Grid!$C$5:$AU$5)</f>
        <v>33239.003745652437</v>
      </c>
      <c r="N83" s="24">
        <v>536283.22812600003</v>
      </c>
      <c r="O83" s="26">
        <f t="shared" si="8"/>
        <v>2.9662624001502991E-7</v>
      </c>
    </row>
    <row r="84" spans="1:15" x14ac:dyDescent="0.3">
      <c r="A84" s="23" t="s">
        <v>143</v>
      </c>
      <c r="B84" s="14">
        <v>35031</v>
      </c>
      <c r="C84" s="14">
        <v>44057</v>
      </c>
      <c r="D84" s="24">
        <v>40900</v>
      </c>
      <c r="E84" s="25">
        <f>(Assumptions!$B$6-B84)/365.25</f>
        <v>30.338124572210816</v>
      </c>
      <c r="F84" s="25">
        <f>(Assumptions!$B$6-C84)/365.25</f>
        <v>5.6262833675564679</v>
      </c>
      <c r="G84" s="5">
        <f t="shared" si="6"/>
        <v>30</v>
      </c>
      <c r="H84" s="5">
        <f>Assumptions!$B$7-G84</f>
        <v>30</v>
      </c>
      <c r="I84" s="5">
        <f t="shared" si="7"/>
        <v>6</v>
      </c>
      <c r="J84" s="7">
        <f>MIN(15/26*D84*I84,Assumptions!$B$10)</f>
        <v>141576.92307692306</v>
      </c>
      <c r="K84" s="5">
        <f>IF(F84&gt;=Assumptions!$B$11,1,0)</f>
        <v>1</v>
      </c>
      <c r="L84" s="7">
        <f>SUMPRODUCT(Benefit_Grid!$C84:$AU84*(F84/(F84+Benefit_Grid!$C$5:$AU$5))*(1/(1+Assumptions!$B$8))^Benefit_Grid!$C$5:$AU$5)</f>
        <v>121324.41387587367</v>
      </c>
      <c r="M84" s="7">
        <f>SUMPRODUCT(Benefit_Grid!$C84:$AU84/(F84+Benefit_Grid!$C$5:$AU$5)*(1/(1+Assumptions!$B$8))^Benefit_Grid!$C$5:$AU$5)</f>
        <v>21563.864802025724</v>
      </c>
      <c r="N84" s="24">
        <v>121324.41387600001</v>
      </c>
      <c r="O84" s="26">
        <f t="shared" si="8"/>
        <v>-1.2633972801268101E-7</v>
      </c>
    </row>
    <row r="85" spans="1:15" x14ac:dyDescent="0.3">
      <c r="A85" s="23" t="s">
        <v>144</v>
      </c>
      <c r="B85" s="14">
        <v>29377</v>
      </c>
      <c r="C85" s="14">
        <v>42180</v>
      </c>
      <c r="D85" s="24">
        <v>72500</v>
      </c>
      <c r="E85" s="25">
        <f>(Assumptions!$B$6-B85)/365.25</f>
        <v>45.817932922655714</v>
      </c>
      <c r="F85" s="25">
        <f>(Assumptions!$B$6-C85)/365.25</f>
        <v>10.765229295003422</v>
      </c>
      <c r="G85" s="5">
        <f t="shared" si="6"/>
        <v>45</v>
      </c>
      <c r="H85" s="5">
        <f>Assumptions!$B$7-G85</f>
        <v>15</v>
      </c>
      <c r="I85" s="5">
        <f t="shared" si="7"/>
        <v>11</v>
      </c>
      <c r="J85" s="7">
        <f>MIN(15/26*D85*I85,Assumptions!$B$10)</f>
        <v>460096.15384615376</v>
      </c>
      <c r="K85" s="5">
        <f>IF(F85&gt;=Assumptions!$B$11,1,0)</f>
        <v>1</v>
      </c>
      <c r="L85" s="7">
        <f>SUMPRODUCT(Benefit_Grid!$C85:$AU85*(F85/(F85+Benefit_Grid!$C$5:$AU$5))*(1/(1+Assumptions!$B$8))^Benefit_Grid!$C$5:$AU$5)</f>
        <v>350303.19092794636</v>
      </c>
      <c r="M85" s="7">
        <f>SUMPRODUCT(Benefit_Grid!$C85:$AU85/(F85+Benefit_Grid!$C$5:$AU$5)*(1/(1+Assumptions!$B$8))^Benefit_Grid!$C$5:$AU$5)</f>
        <v>32540.244274270706</v>
      </c>
      <c r="N85" s="24">
        <v>350303.19092800003</v>
      </c>
      <c r="O85" s="26">
        <f t="shared" si="8"/>
        <v>-5.3667463362216949E-8</v>
      </c>
    </row>
    <row r="86" spans="1:15" x14ac:dyDescent="0.3">
      <c r="A86" s="23" t="s">
        <v>145</v>
      </c>
      <c r="B86" s="14">
        <v>32687</v>
      </c>
      <c r="C86" s="14">
        <v>44646</v>
      </c>
      <c r="D86" s="24">
        <v>29700</v>
      </c>
      <c r="E86" s="25">
        <f>(Assumptions!$B$6-B86)/365.25</f>
        <v>36.755646817248461</v>
      </c>
      <c r="F86" s="25">
        <f>(Assumptions!$B$6-C86)/365.25</f>
        <v>4.0136892539356603</v>
      </c>
      <c r="G86" s="5">
        <f t="shared" si="6"/>
        <v>36</v>
      </c>
      <c r="H86" s="5">
        <f>Assumptions!$B$7-G86</f>
        <v>24</v>
      </c>
      <c r="I86" s="5">
        <f t="shared" si="7"/>
        <v>4</v>
      </c>
      <c r="J86" s="7">
        <f>MIN(15/26*D86*I86,Assumptions!$B$10)</f>
        <v>68538.461538461532</v>
      </c>
      <c r="K86" s="5">
        <f>IF(F86&gt;=Assumptions!$B$11,1,0)</f>
        <v>0</v>
      </c>
      <c r="L86" s="7">
        <f>SUMPRODUCT(Benefit_Grid!$C86:$AU86*(F86/(F86+Benefit_Grid!$C$5:$AU$5))*(1/(1+Assumptions!$B$8))^Benefit_Grid!$C$5:$AU$5)</f>
        <v>66511.029343548274</v>
      </c>
      <c r="M86" s="7">
        <f>SUMPRODUCT(Benefit_Grid!$C86:$AU86/(F86+Benefit_Grid!$C$5:$AU$5)*(1/(1+Assumptions!$B$8))^Benefit_Grid!$C$5:$AU$5)</f>
        <v>16571.046021644623</v>
      </c>
      <c r="N86" s="24">
        <v>66511.029343999995</v>
      </c>
      <c r="O86" s="26">
        <f t="shared" si="8"/>
        <v>-4.5172055251896381E-7</v>
      </c>
    </row>
    <row r="87" spans="1:15" x14ac:dyDescent="0.3">
      <c r="A87" s="23" t="s">
        <v>146</v>
      </c>
      <c r="B87" s="14">
        <v>28584</v>
      </c>
      <c r="C87" s="14">
        <v>41324</v>
      </c>
      <c r="D87" s="24">
        <v>54800</v>
      </c>
      <c r="E87" s="25">
        <f>(Assumptions!$B$6-B87)/365.25</f>
        <v>47.989048596851468</v>
      </c>
      <c r="F87" s="25">
        <f>(Assumptions!$B$6-C87)/365.25</f>
        <v>13.108829568788501</v>
      </c>
      <c r="G87" s="5">
        <f t="shared" si="6"/>
        <v>47</v>
      </c>
      <c r="H87" s="5">
        <f>Assumptions!$B$7-G87</f>
        <v>13</v>
      </c>
      <c r="I87" s="5">
        <f t="shared" si="7"/>
        <v>13</v>
      </c>
      <c r="J87" s="7">
        <f>MIN(15/26*D87*I87,Assumptions!$B$10)</f>
        <v>411000</v>
      </c>
      <c r="K87" s="5">
        <f>IF(F87&gt;=Assumptions!$B$11,1,0)</f>
        <v>1</v>
      </c>
      <c r="L87" s="7">
        <f>SUMPRODUCT(Benefit_Grid!$C87:$AU87*(F87/(F87+Benefit_Grid!$C$5:$AU$5))*(1/(1+Assumptions!$B$8))^Benefit_Grid!$C$5:$AU$5)</f>
        <v>420635.35798090056</v>
      </c>
      <c r="M87" s="7">
        <f>SUMPRODUCT(Benefit_Grid!$C87:$AU87/(F87+Benefit_Grid!$C$5:$AU$5)*(1/(1+Assumptions!$B$8))^Benefit_Grid!$C$5:$AU$5)</f>
        <v>32087.941625422711</v>
      </c>
      <c r="N87" s="24">
        <v>420635.35798099998</v>
      </c>
      <c r="O87" s="26">
        <f t="shared" si="8"/>
        <v>-9.9418684840202332E-8</v>
      </c>
    </row>
    <row r="88" spans="1:15" x14ac:dyDescent="0.3">
      <c r="A88" s="23" t="s">
        <v>147</v>
      </c>
      <c r="B88" s="14">
        <v>33593</v>
      </c>
      <c r="C88" s="14">
        <v>44559</v>
      </c>
      <c r="D88" s="24">
        <v>30700</v>
      </c>
      <c r="E88" s="25">
        <f>(Assumptions!$B$6-B88)/365.25</f>
        <v>34.275154004106774</v>
      </c>
      <c r="F88" s="25">
        <f>(Assumptions!$B$6-C88)/365.25</f>
        <v>4.2518822724161529</v>
      </c>
      <c r="G88" s="5">
        <f t="shared" si="6"/>
        <v>34</v>
      </c>
      <c r="H88" s="5">
        <f>Assumptions!$B$7-G88</f>
        <v>26</v>
      </c>
      <c r="I88" s="5">
        <f t="shared" si="7"/>
        <v>4</v>
      </c>
      <c r="J88" s="7">
        <f>MIN(15/26*D88*I88,Assumptions!$B$10)</f>
        <v>70846.153846153844</v>
      </c>
      <c r="K88" s="5">
        <f>IF(F88&gt;=Assumptions!$B$11,1,0)</f>
        <v>0</v>
      </c>
      <c r="L88" s="7">
        <f>SUMPRODUCT(Benefit_Grid!$C88:$AU88*(F88/(F88+Benefit_Grid!$C$5:$AU$5))*(1/(1+Assumptions!$B$8))^Benefit_Grid!$C$5:$AU$5)</f>
        <v>68044.933759587497</v>
      </c>
      <c r="M88" s="7">
        <f>SUMPRODUCT(Benefit_Grid!$C88:$AU88/(F88+Benefit_Grid!$C$5:$AU$5)*(1/(1+Assumptions!$B$8))^Benefit_Grid!$C$5:$AU$5)</f>
        <v>16003.484903856628</v>
      </c>
      <c r="N88" s="24">
        <v>68044.93376</v>
      </c>
      <c r="O88" s="26">
        <f t="shared" si="8"/>
        <v>-4.1250314097851515E-7</v>
      </c>
    </row>
    <row r="89" spans="1:15" x14ac:dyDescent="0.3">
      <c r="A89" s="23" t="s">
        <v>148</v>
      </c>
      <c r="B89" s="14">
        <v>29575</v>
      </c>
      <c r="C89" s="14">
        <v>40134</v>
      </c>
      <c r="D89" s="24">
        <v>71700</v>
      </c>
      <c r="E89" s="25">
        <f>(Assumptions!$B$6-B89)/365.25</f>
        <v>45.275838466803556</v>
      </c>
      <c r="F89" s="25">
        <f>(Assumptions!$B$6-C89)/365.25</f>
        <v>16.366872005475702</v>
      </c>
      <c r="G89" s="5">
        <f t="shared" si="6"/>
        <v>45</v>
      </c>
      <c r="H89" s="5">
        <f>Assumptions!$B$7-G89</f>
        <v>15</v>
      </c>
      <c r="I89" s="5">
        <f t="shared" si="7"/>
        <v>16</v>
      </c>
      <c r="J89" s="7">
        <f>MIN(15/26*D89*I89,Assumptions!$B$10)</f>
        <v>661846.15384615376</v>
      </c>
      <c r="K89" s="5">
        <f>IF(F89&gt;=Assumptions!$B$11,1,0)</f>
        <v>1</v>
      </c>
      <c r="L89" s="7">
        <f>SUMPRODUCT(Benefit_Grid!$C89:$AU89*(F89/(F89+Benefit_Grid!$C$5:$AU$5))*(1/(1+Assumptions!$B$8))^Benefit_Grid!$C$5:$AU$5)</f>
        <v>458909.59646811069</v>
      </c>
      <c r="M89" s="7">
        <f>SUMPRODUCT(Benefit_Grid!$C89:$AU89/(F89+Benefit_Grid!$C$5:$AU$5)*(1/(1+Assumptions!$B$8))^Benefit_Grid!$C$5:$AU$5)</f>
        <v>28038.931099026006</v>
      </c>
      <c r="N89" s="24">
        <v>458909.59646799997</v>
      </c>
      <c r="O89" s="26">
        <f t="shared" si="8"/>
        <v>1.1071097105741501E-7</v>
      </c>
    </row>
    <row r="90" spans="1:15" x14ac:dyDescent="0.3">
      <c r="A90" s="23" t="s">
        <v>149</v>
      </c>
      <c r="B90" s="14">
        <v>28457</v>
      </c>
      <c r="C90" s="14">
        <v>41767</v>
      </c>
      <c r="D90" s="24">
        <v>59600</v>
      </c>
      <c r="E90" s="25">
        <f>(Assumptions!$B$6-B90)/365.25</f>
        <v>48.336755646817245</v>
      </c>
      <c r="F90" s="25">
        <f>(Assumptions!$B$6-C90)/365.25</f>
        <v>11.89596167008898</v>
      </c>
      <c r="G90" s="5">
        <f t="shared" si="6"/>
        <v>48</v>
      </c>
      <c r="H90" s="5">
        <f>Assumptions!$B$7-G90</f>
        <v>12</v>
      </c>
      <c r="I90" s="5">
        <f t="shared" si="7"/>
        <v>12</v>
      </c>
      <c r="J90" s="7">
        <f>MIN(15/26*D90*I90,Assumptions!$B$10)</f>
        <v>412615.38461538462</v>
      </c>
      <c r="K90" s="5">
        <f>IF(F90&gt;=Assumptions!$B$11,1,0)</f>
        <v>1</v>
      </c>
      <c r="L90" s="7">
        <f>SUMPRODUCT(Benefit_Grid!$C90:$AU90*(F90/(F90+Benefit_Grid!$C$5:$AU$5))*(1/(1+Assumptions!$B$8))^Benefit_Grid!$C$5:$AU$5)</f>
        <v>439739.22727474099</v>
      </c>
      <c r="M90" s="7">
        <f>SUMPRODUCT(Benefit_Grid!$C90:$AU90/(F90+Benefit_Grid!$C$5:$AU$5)*(1/(1+Assumptions!$B$8))^Benefit_Grid!$C$5:$AU$5)</f>
        <v>36965.420658710966</v>
      </c>
      <c r="N90" s="24">
        <v>439739.22727500001</v>
      </c>
      <c r="O90" s="26">
        <f t="shared" si="8"/>
        <v>-2.5902409106492996E-7</v>
      </c>
    </row>
    <row r="91" spans="1:15" x14ac:dyDescent="0.3">
      <c r="A91" s="23" t="s">
        <v>150</v>
      </c>
      <c r="B91" s="14">
        <v>30614</v>
      </c>
      <c r="C91" s="14">
        <v>41567</v>
      </c>
      <c r="D91" s="24">
        <v>66800</v>
      </c>
      <c r="E91" s="25">
        <f>(Assumptions!$B$6-B91)/365.25</f>
        <v>42.431211498973305</v>
      </c>
      <c r="F91" s="25">
        <f>(Assumptions!$B$6-C91)/365.25</f>
        <v>12.4435318275154</v>
      </c>
      <c r="G91" s="5">
        <f t="shared" si="6"/>
        <v>42</v>
      </c>
      <c r="H91" s="5">
        <f>Assumptions!$B$7-G91</f>
        <v>18</v>
      </c>
      <c r="I91" s="5">
        <f t="shared" si="7"/>
        <v>12</v>
      </c>
      <c r="J91" s="7">
        <f>MIN(15/26*D91*I91,Assumptions!$B$10)</f>
        <v>462461.53846153838</v>
      </c>
      <c r="K91" s="5">
        <f>IF(F91&gt;=Assumptions!$B$11,1,0)</f>
        <v>1</v>
      </c>
      <c r="L91" s="7">
        <f>SUMPRODUCT(Benefit_Grid!$C91:$AU91*(F91/(F91+Benefit_Grid!$C$5:$AU$5))*(1/(1+Assumptions!$B$8))^Benefit_Grid!$C$5:$AU$5)</f>
        <v>330196.56880110502</v>
      </c>
      <c r="M91" s="7">
        <f>SUMPRODUCT(Benefit_Grid!$C91:$AU91/(F91+Benefit_Grid!$C$5:$AU$5)*(1/(1+Assumptions!$B$8))^Benefit_Grid!$C$5:$AU$5)</f>
        <v>26535.598845897392</v>
      </c>
      <c r="N91" s="24">
        <v>330196.56880100002</v>
      </c>
      <c r="O91" s="26">
        <f t="shared" si="8"/>
        <v>1.050066202878952E-7</v>
      </c>
    </row>
    <row r="92" spans="1:15" x14ac:dyDescent="0.3">
      <c r="A92" s="23" t="s">
        <v>151</v>
      </c>
      <c r="B92" s="14">
        <v>35298</v>
      </c>
      <c r="C92" s="14">
        <v>45416</v>
      </c>
      <c r="D92" s="24">
        <v>35000</v>
      </c>
      <c r="E92" s="25">
        <f>(Assumptions!$B$6-B92)/365.25</f>
        <v>29.607118412046542</v>
      </c>
      <c r="F92" s="25">
        <f>(Assumptions!$B$6-C92)/365.25</f>
        <v>1.9055441478439425</v>
      </c>
      <c r="G92" s="5">
        <f t="shared" si="6"/>
        <v>29</v>
      </c>
      <c r="H92" s="5">
        <f>Assumptions!$B$7-G92</f>
        <v>31</v>
      </c>
      <c r="I92" s="5">
        <f t="shared" si="7"/>
        <v>2</v>
      </c>
      <c r="J92" s="7">
        <f>MIN(15/26*D92*I92,Assumptions!$B$10)</f>
        <v>40384.615384615383</v>
      </c>
      <c r="K92" s="5">
        <f>IF(F92&gt;=Assumptions!$B$11,1,0)</f>
        <v>0</v>
      </c>
      <c r="L92" s="7">
        <f>SUMPRODUCT(Benefit_Grid!$C92:$AU92*(F92/(F92+Benefit_Grid!$C$5:$AU$5))*(1/(1+Assumptions!$B$8))^Benefit_Grid!$C$5:$AU$5)</f>
        <v>23099.405434852386</v>
      </c>
      <c r="M92" s="7">
        <f>SUMPRODUCT(Benefit_Grid!$C92:$AU92/(F92+Benefit_Grid!$C$5:$AU$5)*(1/(1+Assumptions!$B$8))^Benefit_Grid!$C$5:$AU$5)</f>
        <v>12122.209533160682</v>
      </c>
      <c r="N92" s="24">
        <v>23099.405435000001</v>
      </c>
      <c r="O92" s="26">
        <f t="shared" si="8"/>
        <v>-1.4761462807655334E-7</v>
      </c>
    </row>
    <row r="93" spans="1:15" x14ac:dyDescent="0.3">
      <c r="A93" s="23" t="s">
        <v>152</v>
      </c>
      <c r="B93" s="14">
        <v>36153</v>
      </c>
      <c r="C93" s="14">
        <v>44759</v>
      </c>
      <c r="D93" s="24">
        <v>44900</v>
      </c>
      <c r="E93" s="25">
        <f>(Assumptions!$B$6-B93)/365.25</f>
        <v>27.266255989048595</v>
      </c>
      <c r="F93" s="25">
        <f>(Assumptions!$B$6-C93)/365.25</f>
        <v>3.7043121149897331</v>
      </c>
      <c r="G93" s="5">
        <f t="shared" si="6"/>
        <v>27</v>
      </c>
      <c r="H93" s="5">
        <f>Assumptions!$B$7-G93</f>
        <v>33</v>
      </c>
      <c r="I93" s="5">
        <f t="shared" si="7"/>
        <v>4</v>
      </c>
      <c r="J93" s="7">
        <f>MIN(15/26*D93*I93,Assumptions!$B$10)</f>
        <v>103615.38461538461</v>
      </c>
      <c r="K93" s="5">
        <f>IF(F93&gt;=Assumptions!$B$11,1,0)</f>
        <v>0</v>
      </c>
      <c r="L93" s="7">
        <f>SUMPRODUCT(Benefit_Grid!$C93:$AU93*(F93/(F93+Benefit_Grid!$C$5:$AU$5))*(1/(1+Assumptions!$B$8))^Benefit_Grid!$C$5:$AU$5)</f>
        <v>76740.431001003599</v>
      </c>
      <c r="M93" s="7">
        <f>SUMPRODUCT(Benefit_Grid!$C93:$AU93/(F93+Benefit_Grid!$C$5:$AU$5)*(1/(1+Assumptions!$B$8))^Benefit_Grid!$C$5:$AU$5)</f>
        <v>20716.513246944978</v>
      </c>
      <c r="N93" s="24">
        <v>76740.431001000004</v>
      </c>
      <c r="O93" s="26">
        <f t="shared" si="8"/>
        <v>3.5943230614066124E-9</v>
      </c>
    </row>
    <row r="94" spans="1:15" x14ac:dyDescent="0.3">
      <c r="A94" s="23" t="s">
        <v>153</v>
      </c>
      <c r="B94" s="14">
        <v>34324</v>
      </c>
      <c r="C94" s="14">
        <v>43911</v>
      </c>
      <c r="D94" s="24">
        <v>41100</v>
      </c>
      <c r="E94" s="25">
        <f>(Assumptions!$B$6-B94)/365.25</f>
        <v>32.27378507871321</v>
      </c>
      <c r="F94" s="25">
        <f>(Assumptions!$B$6-C94)/365.25</f>
        <v>6.0260095824777551</v>
      </c>
      <c r="G94" s="5">
        <f t="shared" si="6"/>
        <v>32</v>
      </c>
      <c r="H94" s="5">
        <f>Assumptions!$B$7-G94</f>
        <v>28</v>
      </c>
      <c r="I94" s="5">
        <f t="shared" si="7"/>
        <v>6</v>
      </c>
      <c r="J94" s="7">
        <f>MIN(15/26*D94*I94,Assumptions!$B$10)</f>
        <v>142269.23076923075</v>
      </c>
      <c r="K94" s="5">
        <f>IF(F94&gt;=Assumptions!$B$11,1,0)</f>
        <v>1</v>
      </c>
      <c r="L94" s="7">
        <f>SUMPRODUCT(Benefit_Grid!$C94:$AU94*(F94/(F94+Benefit_Grid!$C$5:$AU$5))*(1/(1+Assumptions!$B$8))^Benefit_Grid!$C$5:$AU$5)</f>
        <v>123150.12693098778</v>
      </c>
      <c r="M94" s="7">
        <f>SUMPRODUCT(Benefit_Grid!$C94:$AU94/(F94+Benefit_Grid!$C$5:$AU$5)*(1/(1+Assumptions!$B$8))^Benefit_Grid!$C$5:$AU$5)</f>
        <v>20436.430650405855</v>
      </c>
      <c r="N94" s="24">
        <v>123150.12693100001</v>
      </c>
      <c r="O94" s="26">
        <f t="shared" si="8"/>
        <v>-1.2223608791828156E-8</v>
      </c>
    </row>
    <row r="95" spans="1:15" x14ac:dyDescent="0.3">
      <c r="A95" s="23" t="s">
        <v>154</v>
      </c>
      <c r="B95" s="14">
        <v>31466</v>
      </c>
      <c r="C95" s="14">
        <v>40172</v>
      </c>
      <c r="D95" s="24">
        <v>80200</v>
      </c>
      <c r="E95" s="25">
        <f>(Assumptions!$B$6-B95)/365.25</f>
        <v>40.098562628336758</v>
      </c>
      <c r="F95" s="25">
        <f>(Assumptions!$B$6-C95)/365.25</f>
        <v>16.262833675564682</v>
      </c>
      <c r="G95" s="5">
        <f t="shared" si="6"/>
        <v>40</v>
      </c>
      <c r="H95" s="5">
        <f>Assumptions!$B$7-G95</f>
        <v>20</v>
      </c>
      <c r="I95" s="5">
        <f t="shared" si="7"/>
        <v>16</v>
      </c>
      <c r="J95" s="7">
        <f>MIN(15/26*D95*I95,Assumptions!$B$10)</f>
        <v>740307.69230769225</v>
      </c>
      <c r="K95" s="5">
        <f>IF(F95&gt;=Assumptions!$B$11,1,0)</f>
        <v>1</v>
      </c>
      <c r="L95" s="7">
        <f>SUMPRODUCT(Benefit_Grid!$C95:$AU95*(F95/(F95+Benefit_Grid!$C$5:$AU$5))*(1/(1+Assumptions!$B$8))^Benefit_Grid!$C$5:$AU$5)</f>
        <v>433257.22734563472</v>
      </c>
      <c r="M95" s="7">
        <f>SUMPRODUCT(Benefit_Grid!$C95:$AU95/(F95+Benefit_Grid!$C$5:$AU$5)*(1/(1+Assumptions!$B$8))^Benefit_Grid!$C$5:$AU$5)</f>
        <v>26640.943146126785</v>
      </c>
      <c r="N95" s="24">
        <v>433257.22734600003</v>
      </c>
      <c r="O95" s="26">
        <f t="shared" si="8"/>
        <v>-3.6531127989292145E-7</v>
      </c>
    </row>
    <row r="96" spans="1:15" x14ac:dyDescent="0.3">
      <c r="A96" s="23" t="s">
        <v>155</v>
      </c>
      <c r="B96" s="14">
        <v>27615</v>
      </c>
      <c r="C96" s="14">
        <v>37649</v>
      </c>
      <c r="D96" s="24">
        <v>78200</v>
      </c>
      <c r="E96" s="25">
        <f>(Assumptions!$B$6-B96)/365.25</f>
        <v>50.64202600958248</v>
      </c>
      <c r="F96" s="25">
        <f>(Assumptions!$B$6-C96)/365.25</f>
        <v>23.170431211498972</v>
      </c>
      <c r="G96" s="5">
        <f t="shared" si="6"/>
        <v>50</v>
      </c>
      <c r="H96" s="5">
        <f>Assumptions!$B$7-G96</f>
        <v>10</v>
      </c>
      <c r="I96" s="5">
        <f t="shared" si="7"/>
        <v>23</v>
      </c>
      <c r="J96" s="7">
        <f>MIN(15/26*D96*I96,Assumptions!$B$10)</f>
        <v>1037653.846153846</v>
      </c>
      <c r="K96" s="5">
        <f>IF(F96&gt;=Assumptions!$B$11,1,0)</f>
        <v>1</v>
      </c>
      <c r="L96" s="7">
        <f>SUMPRODUCT(Benefit_Grid!$C96:$AU96*(F96/(F96+Benefit_Grid!$C$5:$AU$5))*(1/(1+Assumptions!$B$8))^Benefit_Grid!$C$5:$AU$5)</f>
        <v>760610.38823694503</v>
      </c>
      <c r="M96" s="7">
        <f>SUMPRODUCT(Benefit_Grid!$C96:$AU96/(F96+Benefit_Grid!$C$5:$AU$5)*(1/(1+Assumptions!$B$8))^Benefit_Grid!$C$5:$AU$5)</f>
        <v>32826.768793990806</v>
      </c>
      <c r="N96" s="24">
        <v>760610.38823699998</v>
      </c>
      <c r="O96" s="26">
        <f t="shared" si="8"/>
        <v>-5.4948031902313232E-8</v>
      </c>
    </row>
    <row r="97" spans="1:15" x14ac:dyDescent="0.3">
      <c r="A97" s="23" t="s">
        <v>156</v>
      </c>
      <c r="B97" s="14">
        <v>25800</v>
      </c>
      <c r="C97" s="14">
        <v>34787</v>
      </c>
      <c r="D97" s="24">
        <v>300000</v>
      </c>
      <c r="E97" s="25">
        <f>(Assumptions!$B$6-B97)/365.25</f>
        <v>55.611225188227245</v>
      </c>
      <c r="F97" s="25">
        <f>(Assumptions!$B$6-C97)/365.25</f>
        <v>31.006160164271048</v>
      </c>
      <c r="G97" s="5">
        <f t="shared" si="6"/>
        <v>55</v>
      </c>
      <c r="H97" s="5">
        <f>Assumptions!$B$7-G97</f>
        <v>5</v>
      </c>
      <c r="I97" s="5">
        <f t="shared" si="7"/>
        <v>31</v>
      </c>
      <c r="J97" s="7">
        <f>MIN(15/26*D97*I97,Assumptions!$B$10)</f>
        <v>2000000</v>
      </c>
      <c r="K97" s="5">
        <f>IF(F97&gt;=Assumptions!$B$11,1,0)</f>
        <v>1</v>
      </c>
      <c r="L97" s="7">
        <f>SUMPRODUCT(Benefit_Grid!$C97:$AU97*(F97/(F97+Benefit_Grid!$C$5:$AU$5))*(1/(1+Assumptions!$B$8))^Benefit_Grid!$C$5:$AU$5)</f>
        <v>1247958.4893382648</v>
      </c>
      <c r="M97" s="7">
        <f>SUMPRODUCT(Benefit_Grid!$C97:$AU97/(F97+Benefit_Grid!$C$5:$AU$5)*(1/(1+Assumptions!$B$8))^Benefit_Grid!$C$5:$AU$5)</f>
        <v>40248.727437598332</v>
      </c>
      <c r="N97" s="24">
        <v>1247958.4893380001</v>
      </c>
      <c r="O97" s="26">
        <f t="shared" si="8"/>
        <v>2.6472844183444977E-7</v>
      </c>
    </row>
    <row r="98" spans="1:15" x14ac:dyDescent="0.3">
      <c r="A98" s="23" t="s">
        <v>157</v>
      </c>
      <c r="B98" s="14">
        <v>29465</v>
      </c>
      <c r="C98" s="14">
        <v>40152</v>
      </c>
      <c r="D98" s="24">
        <v>66300</v>
      </c>
      <c r="E98" s="25">
        <f>(Assumptions!$B$6-B98)/365.25</f>
        <v>45.577002053388092</v>
      </c>
      <c r="F98" s="25">
        <f>(Assumptions!$B$6-C98)/365.25</f>
        <v>16.317590691307323</v>
      </c>
      <c r="G98" s="5">
        <f t="shared" si="6"/>
        <v>45</v>
      </c>
      <c r="H98" s="5">
        <f>Assumptions!$B$7-G98</f>
        <v>15</v>
      </c>
      <c r="I98" s="5">
        <f t="shared" si="7"/>
        <v>16</v>
      </c>
      <c r="J98" s="7">
        <f>MIN(15/26*D98*I98,Assumptions!$B$10)</f>
        <v>612000</v>
      </c>
      <c r="K98" s="5">
        <f>IF(F98&gt;=Assumptions!$B$11,1,0)</f>
        <v>1</v>
      </c>
      <c r="L98" s="7">
        <f>SUMPRODUCT(Benefit_Grid!$C98:$AU98*(F98/(F98+Benefit_Grid!$C$5:$AU$5))*(1/(1+Assumptions!$B$8))^Benefit_Grid!$C$5:$AU$5)</f>
        <v>446977.46902440744</v>
      </c>
      <c r="M98" s="7">
        <f>SUMPRODUCT(Benefit_Grid!$C98:$AU98/(F98+Benefit_Grid!$C$5:$AU$5)*(1/(1+Assumptions!$B$8))^Benefit_Grid!$C$5:$AU$5)</f>
        <v>27392.36922167195</v>
      </c>
      <c r="N98" s="24">
        <v>446977.46902399999</v>
      </c>
      <c r="O98" s="26">
        <f t="shared" si="8"/>
        <v>4.0745362639427185E-7</v>
      </c>
    </row>
    <row r="99" spans="1:15" x14ac:dyDescent="0.3">
      <c r="A99" s="23" t="s">
        <v>158</v>
      </c>
      <c r="B99" s="14">
        <v>28603</v>
      </c>
      <c r="C99" s="14">
        <v>38505</v>
      </c>
      <c r="D99" s="24">
        <v>214300</v>
      </c>
      <c r="E99" s="25">
        <f>(Assumptions!$B$6-B99)/365.25</f>
        <v>47.937029431895965</v>
      </c>
      <c r="F99" s="25">
        <f>(Assumptions!$B$6-C99)/365.25</f>
        <v>20.826830937713893</v>
      </c>
      <c r="G99" s="5">
        <f t="shared" si="6"/>
        <v>47</v>
      </c>
      <c r="H99" s="5">
        <f>Assumptions!$B$7-G99</f>
        <v>13</v>
      </c>
      <c r="I99" s="5">
        <f t="shared" si="7"/>
        <v>21</v>
      </c>
      <c r="J99" s="7">
        <f>MIN(15/26*D99*I99,Assumptions!$B$10)</f>
        <v>2000000</v>
      </c>
      <c r="K99" s="5">
        <f>IF(F99&gt;=Assumptions!$B$11,1,0)</f>
        <v>1</v>
      </c>
      <c r="L99" s="7">
        <f>SUMPRODUCT(Benefit_Grid!$C99:$AU99*(F99/(F99+Benefit_Grid!$C$5:$AU$5))*(1/(1+Assumptions!$B$8))^Benefit_Grid!$C$5:$AU$5)</f>
        <v>675018.60540625616</v>
      </c>
      <c r="M99" s="7">
        <f>SUMPRODUCT(Benefit_Grid!$C99:$AU99/(F99+Benefit_Grid!$C$5:$AU$5)*(1/(1+Assumptions!$B$8))^Benefit_Grid!$C$5:$AU$5)</f>
        <v>32411.009021248203</v>
      </c>
      <c r="N99" s="24">
        <v>675018.60540600005</v>
      </c>
      <c r="O99" s="26">
        <f t="shared" si="8"/>
        <v>2.5611370801925659E-7</v>
      </c>
    </row>
    <row r="100" spans="1:15" x14ac:dyDescent="0.3">
      <c r="A100" s="23" t="s">
        <v>159</v>
      </c>
      <c r="B100" s="14">
        <v>36873</v>
      </c>
      <c r="C100" s="14">
        <v>45358</v>
      </c>
      <c r="D100" s="24">
        <v>44800</v>
      </c>
      <c r="E100" s="25">
        <f>(Assumptions!$B$6-B100)/365.25</f>
        <v>25.295003422313485</v>
      </c>
      <c r="F100" s="25">
        <f>(Assumptions!$B$6-C100)/365.25</f>
        <v>2.0643394934976045</v>
      </c>
      <c r="G100" s="5">
        <f t="shared" si="6"/>
        <v>25</v>
      </c>
      <c r="H100" s="5">
        <f>Assumptions!$B$7-G100</f>
        <v>35</v>
      </c>
      <c r="I100" s="5">
        <f t="shared" si="7"/>
        <v>2</v>
      </c>
      <c r="J100" s="7">
        <f>MIN(15/26*D100*I100,Assumptions!$B$10)</f>
        <v>51692.307692307688</v>
      </c>
      <c r="K100" s="5">
        <f>IF(F100&gt;=Assumptions!$B$11,1,0)</f>
        <v>0</v>
      </c>
      <c r="L100" s="7">
        <f>SUMPRODUCT(Benefit_Grid!$C100:$AU100*(F100/(F100+Benefit_Grid!$C$5:$AU$5))*(1/(1+Assumptions!$B$8))^Benefit_Grid!$C$5:$AU$5)</f>
        <v>35662.145519918275</v>
      </c>
      <c r="M100" s="7">
        <f>SUMPRODUCT(Benefit_Grid!$C100:$AU100/(F100+Benefit_Grid!$C$5:$AU$5)*(1/(1+Assumptions!$B$8))^Benefit_Grid!$C$5:$AU$5)</f>
        <v>17275.329776061211</v>
      </c>
      <c r="N100" s="24">
        <v>35662.145519999998</v>
      </c>
      <c r="O100" s="26">
        <f t="shared" si="8"/>
        <v>-8.172355592250824E-8</v>
      </c>
    </row>
    <row r="101" spans="1:15" x14ac:dyDescent="0.3">
      <c r="A101" s="23" t="s">
        <v>160</v>
      </c>
      <c r="B101" s="14">
        <v>33334</v>
      </c>
      <c r="C101" s="14">
        <v>42556</v>
      </c>
      <c r="D101" s="24">
        <v>35500</v>
      </c>
      <c r="E101" s="25">
        <f>(Assumptions!$B$6-B101)/365.25</f>
        <v>34.984257357973988</v>
      </c>
      <c r="F101" s="25">
        <f>(Assumptions!$B$6-C101)/365.25</f>
        <v>9.7357973990417523</v>
      </c>
      <c r="G101" s="5">
        <f t="shared" si="6"/>
        <v>34</v>
      </c>
      <c r="H101" s="5">
        <f>Assumptions!$B$7-G101</f>
        <v>26</v>
      </c>
      <c r="I101" s="5">
        <f t="shared" si="7"/>
        <v>10</v>
      </c>
      <c r="J101" s="7">
        <f>MIN(15/26*D101*I101,Assumptions!$B$10)</f>
        <v>204807.69230769231</v>
      </c>
      <c r="K101" s="5">
        <f>IF(F101&gt;=Assumptions!$B$11,1,0)</f>
        <v>1</v>
      </c>
      <c r="L101" s="7">
        <f>SUMPRODUCT(Benefit_Grid!$C101:$AU101*(F101/(F101+Benefit_Grid!$C$5:$AU$5))*(1/(1+Assumptions!$B$8))^Benefit_Grid!$C$5:$AU$5)</f>
        <v>172888.21401173796</v>
      </c>
      <c r="M101" s="7">
        <f>SUMPRODUCT(Benefit_Grid!$C101:$AU101/(F101+Benefit_Grid!$C$5:$AU$5)*(1/(1+Assumptions!$B$8))^Benefit_Grid!$C$5:$AU$5)</f>
        <v>17757.992173168524</v>
      </c>
      <c r="N101" s="24">
        <v>172888.21401200001</v>
      </c>
      <c r="O101" s="26">
        <f t="shared" si="8"/>
        <v>-2.6205088943243027E-7</v>
      </c>
    </row>
    <row r="102" spans="1:15" x14ac:dyDescent="0.3">
      <c r="A102" s="23" t="s">
        <v>161</v>
      </c>
      <c r="B102" s="14">
        <v>32010</v>
      </c>
      <c r="C102" s="14">
        <v>40637</v>
      </c>
      <c r="D102" s="24">
        <v>91900</v>
      </c>
      <c r="E102" s="25">
        <f>(Assumptions!$B$6-B102)/365.25</f>
        <v>38.609171800136892</v>
      </c>
      <c r="F102" s="25">
        <f>(Assumptions!$B$6-C102)/365.25</f>
        <v>14.989733059548255</v>
      </c>
      <c r="G102" s="5">
        <f t="shared" ref="G102:G133" si="9">INT(E102)</f>
        <v>38</v>
      </c>
      <c r="H102" s="5">
        <f>Assumptions!$B$7-G102</f>
        <v>22</v>
      </c>
      <c r="I102" s="5">
        <f t="shared" ref="I102:I133" si="10">INT(F102)+IF(F102-INT(F102)&gt;0.5,1,0)</f>
        <v>15</v>
      </c>
      <c r="J102" s="7">
        <f>MIN(15/26*D102*I102,Assumptions!$B$10)</f>
        <v>795288.4615384615</v>
      </c>
      <c r="K102" s="5">
        <f>IF(F102&gt;=Assumptions!$B$11,1,0)</f>
        <v>1</v>
      </c>
      <c r="L102" s="7">
        <f>SUMPRODUCT(Benefit_Grid!$C102:$AU102*(F102/(F102+Benefit_Grid!$C$5:$AU$5))*(1/(1+Assumptions!$B$8))^Benefit_Grid!$C$5:$AU$5)</f>
        <v>462960.9879353487</v>
      </c>
      <c r="M102" s="7">
        <f>SUMPRODUCT(Benefit_Grid!$C102:$AU102/(F102+Benefit_Grid!$C$5:$AU$5)*(1/(1+Assumptions!$B$8))^Benefit_Grid!$C$5:$AU$5)</f>
        <v>30885.20563349517</v>
      </c>
      <c r="N102" s="24">
        <v>462960.98793499998</v>
      </c>
      <c r="O102" s="26">
        <f t="shared" ref="O102:O133" si="11">L102-N102</f>
        <v>3.4872209653258324E-7</v>
      </c>
    </row>
    <row r="103" spans="1:15" x14ac:dyDescent="0.3">
      <c r="A103" s="23" t="s">
        <v>162</v>
      </c>
      <c r="B103" s="14">
        <v>32006</v>
      </c>
      <c r="C103" s="14">
        <v>42035</v>
      </c>
      <c r="D103" s="24">
        <v>64000</v>
      </c>
      <c r="E103" s="25">
        <f>(Assumptions!$B$6-B103)/365.25</f>
        <v>38.620123203285424</v>
      </c>
      <c r="F103" s="25">
        <f>(Assumptions!$B$6-C103)/365.25</f>
        <v>11.162217659137577</v>
      </c>
      <c r="G103" s="5">
        <f t="shared" si="9"/>
        <v>38</v>
      </c>
      <c r="H103" s="5">
        <f>Assumptions!$B$7-G103</f>
        <v>22</v>
      </c>
      <c r="I103" s="5">
        <f t="shared" si="10"/>
        <v>11</v>
      </c>
      <c r="J103" s="7">
        <f>MIN(15/26*D103*I103,Assumptions!$B$10)</f>
        <v>406153.84615384613</v>
      </c>
      <c r="K103" s="5">
        <f>IF(F103&gt;=Assumptions!$B$11,1,0)</f>
        <v>1</v>
      </c>
      <c r="L103" s="7">
        <f>SUMPRODUCT(Benefit_Grid!$C103:$AU103*(F103/(F103+Benefit_Grid!$C$5:$AU$5))*(1/(1+Assumptions!$B$8))^Benefit_Grid!$C$5:$AU$5)</f>
        <v>286102.78253349673</v>
      </c>
      <c r="M103" s="7">
        <f>SUMPRODUCT(Benefit_Grid!$C103:$AU103/(F103+Benefit_Grid!$C$5:$AU$5)*(1/(1+Assumptions!$B$8))^Benefit_Grid!$C$5:$AU$5)</f>
        <v>25631.356713357785</v>
      </c>
      <c r="N103" s="24">
        <v>286102.78253299999</v>
      </c>
      <c r="O103" s="26">
        <f t="shared" si="11"/>
        <v>4.9674417823553085E-7</v>
      </c>
    </row>
    <row r="104" spans="1:15" x14ac:dyDescent="0.3">
      <c r="A104" s="23" t="s">
        <v>163</v>
      </c>
      <c r="B104" s="14">
        <v>34387</v>
      </c>
      <c r="C104" s="14">
        <v>45412</v>
      </c>
      <c r="D104" s="24">
        <v>47700</v>
      </c>
      <c r="E104" s="25">
        <f>(Assumptions!$B$6-B104)/365.25</f>
        <v>32.101300479123886</v>
      </c>
      <c r="F104" s="25">
        <f>(Assumptions!$B$6-C104)/365.25</f>
        <v>1.9164955509924708</v>
      </c>
      <c r="G104" s="5">
        <f t="shared" si="9"/>
        <v>32</v>
      </c>
      <c r="H104" s="5">
        <f>Assumptions!$B$7-G104</f>
        <v>28</v>
      </c>
      <c r="I104" s="5">
        <f t="shared" si="10"/>
        <v>2</v>
      </c>
      <c r="J104" s="7">
        <f>MIN(15/26*D104*I104,Assumptions!$B$10)</f>
        <v>55038.461538461532</v>
      </c>
      <c r="K104" s="5">
        <f>IF(F104&gt;=Assumptions!$B$11,1,0)</f>
        <v>0</v>
      </c>
      <c r="L104" s="7">
        <f>SUMPRODUCT(Benefit_Grid!$C104:$AU104*(F104/(F104+Benefit_Grid!$C$5:$AU$5))*(1/(1+Assumptions!$B$8))^Benefit_Grid!$C$5:$AU$5)</f>
        <v>29886.137775953197</v>
      </c>
      <c r="M104" s="7">
        <f>SUMPRODUCT(Benefit_Grid!$C104:$AU104/(F104+Benefit_Grid!$C$5:$AU$5)*(1/(1+Assumptions!$B$8))^Benefit_Grid!$C$5:$AU$5)</f>
        <v>15594.159746667005</v>
      </c>
      <c r="N104" s="24">
        <v>29886.137776</v>
      </c>
      <c r="O104" s="26">
        <f t="shared" si="11"/>
        <v>-4.6802597353234887E-8</v>
      </c>
    </row>
    <row r="105" spans="1:15" x14ac:dyDescent="0.3">
      <c r="A105" s="23" t="s">
        <v>164</v>
      </c>
      <c r="B105" s="14">
        <v>34841</v>
      </c>
      <c r="C105" s="14">
        <v>43421</v>
      </c>
      <c r="D105" s="24">
        <v>51800</v>
      </c>
      <c r="E105" s="25">
        <f>(Assumptions!$B$6-B105)/365.25</f>
        <v>30.858316221765914</v>
      </c>
      <c r="F105" s="25">
        <f>(Assumptions!$B$6-C105)/365.25</f>
        <v>7.3675564681724843</v>
      </c>
      <c r="G105" s="5">
        <f t="shared" si="9"/>
        <v>30</v>
      </c>
      <c r="H105" s="5">
        <f>Assumptions!$B$7-G105</f>
        <v>30</v>
      </c>
      <c r="I105" s="5">
        <f t="shared" si="10"/>
        <v>7</v>
      </c>
      <c r="J105" s="7">
        <f>MIN(15/26*D105*I105,Assumptions!$B$10)</f>
        <v>209192.30769230769</v>
      </c>
      <c r="K105" s="5">
        <f>IF(F105&gt;=Assumptions!$B$11,1,0)</f>
        <v>1</v>
      </c>
      <c r="L105" s="7">
        <f>SUMPRODUCT(Benefit_Grid!$C105:$AU105*(F105/(F105+Benefit_Grid!$C$5:$AU$5))*(1/(1+Assumptions!$B$8))^Benefit_Grid!$C$5:$AU$5)</f>
        <v>182606.7121323114</v>
      </c>
      <c r="M105" s="7">
        <f>SUMPRODUCT(Benefit_Grid!$C105:$AU105/(F105+Benefit_Grid!$C$5:$AU$5)*(1/(1+Assumptions!$B$8))^Benefit_Grid!$C$5:$AU$5)</f>
        <v>24785.247716955317</v>
      </c>
      <c r="N105" s="24">
        <v>182606.71213199999</v>
      </c>
      <c r="O105" s="26">
        <f t="shared" si="11"/>
        <v>3.1141098588705063E-7</v>
      </c>
    </row>
    <row r="106" spans="1:15" x14ac:dyDescent="0.3">
      <c r="A106" s="23" t="s">
        <v>165</v>
      </c>
      <c r="B106" s="14">
        <v>36456</v>
      </c>
      <c r="C106" s="14">
        <v>45430</v>
      </c>
      <c r="D106" s="24">
        <v>42300</v>
      </c>
      <c r="E106" s="25">
        <f>(Assumptions!$B$6-B106)/365.25</f>
        <v>26.436687200547571</v>
      </c>
      <c r="F106" s="25">
        <f>(Assumptions!$B$6-C106)/365.25</f>
        <v>1.8672142368240932</v>
      </c>
      <c r="G106" s="5">
        <f t="shared" si="9"/>
        <v>26</v>
      </c>
      <c r="H106" s="5">
        <f>Assumptions!$B$7-G106</f>
        <v>34</v>
      </c>
      <c r="I106" s="5">
        <f t="shared" si="10"/>
        <v>2</v>
      </c>
      <c r="J106" s="7">
        <f>MIN(15/26*D106*I106,Assumptions!$B$10)</f>
        <v>48807.692307692305</v>
      </c>
      <c r="K106" s="5">
        <f>IF(F106&gt;=Assumptions!$B$11,1,0)</f>
        <v>0</v>
      </c>
      <c r="L106" s="7">
        <f>SUMPRODUCT(Benefit_Grid!$C106:$AU106*(F106/(F106+Benefit_Grid!$C$5:$AU$5))*(1/(1+Assumptions!$B$8))^Benefit_Grid!$C$5:$AU$5)</f>
        <v>25631.48967982531</v>
      </c>
      <c r="M106" s="7">
        <f>SUMPRODUCT(Benefit_Grid!$C106:$AU106/(F106+Benefit_Grid!$C$5:$AU$5)*(1/(1+Assumptions!$B$8))^Benefit_Grid!$C$5:$AU$5)</f>
        <v>13727.128453894715</v>
      </c>
      <c r="N106" s="24">
        <v>25631.489679999999</v>
      </c>
      <c r="O106" s="26">
        <f t="shared" si="11"/>
        <v>-1.7468846635892987E-7</v>
      </c>
    </row>
    <row r="107" spans="1:15" x14ac:dyDescent="0.3">
      <c r="A107" s="23" t="s">
        <v>166</v>
      </c>
      <c r="B107" s="14">
        <v>36181</v>
      </c>
      <c r="C107" s="14">
        <v>45511</v>
      </c>
      <c r="D107" s="24">
        <v>23000</v>
      </c>
      <c r="E107" s="25">
        <f>(Assumptions!$B$6-B107)/365.25</f>
        <v>27.189596167008897</v>
      </c>
      <c r="F107" s="25">
        <f>(Assumptions!$B$6-C107)/365.25</f>
        <v>1.6454483230663928</v>
      </c>
      <c r="G107" s="5">
        <f t="shared" si="9"/>
        <v>27</v>
      </c>
      <c r="H107" s="5">
        <f>Assumptions!$B$7-G107</f>
        <v>33</v>
      </c>
      <c r="I107" s="5">
        <f t="shared" si="10"/>
        <v>2</v>
      </c>
      <c r="J107" s="7">
        <f>MIN(15/26*D107*I107,Assumptions!$B$10)</f>
        <v>26538.461538461535</v>
      </c>
      <c r="K107" s="5">
        <f>IF(F107&gt;=Assumptions!$B$11,1,0)</f>
        <v>0</v>
      </c>
      <c r="L107" s="7">
        <f>SUMPRODUCT(Benefit_Grid!$C107:$AU107*(F107/(F107+Benefit_Grid!$C$5:$AU$5))*(1/(1+Assumptions!$B$8))^Benefit_Grid!$C$5:$AU$5)</f>
        <v>13250.559601117426</v>
      </c>
      <c r="M107" s="7">
        <f>SUMPRODUCT(Benefit_Grid!$C107:$AU107/(F107+Benefit_Grid!$C$5:$AU$5)*(1/(1+Assumptions!$B$8))^Benefit_Grid!$C$5:$AU$5)</f>
        <v>8052.8567292980733</v>
      </c>
      <c r="N107" s="24">
        <v>13250.559601000001</v>
      </c>
      <c r="O107" s="26">
        <f t="shared" si="11"/>
        <v>1.1742486094590276E-7</v>
      </c>
    </row>
    <row r="108" spans="1:15" x14ac:dyDescent="0.3">
      <c r="A108" s="23" t="s">
        <v>167</v>
      </c>
      <c r="B108" s="14">
        <v>28344</v>
      </c>
      <c r="C108" s="14">
        <v>40294</v>
      </c>
      <c r="D108" s="24">
        <v>77900</v>
      </c>
      <c r="E108" s="25">
        <f>(Assumptions!$B$6-B108)/365.25</f>
        <v>48.646132785763179</v>
      </c>
      <c r="F108" s="25">
        <f>(Assumptions!$B$6-C108)/365.25</f>
        <v>15.928815879534566</v>
      </c>
      <c r="G108" s="5">
        <f t="shared" si="9"/>
        <v>48</v>
      </c>
      <c r="H108" s="5">
        <f>Assumptions!$B$7-G108</f>
        <v>12</v>
      </c>
      <c r="I108" s="5">
        <f t="shared" si="10"/>
        <v>16</v>
      </c>
      <c r="J108" s="7">
        <f>MIN(15/26*D108*I108,Assumptions!$B$10)</f>
        <v>719076.92307692301</v>
      </c>
      <c r="K108" s="5">
        <f>IF(F108&gt;=Assumptions!$B$11,1,0)</f>
        <v>1</v>
      </c>
      <c r="L108" s="7">
        <f>SUMPRODUCT(Benefit_Grid!$C108:$AU108*(F108/(F108+Benefit_Grid!$C$5:$AU$5))*(1/(1+Assumptions!$B$8))^Benefit_Grid!$C$5:$AU$5)</f>
        <v>553902.08466091286</v>
      </c>
      <c r="M108" s="7">
        <f>SUMPRODUCT(Benefit_Grid!$C108:$AU108/(F108+Benefit_Grid!$C$5:$AU$5)*(1/(1+Assumptions!$B$8))^Benefit_Grid!$C$5:$AU$5)</f>
        <v>34773.588247232452</v>
      </c>
      <c r="N108" s="24">
        <v>553902.08466099994</v>
      </c>
      <c r="O108" s="26">
        <f t="shared" si="11"/>
        <v>-8.7078660726547241E-8</v>
      </c>
    </row>
    <row r="109" spans="1:15" x14ac:dyDescent="0.3">
      <c r="A109" s="23" t="s">
        <v>168</v>
      </c>
      <c r="B109" s="14">
        <v>30390</v>
      </c>
      <c r="C109" s="14">
        <v>41554</v>
      </c>
      <c r="D109" s="24">
        <v>40400</v>
      </c>
      <c r="E109" s="25">
        <f>(Assumptions!$B$6-B109)/365.25</f>
        <v>43.044490075290895</v>
      </c>
      <c r="F109" s="25">
        <f>(Assumptions!$B$6-C109)/365.25</f>
        <v>12.479123887748118</v>
      </c>
      <c r="G109" s="5">
        <f t="shared" si="9"/>
        <v>43</v>
      </c>
      <c r="H109" s="5">
        <f>Assumptions!$B$7-G109</f>
        <v>17</v>
      </c>
      <c r="I109" s="5">
        <f t="shared" si="10"/>
        <v>12</v>
      </c>
      <c r="J109" s="7">
        <f>MIN(15/26*D109*I109,Assumptions!$B$10)</f>
        <v>279692.30769230763</v>
      </c>
      <c r="K109" s="5">
        <f>IF(F109&gt;=Assumptions!$B$11,1,0)</f>
        <v>1</v>
      </c>
      <c r="L109" s="7">
        <f>SUMPRODUCT(Benefit_Grid!$C109:$AU109*(F109/(F109+Benefit_Grid!$C$5:$AU$5))*(1/(1+Assumptions!$B$8))^Benefit_Grid!$C$5:$AU$5)</f>
        <v>279283.77975848131</v>
      </c>
      <c r="M109" s="7">
        <f>SUMPRODUCT(Benefit_Grid!$C109:$AU109/(F109+Benefit_Grid!$C$5:$AU$5)*(1/(1+Assumptions!$B$8))^Benefit_Grid!$C$5:$AU$5)</f>
        <v>22380.07910416527</v>
      </c>
      <c r="N109" s="24">
        <v>279283.77975799999</v>
      </c>
      <c r="O109" s="26">
        <f t="shared" si="11"/>
        <v>4.8131914809346199E-7</v>
      </c>
    </row>
    <row r="110" spans="1:15" x14ac:dyDescent="0.3">
      <c r="A110" s="23" t="s">
        <v>169</v>
      </c>
      <c r="B110" s="14">
        <v>37533</v>
      </c>
      <c r="C110" s="14">
        <v>45605</v>
      </c>
      <c r="D110" s="24">
        <v>55700</v>
      </c>
      <c r="E110" s="25">
        <f>(Assumptions!$B$6-B110)/365.25</f>
        <v>23.488021902806295</v>
      </c>
      <c r="F110" s="25">
        <f>(Assumptions!$B$6-C110)/365.25</f>
        <v>1.3880903490759753</v>
      </c>
      <c r="G110" s="5">
        <f t="shared" si="9"/>
        <v>23</v>
      </c>
      <c r="H110" s="5">
        <f>Assumptions!$B$7-G110</f>
        <v>37</v>
      </c>
      <c r="I110" s="5">
        <f t="shared" si="10"/>
        <v>1</v>
      </c>
      <c r="J110" s="7">
        <f>MIN(15/26*D110*I110,Assumptions!$B$10)</f>
        <v>32134.615384615383</v>
      </c>
      <c r="K110" s="5">
        <f>IF(F110&gt;=Assumptions!$B$11,1,0)</f>
        <v>0</v>
      </c>
      <c r="L110" s="7">
        <f>SUMPRODUCT(Benefit_Grid!$C110:$AU110*(F110/(F110+Benefit_Grid!$C$5:$AU$5))*(1/(1+Assumptions!$B$8))^Benefit_Grid!$C$5:$AU$5)</f>
        <v>21623.950505355602</v>
      </c>
      <c r="M110" s="7">
        <f>SUMPRODUCT(Benefit_Grid!$C110:$AU110/(F110+Benefit_Grid!$C$5:$AU$5)*(1/(1+Assumptions!$B$8))^Benefit_Grid!$C$5:$AU$5)</f>
        <v>15578.201029745824</v>
      </c>
      <c r="N110" s="24">
        <v>21623.950505000001</v>
      </c>
      <c r="O110" s="26">
        <f t="shared" si="11"/>
        <v>3.5560151445679367E-7</v>
      </c>
    </row>
    <row r="111" spans="1:15" x14ac:dyDescent="0.3">
      <c r="A111" s="23" t="s">
        <v>170</v>
      </c>
      <c r="B111" s="14">
        <v>34340</v>
      </c>
      <c r="C111" s="14">
        <v>42957</v>
      </c>
      <c r="D111" s="24">
        <v>39500</v>
      </c>
      <c r="E111" s="25">
        <f>(Assumptions!$B$6-B111)/365.25</f>
        <v>32.229979466119097</v>
      </c>
      <c r="F111" s="25">
        <f>(Assumptions!$B$6-C111)/365.25</f>
        <v>8.6379192334017798</v>
      </c>
      <c r="G111" s="5">
        <f t="shared" si="9"/>
        <v>32</v>
      </c>
      <c r="H111" s="5">
        <f>Assumptions!$B$7-G111</f>
        <v>28</v>
      </c>
      <c r="I111" s="5">
        <f t="shared" si="10"/>
        <v>9</v>
      </c>
      <c r="J111" s="7">
        <f>MIN(15/26*D111*I111,Assumptions!$B$10)</f>
        <v>205096.15384615381</v>
      </c>
      <c r="K111" s="5">
        <f>IF(F111&gt;=Assumptions!$B$11,1,0)</f>
        <v>1</v>
      </c>
      <c r="L111" s="7">
        <f>SUMPRODUCT(Benefit_Grid!$C111:$AU111*(F111/(F111+Benefit_Grid!$C$5:$AU$5))*(1/(1+Assumptions!$B$8))^Benefit_Grid!$C$5:$AU$5)</f>
        <v>172655.37201928848</v>
      </c>
      <c r="M111" s="7">
        <f>SUMPRODUCT(Benefit_Grid!$C111:$AU111/(F111+Benefit_Grid!$C$5:$AU$5)*(1/(1+Assumptions!$B$8))^Benefit_Grid!$C$5:$AU$5)</f>
        <v>19988.074367684665</v>
      </c>
      <c r="N111" s="24">
        <v>172655.372019</v>
      </c>
      <c r="O111" s="26">
        <f t="shared" si="11"/>
        <v>2.8847716748714447E-7</v>
      </c>
    </row>
    <row r="112" spans="1:15" x14ac:dyDescent="0.3">
      <c r="A112" s="23" t="s">
        <v>171</v>
      </c>
      <c r="B112" s="14">
        <v>27853</v>
      </c>
      <c r="C112" s="14">
        <v>40991</v>
      </c>
      <c r="D112" s="24">
        <v>138200</v>
      </c>
      <c r="E112" s="25">
        <f>(Assumptions!$B$6-B112)/365.25</f>
        <v>49.990417522245039</v>
      </c>
      <c r="F112" s="25">
        <f>(Assumptions!$B$6-C112)/365.25</f>
        <v>14.020533880903491</v>
      </c>
      <c r="G112" s="5">
        <f t="shared" si="9"/>
        <v>49</v>
      </c>
      <c r="H112" s="5">
        <f>Assumptions!$B$7-G112</f>
        <v>11</v>
      </c>
      <c r="I112" s="5">
        <f t="shared" si="10"/>
        <v>14</v>
      </c>
      <c r="J112" s="7">
        <f>MIN(15/26*D112*I112,Assumptions!$B$10)</f>
        <v>1116230.769230769</v>
      </c>
      <c r="K112" s="5">
        <f>IF(F112&gt;=Assumptions!$B$11,1,0)</f>
        <v>1</v>
      </c>
      <c r="L112" s="7">
        <f>SUMPRODUCT(Benefit_Grid!$C112:$AU112*(F112/(F112+Benefit_Grid!$C$5:$AU$5))*(1/(1+Assumptions!$B$8))^Benefit_Grid!$C$5:$AU$5)</f>
        <v>620223.65179836098</v>
      </c>
      <c r="M112" s="7">
        <f>SUMPRODUCT(Benefit_Grid!$C112:$AU112/(F112+Benefit_Grid!$C$5:$AU$5)*(1/(1+Assumptions!$B$8))^Benefit_Grid!$C$5:$AU$5)</f>
        <v>44236.807033655794</v>
      </c>
      <c r="N112" s="24">
        <v>620223.65179799998</v>
      </c>
      <c r="O112" s="26">
        <f t="shared" si="11"/>
        <v>3.6100391298532486E-7</v>
      </c>
    </row>
    <row r="113" spans="1:15" x14ac:dyDescent="0.3">
      <c r="A113" s="23" t="s">
        <v>172</v>
      </c>
      <c r="B113" s="14">
        <v>36073</v>
      </c>
      <c r="C113" s="14">
        <v>45934</v>
      </c>
      <c r="D113" s="24">
        <v>37900</v>
      </c>
      <c r="E113" s="25">
        <f>(Assumptions!$B$6-B113)/365.25</f>
        <v>27.485284052019164</v>
      </c>
      <c r="F113" s="25">
        <f>(Assumptions!$B$6-C113)/365.25</f>
        <v>0.48733744010951402</v>
      </c>
      <c r="G113" s="5">
        <f t="shared" si="9"/>
        <v>27</v>
      </c>
      <c r="H113" s="5">
        <f>Assumptions!$B$7-G113</f>
        <v>33</v>
      </c>
      <c r="I113" s="5">
        <f t="shared" si="10"/>
        <v>0</v>
      </c>
      <c r="J113" s="7">
        <f>MIN(15/26*D113*I113,Assumptions!$B$10)</f>
        <v>0</v>
      </c>
      <c r="K113" s="5">
        <f>IF(F113&gt;=Assumptions!$B$11,1,0)</f>
        <v>0</v>
      </c>
      <c r="L113" s="7">
        <f>SUMPRODUCT(Benefit_Grid!$C113:$AU113*(F113/(F113+Benefit_Grid!$C$5:$AU$5))*(1/(1+Assumptions!$B$8))^Benefit_Grid!$C$5:$AU$5)</f>
        <v>4900.6803362387172</v>
      </c>
      <c r="M113" s="7">
        <f>SUMPRODUCT(Benefit_Grid!$C113:$AU113/(F113+Benefit_Grid!$C$5:$AU$5)*(1/(1+Assumptions!$B$8))^Benefit_Grid!$C$5:$AU$5)</f>
        <v>10056.030858489841</v>
      </c>
      <c r="N113" s="24">
        <v>4900.6803360000004</v>
      </c>
      <c r="O113" s="26">
        <f t="shared" si="11"/>
        <v>2.3871689336374402E-7</v>
      </c>
    </row>
    <row r="114" spans="1:15" x14ac:dyDescent="0.3">
      <c r="A114" s="23" t="s">
        <v>173</v>
      </c>
      <c r="B114" s="14">
        <v>33500</v>
      </c>
      <c r="C114" s="14">
        <v>43189</v>
      </c>
      <c r="D114" s="24">
        <v>47100</v>
      </c>
      <c r="E114" s="25">
        <f>(Assumptions!$B$6-B114)/365.25</f>
        <v>34.529774127310063</v>
      </c>
      <c r="F114" s="25">
        <f>(Assumptions!$B$6-C114)/365.25</f>
        <v>8.002737850787133</v>
      </c>
      <c r="G114" s="5">
        <f t="shared" si="9"/>
        <v>34</v>
      </c>
      <c r="H114" s="5">
        <f>Assumptions!$B$7-G114</f>
        <v>26</v>
      </c>
      <c r="I114" s="5">
        <f t="shared" si="10"/>
        <v>8</v>
      </c>
      <c r="J114" s="7">
        <f>MIN(15/26*D114*I114,Assumptions!$B$10)</f>
        <v>217384.61538461538</v>
      </c>
      <c r="K114" s="5">
        <f>IF(F114&gt;=Assumptions!$B$11,1,0)</f>
        <v>1</v>
      </c>
      <c r="L114" s="7">
        <f>SUMPRODUCT(Benefit_Grid!$C114:$AU114*(F114/(F114+Benefit_Grid!$C$5:$AU$5))*(1/(1+Assumptions!$B$8))^Benefit_Grid!$C$5:$AU$5)</f>
        <v>176562.19152587769</v>
      </c>
      <c r="M114" s="7">
        <f>SUMPRODUCT(Benefit_Grid!$C114:$AU114/(F114+Benefit_Grid!$C$5:$AU$5)*(1/(1+Assumptions!$B$8))^Benefit_Grid!$C$5:$AU$5)</f>
        <v>22062.723385161426</v>
      </c>
      <c r="N114" s="24">
        <v>176562.19152600001</v>
      </c>
      <c r="O114" s="26">
        <f t="shared" si="11"/>
        <v>-1.2232339940965176E-7</v>
      </c>
    </row>
    <row r="115" spans="1:15" x14ac:dyDescent="0.3">
      <c r="A115" s="23" t="s">
        <v>174</v>
      </c>
      <c r="B115" s="14">
        <v>29771</v>
      </c>
      <c r="C115" s="14">
        <v>40520</v>
      </c>
      <c r="D115" s="24">
        <v>90300</v>
      </c>
      <c r="E115" s="25">
        <f>(Assumptions!$B$6-B115)/365.25</f>
        <v>44.739219712525667</v>
      </c>
      <c r="F115" s="25">
        <f>(Assumptions!$B$6-C115)/365.25</f>
        <v>15.31006160164271</v>
      </c>
      <c r="G115" s="5">
        <f t="shared" si="9"/>
        <v>44</v>
      </c>
      <c r="H115" s="5">
        <f>Assumptions!$B$7-G115</f>
        <v>16</v>
      </c>
      <c r="I115" s="5">
        <f t="shared" si="10"/>
        <v>15</v>
      </c>
      <c r="J115" s="7">
        <f>MIN(15/26*D115*I115,Assumptions!$B$10)</f>
        <v>781442.30769230763</v>
      </c>
      <c r="K115" s="5">
        <f>IF(F115&gt;=Assumptions!$B$11,1,0)</f>
        <v>1</v>
      </c>
      <c r="L115" s="7">
        <f>SUMPRODUCT(Benefit_Grid!$C115:$AU115*(F115/(F115+Benefit_Grid!$C$5:$AU$5))*(1/(1+Assumptions!$B$8))^Benefit_Grid!$C$5:$AU$5)</f>
        <v>460598.58349250664</v>
      </c>
      <c r="M115" s="7">
        <f>SUMPRODUCT(Benefit_Grid!$C115:$AU115/(F115+Benefit_Grid!$C$5:$AU$5)*(1/(1+Assumptions!$B$8))^Benefit_Grid!$C$5:$AU$5)</f>
        <v>30084.698251187066</v>
      </c>
      <c r="N115" s="24">
        <v>460598.58349300001</v>
      </c>
      <c r="O115" s="26">
        <f t="shared" si="11"/>
        <v>-4.9336813390254974E-7</v>
      </c>
    </row>
    <row r="116" spans="1:15" x14ac:dyDescent="0.3">
      <c r="A116" s="23" t="s">
        <v>175</v>
      </c>
      <c r="B116" s="14">
        <v>30459</v>
      </c>
      <c r="C116" s="14">
        <v>39492</v>
      </c>
      <c r="D116" s="24">
        <v>160800</v>
      </c>
      <c r="E116" s="25">
        <f>(Assumptions!$B$6-B116)/365.25</f>
        <v>42.855578370978783</v>
      </c>
      <c r="F116" s="25">
        <f>(Assumptions!$B$6-C116)/365.25</f>
        <v>18.12457221081451</v>
      </c>
      <c r="G116" s="5">
        <f t="shared" si="9"/>
        <v>42</v>
      </c>
      <c r="H116" s="5">
        <f>Assumptions!$B$7-G116</f>
        <v>18</v>
      </c>
      <c r="I116" s="5">
        <f t="shared" si="10"/>
        <v>18</v>
      </c>
      <c r="J116" s="7">
        <f>MIN(15/26*D116*I116,Assumptions!$B$10)</f>
        <v>1669846.1538461538</v>
      </c>
      <c r="K116" s="5">
        <f>IF(F116&gt;=Assumptions!$B$11,1,0)</f>
        <v>1</v>
      </c>
      <c r="L116" s="7">
        <f>SUMPRODUCT(Benefit_Grid!$C116:$AU116*(F116/(F116+Benefit_Grid!$C$5:$AU$5))*(1/(1+Assumptions!$B$8))^Benefit_Grid!$C$5:$AU$5)</f>
        <v>602944.92460151692</v>
      </c>
      <c r="M116" s="7">
        <f>SUMPRODUCT(Benefit_Grid!$C116:$AU116/(F116+Benefit_Grid!$C$5:$AU$5)*(1/(1+Assumptions!$B$8))^Benefit_Grid!$C$5:$AU$5)</f>
        <v>33266.712040891856</v>
      </c>
      <c r="N116" s="24">
        <v>602944.92460200004</v>
      </c>
      <c r="O116" s="26">
        <f t="shared" si="11"/>
        <v>-4.8312358558177948E-7</v>
      </c>
    </row>
    <row r="117" spans="1:15" x14ac:dyDescent="0.3">
      <c r="A117" s="23" t="s">
        <v>176</v>
      </c>
      <c r="B117" s="14">
        <v>27070</v>
      </c>
      <c r="C117" s="14">
        <v>35296</v>
      </c>
      <c r="D117" s="24">
        <v>174900</v>
      </c>
      <c r="E117" s="25">
        <f>(Assumptions!$B$6-B117)/365.25</f>
        <v>52.134154688569474</v>
      </c>
      <c r="F117" s="25">
        <f>(Assumptions!$B$6-C117)/365.25</f>
        <v>29.612594113620808</v>
      </c>
      <c r="G117" s="5">
        <f t="shared" si="9"/>
        <v>52</v>
      </c>
      <c r="H117" s="5">
        <f>Assumptions!$B$7-G117</f>
        <v>8</v>
      </c>
      <c r="I117" s="5">
        <f t="shared" si="10"/>
        <v>30</v>
      </c>
      <c r="J117" s="7">
        <f>MIN(15/26*D117*I117,Assumptions!$B$10)</f>
        <v>2000000</v>
      </c>
      <c r="K117" s="5">
        <f>IF(F117&gt;=Assumptions!$B$11,1,0)</f>
        <v>1</v>
      </c>
      <c r="L117" s="7">
        <f>SUMPRODUCT(Benefit_Grid!$C117:$AU117*(F117/(F117+Benefit_Grid!$C$5:$AU$5))*(1/(1+Assumptions!$B$8))^Benefit_Grid!$C$5:$AU$5)</f>
        <v>980404.96970783221</v>
      </c>
      <c r="M117" s="7">
        <f>SUMPRODUCT(Benefit_Grid!$C117:$AU117/(F117+Benefit_Grid!$C$5:$AU$5)*(1/(1+Assumptions!$B$8))^Benefit_Grid!$C$5:$AU$5)</f>
        <v>33107.70295726569</v>
      </c>
      <c r="N117" s="24">
        <v>980404.96970799996</v>
      </c>
      <c r="O117" s="26">
        <f t="shared" si="11"/>
        <v>-1.6775447875261307E-7</v>
      </c>
    </row>
    <row r="118" spans="1:15" x14ac:dyDescent="0.3">
      <c r="A118" s="23" t="s">
        <v>177</v>
      </c>
      <c r="B118" s="14">
        <v>34069</v>
      </c>
      <c r="C118" s="14">
        <v>42299</v>
      </c>
      <c r="D118" s="24">
        <v>55200</v>
      </c>
      <c r="E118" s="25">
        <f>(Assumptions!$B$6-B118)/365.25</f>
        <v>32.971937029431899</v>
      </c>
      <c r="F118" s="25">
        <f>(Assumptions!$B$6-C118)/365.25</f>
        <v>10.439425051334702</v>
      </c>
      <c r="G118" s="5">
        <f t="shared" si="9"/>
        <v>32</v>
      </c>
      <c r="H118" s="5">
        <f>Assumptions!$B$7-G118</f>
        <v>28</v>
      </c>
      <c r="I118" s="5">
        <f t="shared" si="10"/>
        <v>10</v>
      </c>
      <c r="J118" s="7">
        <f>MIN(15/26*D118*I118,Assumptions!$B$10)</f>
        <v>318461.53846153844</v>
      </c>
      <c r="K118" s="5">
        <f>IF(F118&gt;=Assumptions!$B$11,1,0)</f>
        <v>1</v>
      </c>
      <c r="L118" s="7">
        <f>SUMPRODUCT(Benefit_Grid!$C118:$AU118*(F118/(F118+Benefit_Grid!$C$5:$AU$5))*(1/(1+Assumptions!$B$8))^Benefit_Grid!$C$5:$AU$5)</f>
        <v>260345.24104647766</v>
      </c>
      <c r="M118" s="7">
        <f>SUMPRODUCT(Benefit_Grid!$C118:$AU118/(F118+Benefit_Grid!$C$5:$AU$5)*(1/(1+Assumptions!$B$8))^Benefit_Grid!$C$5:$AU$5)</f>
        <v>24938.657039660626</v>
      </c>
      <c r="N118" s="24">
        <v>260345.24104600001</v>
      </c>
      <c r="O118" s="26">
        <f t="shared" si="11"/>
        <v>4.7765206545591354E-7</v>
      </c>
    </row>
    <row r="119" spans="1:15" x14ac:dyDescent="0.3">
      <c r="A119" s="23" t="s">
        <v>178</v>
      </c>
      <c r="B119" s="14">
        <v>34808</v>
      </c>
      <c r="C119" s="14">
        <v>42822</v>
      </c>
      <c r="D119" s="24">
        <v>101800</v>
      </c>
      <c r="E119" s="25">
        <f>(Assumptions!$B$6-B119)/365.25</f>
        <v>30.948665297741272</v>
      </c>
      <c r="F119" s="25">
        <f>(Assumptions!$B$6-C119)/365.25</f>
        <v>9.0075290896646134</v>
      </c>
      <c r="G119" s="5">
        <f t="shared" si="9"/>
        <v>30</v>
      </c>
      <c r="H119" s="5">
        <f>Assumptions!$B$7-G119</f>
        <v>30</v>
      </c>
      <c r="I119" s="5">
        <f t="shared" si="10"/>
        <v>9</v>
      </c>
      <c r="J119" s="7">
        <f>MIN(15/26*D119*I119,Assumptions!$B$10)</f>
        <v>528576.92307692301</v>
      </c>
      <c r="K119" s="5">
        <f>IF(F119&gt;=Assumptions!$B$11,1,0)</f>
        <v>1</v>
      </c>
      <c r="L119" s="7">
        <f>SUMPRODUCT(Benefit_Grid!$C119:$AU119*(F119/(F119+Benefit_Grid!$C$5:$AU$5))*(1/(1+Assumptions!$B$8))^Benefit_Grid!$C$5:$AU$5)</f>
        <v>399780.51802094665</v>
      </c>
      <c r="M119" s="7">
        <f>SUMPRODUCT(Benefit_Grid!$C119:$AU119/(F119+Benefit_Grid!$C$5:$AU$5)*(1/(1+Assumptions!$B$8))^Benefit_Grid!$C$5:$AU$5)</f>
        <v>44382.928330440969</v>
      </c>
      <c r="N119" s="24">
        <v>399780.51802100003</v>
      </c>
      <c r="O119" s="26">
        <f t="shared" si="11"/>
        <v>-5.3376425057649612E-8</v>
      </c>
    </row>
    <row r="120" spans="1:15" x14ac:dyDescent="0.3">
      <c r="A120" s="23" t="s">
        <v>179</v>
      </c>
      <c r="B120" s="14">
        <v>27893</v>
      </c>
      <c r="C120" s="14">
        <v>38774</v>
      </c>
      <c r="D120" s="24">
        <v>76400</v>
      </c>
      <c r="E120" s="25">
        <f>(Assumptions!$B$6-B120)/365.25</f>
        <v>49.880903490759756</v>
      </c>
      <c r="F120" s="25">
        <f>(Assumptions!$B$6-C120)/365.25</f>
        <v>20.090349075975361</v>
      </c>
      <c r="G120" s="5">
        <f t="shared" si="9"/>
        <v>49</v>
      </c>
      <c r="H120" s="5">
        <f>Assumptions!$B$7-G120</f>
        <v>11</v>
      </c>
      <c r="I120" s="5">
        <f t="shared" si="10"/>
        <v>20</v>
      </c>
      <c r="J120" s="7">
        <f>MIN(15/26*D120*I120,Assumptions!$B$10)</f>
        <v>881538.46153846139</v>
      </c>
      <c r="K120" s="5">
        <f>IF(F120&gt;=Assumptions!$B$11,1,0)</f>
        <v>1</v>
      </c>
      <c r="L120" s="7">
        <f>SUMPRODUCT(Benefit_Grid!$C120:$AU120*(F120/(F120+Benefit_Grid!$C$5:$AU$5))*(1/(1+Assumptions!$B$8))^Benefit_Grid!$C$5:$AU$5)</f>
        <v>664568.38628034655</v>
      </c>
      <c r="M120" s="7">
        <f>SUMPRODUCT(Benefit_Grid!$C120:$AU120/(F120+Benefit_Grid!$C$5:$AU$5)*(1/(1+Assumptions!$B$8))^Benefit_Grid!$C$5:$AU$5)</f>
        <v>33078.986520699997</v>
      </c>
      <c r="N120" s="24">
        <v>664568.38627999998</v>
      </c>
      <c r="O120" s="26">
        <f t="shared" si="11"/>
        <v>3.4656841307878494E-7</v>
      </c>
    </row>
    <row r="121" spans="1:15" x14ac:dyDescent="0.3">
      <c r="A121" s="23" t="s">
        <v>180</v>
      </c>
      <c r="B121" s="14">
        <v>33454</v>
      </c>
      <c r="C121" s="14">
        <v>44524</v>
      </c>
      <c r="D121" s="24">
        <v>41300</v>
      </c>
      <c r="E121" s="25">
        <f>(Assumptions!$B$6-B121)/365.25</f>
        <v>34.65571526351814</v>
      </c>
      <c r="F121" s="25">
        <f>(Assumptions!$B$6-C121)/365.25</f>
        <v>4.3477070499657771</v>
      </c>
      <c r="G121" s="5">
        <f t="shared" si="9"/>
        <v>34</v>
      </c>
      <c r="H121" s="5">
        <f>Assumptions!$B$7-G121</f>
        <v>26</v>
      </c>
      <c r="I121" s="5">
        <f t="shared" si="10"/>
        <v>4</v>
      </c>
      <c r="J121" s="7">
        <f>MIN(15/26*D121*I121,Assumptions!$B$10)</f>
        <v>95307.692307692298</v>
      </c>
      <c r="K121" s="5">
        <f>IF(F121&gt;=Assumptions!$B$11,1,0)</f>
        <v>0</v>
      </c>
      <c r="L121" s="7">
        <f>SUMPRODUCT(Benefit_Grid!$C121:$AU121*(F121/(F121+Benefit_Grid!$C$5:$AU$5))*(1/(1+Assumptions!$B$8))^Benefit_Grid!$C$5:$AU$5)</f>
        <v>86227.537922878138</v>
      </c>
      <c r="M121" s="7">
        <f>SUMPRODUCT(Benefit_Grid!$C121:$AU121/(F121+Benefit_Grid!$C$5:$AU$5)*(1/(1+Assumptions!$B$8))^Benefit_Grid!$C$5:$AU$5)</f>
        <v>19832.876716833263</v>
      </c>
      <c r="N121" s="24">
        <v>86227.537922999996</v>
      </c>
      <c r="O121" s="26">
        <f t="shared" si="11"/>
        <v>-1.2185773812234402E-7</v>
      </c>
    </row>
    <row r="122" spans="1:15" x14ac:dyDescent="0.3">
      <c r="A122" s="23" t="s">
        <v>181</v>
      </c>
      <c r="B122" s="14">
        <v>33556</v>
      </c>
      <c r="C122" s="14">
        <v>44492</v>
      </c>
      <c r="D122" s="24">
        <v>30100</v>
      </c>
      <c r="E122" s="25">
        <f>(Assumptions!$B$6-B122)/365.25</f>
        <v>34.376454483230667</v>
      </c>
      <c r="F122" s="25">
        <f>(Assumptions!$B$6-C122)/365.25</f>
        <v>4.4353182751540041</v>
      </c>
      <c r="G122" s="5">
        <f t="shared" si="9"/>
        <v>34</v>
      </c>
      <c r="H122" s="5">
        <f>Assumptions!$B$7-G122</f>
        <v>26</v>
      </c>
      <c r="I122" s="5">
        <f t="shared" si="10"/>
        <v>4</v>
      </c>
      <c r="J122" s="7">
        <f>MIN(15/26*D122*I122,Assumptions!$B$10)</f>
        <v>69461.538461538454</v>
      </c>
      <c r="K122" s="5">
        <f>IF(F122&gt;=Assumptions!$B$11,1,0)</f>
        <v>0</v>
      </c>
      <c r="L122" s="7">
        <f>SUMPRODUCT(Benefit_Grid!$C122:$AU122*(F122/(F122+Benefit_Grid!$C$5:$AU$5))*(1/(1+Assumptions!$B$8))^Benefit_Grid!$C$5:$AU$5)</f>
        <v>68782.218254385909</v>
      </c>
      <c r="M122" s="7">
        <f>SUMPRODUCT(Benefit_Grid!$C122:$AU122/(F122+Benefit_Grid!$C$5:$AU$5)*(1/(1+Assumptions!$B$8))^Benefit_Grid!$C$5:$AU$5)</f>
        <v>15507.842726799048</v>
      </c>
      <c r="N122" s="24">
        <v>68782.218254000007</v>
      </c>
      <c r="O122" s="26">
        <f t="shared" si="11"/>
        <v>3.8590223994106054E-7</v>
      </c>
    </row>
    <row r="123" spans="1:15" x14ac:dyDescent="0.3">
      <c r="A123" s="23" t="s">
        <v>182</v>
      </c>
      <c r="B123" s="14">
        <v>34108</v>
      </c>
      <c r="C123" s="14">
        <v>45346</v>
      </c>
      <c r="D123" s="24">
        <v>28000</v>
      </c>
      <c r="E123" s="25">
        <f>(Assumptions!$B$6-B123)/365.25</f>
        <v>32.865160848733744</v>
      </c>
      <c r="F123" s="25">
        <f>(Assumptions!$B$6-C123)/365.25</f>
        <v>2.0971937029431897</v>
      </c>
      <c r="G123" s="5">
        <f t="shared" si="9"/>
        <v>32</v>
      </c>
      <c r="H123" s="5">
        <f>Assumptions!$B$7-G123</f>
        <v>28</v>
      </c>
      <c r="I123" s="5">
        <f t="shared" si="10"/>
        <v>2</v>
      </c>
      <c r="J123" s="7">
        <f>MIN(15/26*D123*I123,Assumptions!$B$10)</f>
        <v>32307.692307692305</v>
      </c>
      <c r="K123" s="5">
        <f>IF(F123&gt;=Assumptions!$B$11,1,0)</f>
        <v>0</v>
      </c>
      <c r="L123" s="7">
        <f>SUMPRODUCT(Benefit_Grid!$C123:$AU123*(F123/(F123+Benefit_Grid!$C$5:$AU$5))*(1/(1+Assumptions!$B$8))^Benefit_Grid!$C$5:$AU$5)</f>
        <v>24680.705722934686</v>
      </c>
      <c r="M123" s="7">
        <f>SUMPRODUCT(Benefit_Grid!$C123:$AU123/(F123+Benefit_Grid!$C$5:$AU$5)*(1/(1+Assumptions!$B$8))^Benefit_Grid!$C$5:$AU$5)</f>
        <v>11768.443557835371</v>
      </c>
      <c r="N123" s="24">
        <v>24680.705722999999</v>
      </c>
      <c r="O123" s="26">
        <f t="shared" si="11"/>
        <v>-6.5312633523717523E-8</v>
      </c>
    </row>
    <row r="124" spans="1:15" x14ac:dyDescent="0.3">
      <c r="A124" s="23" t="s">
        <v>183</v>
      </c>
      <c r="B124" s="14">
        <v>34551</v>
      </c>
      <c r="C124" s="14">
        <v>45473</v>
      </c>
      <c r="D124" s="24">
        <v>62200</v>
      </c>
      <c r="E124" s="25">
        <f>(Assumptions!$B$6-B124)/365.25</f>
        <v>31.652292950034223</v>
      </c>
      <c r="F124" s="25">
        <f>(Assumptions!$B$6-C124)/365.25</f>
        <v>1.7494866529774127</v>
      </c>
      <c r="G124" s="5">
        <f t="shared" si="9"/>
        <v>31</v>
      </c>
      <c r="H124" s="5">
        <f>Assumptions!$B$7-G124</f>
        <v>29</v>
      </c>
      <c r="I124" s="5">
        <f t="shared" si="10"/>
        <v>2</v>
      </c>
      <c r="J124" s="7">
        <f>MIN(15/26*D124*I124,Assumptions!$B$10)</f>
        <v>71769.230769230766</v>
      </c>
      <c r="K124" s="5">
        <f>IF(F124&gt;=Assumptions!$B$11,1,0)</f>
        <v>0</v>
      </c>
      <c r="L124" s="7">
        <f>SUMPRODUCT(Benefit_Grid!$C124:$AU124*(F124/(F124+Benefit_Grid!$C$5:$AU$5))*(1/(1+Assumptions!$B$8))^Benefit_Grid!$C$5:$AU$5)</f>
        <v>34807.856799614798</v>
      </c>
      <c r="M124" s="7">
        <f>SUMPRODUCT(Benefit_Grid!$C124:$AU124/(F124+Benefit_Grid!$C$5:$AU$5)*(1/(1+Assumptions!$B$8))^Benefit_Grid!$C$5:$AU$5)</f>
        <v>19896.040212925353</v>
      </c>
      <c r="N124" s="24">
        <v>34807.856800000001</v>
      </c>
      <c r="O124" s="26">
        <f t="shared" si="11"/>
        <v>-3.8520374801009893E-7</v>
      </c>
    </row>
    <row r="125" spans="1:15" x14ac:dyDescent="0.3">
      <c r="A125" s="23" t="s">
        <v>184</v>
      </c>
      <c r="B125" s="14">
        <v>35156</v>
      </c>
      <c r="C125" s="14">
        <v>44408</v>
      </c>
      <c r="D125" s="24">
        <v>44000</v>
      </c>
      <c r="E125" s="25">
        <f>(Assumptions!$B$6-B125)/365.25</f>
        <v>29.995893223819301</v>
      </c>
      <c r="F125" s="25">
        <f>(Assumptions!$B$6-C125)/365.25</f>
        <v>4.6652977412731005</v>
      </c>
      <c r="G125" s="5">
        <f t="shared" si="9"/>
        <v>29</v>
      </c>
      <c r="H125" s="5">
        <f>Assumptions!$B$7-G125</f>
        <v>31</v>
      </c>
      <c r="I125" s="5">
        <f t="shared" si="10"/>
        <v>5</v>
      </c>
      <c r="J125" s="7">
        <f>MIN(15/26*D125*I125,Assumptions!$B$10)</f>
        <v>126923.07692307691</v>
      </c>
      <c r="K125" s="5">
        <f>IF(F125&gt;=Assumptions!$B$11,1,0)</f>
        <v>0</v>
      </c>
      <c r="L125" s="7">
        <f>SUMPRODUCT(Benefit_Grid!$C125:$AU125*(F125/(F125+Benefit_Grid!$C$5:$AU$5))*(1/(1+Assumptions!$B$8))^Benefit_Grid!$C$5:$AU$5)</f>
        <v>109824.98896671859</v>
      </c>
      <c r="M125" s="7">
        <f>SUMPRODUCT(Benefit_Grid!$C125:$AU125/(F125+Benefit_Grid!$C$5:$AU$5)*(1/(1+Assumptions!$B$8))^Benefit_Grid!$C$5:$AU$5)</f>
        <v>23540.831701933064</v>
      </c>
      <c r="N125" s="24">
        <v>109824.988967</v>
      </c>
      <c r="O125" s="26">
        <f t="shared" si="11"/>
        <v>-2.8140493668615818E-7</v>
      </c>
    </row>
    <row r="126" spans="1:15" x14ac:dyDescent="0.3">
      <c r="A126" s="23" t="s">
        <v>185</v>
      </c>
      <c r="B126" s="14">
        <v>37287</v>
      </c>
      <c r="C126" s="14">
        <v>45521</v>
      </c>
      <c r="D126" s="24">
        <v>22400</v>
      </c>
      <c r="E126" s="25">
        <f>(Assumptions!$B$6-B126)/365.25</f>
        <v>24.161533196440793</v>
      </c>
      <c r="F126" s="25">
        <f>(Assumptions!$B$6-C126)/365.25</f>
        <v>1.6180698151950719</v>
      </c>
      <c r="G126" s="5">
        <f t="shared" si="9"/>
        <v>24</v>
      </c>
      <c r="H126" s="5">
        <f>Assumptions!$B$7-G126</f>
        <v>36</v>
      </c>
      <c r="I126" s="5">
        <f t="shared" si="10"/>
        <v>2</v>
      </c>
      <c r="J126" s="7">
        <f>MIN(15/26*D126*I126,Assumptions!$B$10)</f>
        <v>25846.153846153844</v>
      </c>
      <c r="K126" s="5">
        <f>IF(F126&gt;=Assumptions!$B$11,1,0)</f>
        <v>0</v>
      </c>
      <c r="L126" s="7">
        <f>SUMPRODUCT(Benefit_Grid!$C126:$AU126*(F126/(F126+Benefit_Grid!$C$5:$AU$5))*(1/(1+Assumptions!$B$8))^Benefit_Grid!$C$5:$AU$5)</f>
        <v>12389.614715214961</v>
      </c>
      <c r="M126" s="7">
        <f>SUMPRODUCT(Benefit_Grid!$C126:$AU126/(F126+Benefit_Grid!$C$5:$AU$5)*(1/(1+Assumptions!$B$8))^Benefit_Grid!$C$5:$AU$5)</f>
        <v>7657.0334597838637</v>
      </c>
      <c r="N126" s="24">
        <v>12389.614715</v>
      </c>
      <c r="O126" s="26">
        <f t="shared" si="11"/>
        <v>2.1496089175343513E-7</v>
      </c>
    </row>
    <row r="127" spans="1:15" x14ac:dyDescent="0.3">
      <c r="A127" s="23" t="s">
        <v>186</v>
      </c>
      <c r="B127" s="14">
        <v>32021</v>
      </c>
      <c r="C127" s="14">
        <v>42988</v>
      </c>
      <c r="D127" s="24">
        <v>61000</v>
      </c>
      <c r="E127" s="25">
        <f>(Assumptions!$B$6-B127)/365.25</f>
        <v>38.579055441478438</v>
      </c>
      <c r="F127" s="25">
        <f>(Assumptions!$B$6-C127)/365.25</f>
        <v>8.5530458590006848</v>
      </c>
      <c r="G127" s="5">
        <f t="shared" si="9"/>
        <v>38</v>
      </c>
      <c r="H127" s="5">
        <f>Assumptions!$B$7-G127</f>
        <v>22</v>
      </c>
      <c r="I127" s="5">
        <f t="shared" si="10"/>
        <v>9</v>
      </c>
      <c r="J127" s="7">
        <f>MIN(15/26*D127*I127,Assumptions!$B$10)</f>
        <v>316730.76923076919</v>
      </c>
      <c r="K127" s="5">
        <f>IF(F127&gt;=Assumptions!$B$11,1,0)</f>
        <v>1</v>
      </c>
      <c r="L127" s="7">
        <f>SUMPRODUCT(Benefit_Grid!$C127:$AU127*(F127/(F127+Benefit_Grid!$C$5:$AU$5))*(1/(1+Assumptions!$B$8))^Benefit_Grid!$C$5:$AU$5)</f>
        <v>225857.88322312239</v>
      </c>
      <c r="M127" s="7">
        <f>SUMPRODUCT(Benefit_Grid!$C127:$AU127/(F127+Benefit_Grid!$C$5:$AU$5)*(1/(1+Assumptions!$B$8))^Benefit_Grid!$C$5:$AU$5)</f>
        <v>26406.719541371778</v>
      </c>
      <c r="N127" s="24">
        <v>225857.88322300001</v>
      </c>
      <c r="O127" s="26">
        <f t="shared" si="11"/>
        <v>1.2238160707056522E-7</v>
      </c>
    </row>
    <row r="128" spans="1:15" x14ac:dyDescent="0.3">
      <c r="A128" s="23" t="s">
        <v>187</v>
      </c>
      <c r="B128" s="14">
        <v>29602</v>
      </c>
      <c r="C128" s="14">
        <v>42197</v>
      </c>
      <c r="D128" s="24">
        <v>65400</v>
      </c>
      <c r="E128" s="25">
        <f>(Assumptions!$B$6-B128)/365.25</f>
        <v>45.201916495550989</v>
      </c>
      <c r="F128" s="25">
        <f>(Assumptions!$B$6-C128)/365.25</f>
        <v>10.718685831622176</v>
      </c>
      <c r="G128" s="5">
        <f t="shared" si="9"/>
        <v>45</v>
      </c>
      <c r="H128" s="5">
        <f>Assumptions!$B$7-G128</f>
        <v>15</v>
      </c>
      <c r="I128" s="5">
        <f t="shared" si="10"/>
        <v>11</v>
      </c>
      <c r="J128" s="7">
        <f>MIN(15/26*D128*I128,Assumptions!$B$10)</f>
        <v>415038.4615384615</v>
      </c>
      <c r="K128" s="5">
        <f>IF(F128&gt;=Assumptions!$B$11,1,0)</f>
        <v>1</v>
      </c>
      <c r="L128" s="7">
        <f>SUMPRODUCT(Benefit_Grid!$C128:$AU128*(F128/(F128+Benefit_Grid!$C$5:$AU$5))*(1/(1+Assumptions!$B$8))^Benefit_Grid!$C$5:$AU$5)</f>
        <v>337915.04617549782</v>
      </c>
      <c r="M128" s="7">
        <f>SUMPRODUCT(Benefit_Grid!$C128:$AU128/(F128+Benefit_Grid!$C$5:$AU$5)*(1/(1+Assumptions!$B$8))^Benefit_Grid!$C$5:$AU$5)</f>
        <v>31525.790706411382</v>
      </c>
      <c r="N128" s="24">
        <v>337915.04617500002</v>
      </c>
      <c r="O128" s="26">
        <f t="shared" si="11"/>
        <v>4.9779191613197327E-7</v>
      </c>
    </row>
    <row r="129" spans="1:15" x14ac:dyDescent="0.3">
      <c r="A129" s="23" t="s">
        <v>188</v>
      </c>
      <c r="B129" s="14">
        <v>35806</v>
      </c>
      <c r="C129" s="14">
        <v>43905</v>
      </c>
      <c r="D129" s="24">
        <v>29900</v>
      </c>
      <c r="E129" s="25">
        <f>(Assumptions!$B$6-B129)/365.25</f>
        <v>28.216290212183434</v>
      </c>
      <c r="F129" s="25">
        <f>(Assumptions!$B$6-C129)/365.25</f>
        <v>6.0424366872005475</v>
      </c>
      <c r="G129" s="5">
        <f t="shared" si="9"/>
        <v>28</v>
      </c>
      <c r="H129" s="5">
        <f>Assumptions!$B$7-G129</f>
        <v>32</v>
      </c>
      <c r="I129" s="5">
        <f t="shared" si="10"/>
        <v>6</v>
      </c>
      <c r="J129" s="7">
        <f>MIN(15/26*D129*I129,Assumptions!$B$10)</f>
        <v>103500</v>
      </c>
      <c r="K129" s="5">
        <f>IF(F129&gt;=Assumptions!$B$11,1,0)</f>
        <v>1</v>
      </c>
      <c r="L129" s="7">
        <f>SUMPRODUCT(Benefit_Grid!$C129:$AU129*(F129/(F129+Benefit_Grid!$C$5:$AU$5))*(1/(1+Assumptions!$B$8))^Benefit_Grid!$C$5:$AU$5)</f>
        <v>97596.270300620803</v>
      </c>
      <c r="M129" s="7">
        <f>SUMPRODUCT(Benefit_Grid!$C129:$AU129/(F129+Benefit_Grid!$C$5:$AU$5)*(1/(1+Assumptions!$B$8))^Benefit_Grid!$C$5:$AU$5)</f>
        <v>16151.806854237322</v>
      </c>
      <c r="N129" s="24">
        <v>97596.270300999997</v>
      </c>
      <c r="O129" s="26">
        <f t="shared" si="11"/>
        <v>-3.7919380702078342E-7</v>
      </c>
    </row>
    <row r="130" spans="1:15" x14ac:dyDescent="0.3">
      <c r="A130" s="23" t="s">
        <v>189</v>
      </c>
      <c r="B130" s="14">
        <v>28566</v>
      </c>
      <c r="C130" s="14">
        <v>38136</v>
      </c>
      <c r="D130" s="24">
        <v>96000</v>
      </c>
      <c r="E130" s="25">
        <f>(Assumptions!$B$6-B130)/365.25</f>
        <v>48.038329911019851</v>
      </c>
      <c r="F130" s="25">
        <f>(Assumptions!$B$6-C130)/365.25</f>
        <v>21.83709787816564</v>
      </c>
      <c r="G130" s="5">
        <f t="shared" si="9"/>
        <v>48</v>
      </c>
      <c r="H130" s="5">
        <f>Assumptions!$B$7-G130</f>
        <v>12</v>
      </c>
      <c r="I130" s="5">
        <f t="shared" si="10"/>
        <v>22</v>
      </c>
      <c r="J130" s="7">
        <f>MIN(15/26*D130*I130,Assumptions!$B$10)</f>
        <v>1218461.5384615385</v>
      </c>
      <c r="K130" s="5">
        <f>IF(F130&gt;=Assumptions!$B$11,1,0)</f>
        <v>1</v>
      </c>
      <c r="L130" s="7">
        <f>SUMPRODUCT(Benefit_Grid!$C130:$AU130*(F130/(F130+Benefit_Grid!$C$5:$AU$5))*(1/(1+Assumptions!$B$8))^Benefit_Grid!$C$5:$AU$5)</f>
        <v>681850.91602006042</v>
      </c>
      <c r="M130" s="7">
        <f>SUMPRODUCT(Benefit_Grid!$C130:$AU130/(F130+Benefit_Grid!$C$5:$AU$5)*(1/(1+Assumptions!$B$8))^Benefit_Grid!$C$5:$AU$5)</f>
        <v>31224.429172057055</v>
      </c>
      <c r="N130" s="24">
        <v>681850.91602</v>
      </c>
      <c r="O130" s="26">
        <f t="shared" si="11"/>
        <v>6.0419552028179169E-8</v>
      </c>
    </row>
    <row r="131" spans="1:15" x14ac:dyDescent="0.3">
      <c r="A131" s="23" t="s">
        <v>190</v>
      </c>
      <c r="B131" s="14">
        <v>33694</v>
      </c>
      <c r="C131" s="14">
        <v>41854</v>
      </c>
      <c r="D131" s="24">
        <v>48300</v>
      </c>
      <c r="E131" s="25">
        <f>(Assumptions!$B$6-B131)/365.25</f>
        <v>33.998631074606436</v>
      </c>
      <c r="F131" s="25">
        <f>(Assumptions!$B$6-C131)/365.25</f>
        <v>11.657768651608487</v>
      </c>
      <c r="G131" s="5">
        <f t="shared" si="9"/>
        <v>33</v>
      </c>
      <c r="H131" s="5">
        <f>Assumptions!$B$7-G131</f>
        <v>27</v>
      </c>
      <c r="I131" s="5">
        <f t="shared" si="10"/>
        <v>12</v>
      </c>
      <c r="J131" s="7">
        <f>MIN(15/26*D131*I131,Assumptions!$B$10)</f>
        <v>334384.61538461538</v>
      </c>
      <c r="K131" s="5">
        <f>IF(F131&gt;=Assumptions!$B$11,1,0)</f>
        <v>1</v>
      </c>
      <c r="L131" s="7">
        <f>SUMPRODUCT(Benefit_Grid!$C131:$AU131*(F131/(F131+Benefit_Grid!$C$5:$AU$5))*(1/(1+Assumptions!$B$8))^Benefit_Grid!$C$5:$AU$5)</f>
        <v>264788.58532203845</v>
      </c>
      <c r="M131" s="7">
        <f>SUMPRODUCT(Benefit_Grid!$C131:$AU131/(F131+Benefit_Grid!$C$5:$AU$5)*(1/(1+Assumptions!$B$8))^Benefit_Grid!$C$5:$AU$5)</f>
        <v>22713.487738110511</v>
      </c>
      <c r="N131" s="24">
        <v>264788.58532200003</v>
      </c>
      <c r="O131" s="26">
        <f t="shared" si="11"/>
        <v>3.8417056202888489E-8</v>
      </c>
    </row>
    <row r="132" spans="1:15" x14ac:dyDescent="0.3">
      <c r="A132" s="23" t="s">
        <v>191</v>
      </c>
      <c r="B132" s="14">
        <v>33483</v>
      </c>
      <c r="C132" s="14">
        <v>43592</v>
      </c>
      <c r="D132" s="24">
        <v>34900</v>
      </c>
      <c r="E132" s="25">
        <f>(Assumptions!$B$6-B132)/365.25</f>
        <v>34.57631759069131</v>
      </c>
      <c r="F132" s="25">
        <f>(Assumptions!$B$6-C132)/365.25</f>
        <v>6.8993839835728954</v>
      </c>
      <c r="G132" s="5">
        <f t="shared" si="9"/>
        <v>34</v>
      </c>
      <c r="H132" s="5">
        <f>Assumptions!$B$7-G132</f>
        <v>26</v>
      </c>
      <c r="I132" s="5">
        <f t="shared" si="10"/>
        <v>7</v>
      </c>
      <c r="J132" s="7">
        <f>MIN(15/26*D132*I132,Assumptions!$B$10)</f>
        <v>140942.30769230769</v>
      </c>
      <c r="K132" s="5">
        <f>IF(F132&gt;=Assumptions!$B$11,1,0)</f>
        <v>1</v>
      </c>
      <c r="L132" s="7">
        <f>SUMPRODUCT(Benefit_Grid!$C132:$AU132*(F132/(F132+Benefit_Grid!$C$5:$AU$5))*(1/(1+Assumptions!$B$8))^Benefit_Grid!$C$5:$AU$5)</f>
        <v>122513.86353991117</v>
      </c>
      <c r="M132" s="7">
        <f>SUMPRODUCT(Benefit_Grid!$C132:$AU132/(F132+Benefit_Grid!$C$5:$AU$5)*(1/(1+Assumptions!$B$8))^Benefit_Grid!$C$5:$AU$5)</f>
        <v>17757.21772140975</v>
      </c>
      <c r="N132" s="24">
        <v>122513.86354000001</v>
      </c>
      <c r="O132" s="26">
        <f t="shared" si="11"/>
        <v>-8.883944246917963E-8</v>
      </c>
    </row>
    <row r="133" spans="1:15" x14ac:dyDescent="0.3">
      <c r="A133" s="23" t="s">
        <v>192</v>
      </c>
      <c r="B133" s="14">
        <v>32475</v>
      </c>
      <c r="C133" s="14">
        <v>46021</v>
      </c>
      <c r="D133" s="24">
        <v>21200</v>
      </c>
      <c r="E133" s="25">
        <f>(Assumptions!$B$6-B133)/365.25</f>
        <v>37.336071184120463</v>
      </c>
      <c r="F133" s="25">
        <f>(Assumptions!$B$6-C133)/365.25</f>
        <v>0.24914442162902123</v>
      </c>
      <c r="G133" s="5">
        <f t="shared" si="9"/>
        <v>37</v>
      </c>
      <c r="H133" s="5">
        <f>Assumptions!$B$7-G133</f>
        <v>23</v>
      </c>
      <c r="I133" s="5">
        <f t="shared" si="10"/>
        <v>0</v>
      </c>
      <c r="J133" s="7">
        <f>MIN(15/26*D133*I133,Assumptions!$B$10)</f>
        <v>0</v>
      </c>
      <c r="K133" s="5">
        <f>IF(F133&gt;=Assumptions!$B$11,1,0)</f>
        <v>0</v>
      </c>
      <c r="L133" s="7">
        <f>SUMPRODUCT(Benefit_Grid!$C133:$AU133*(F133/(F133+Benefit_Grid!$C$5:$AU$5))*(1/(1+Assumptions!$B$8))^Benefit_Grid!$C$5:$AU$5)</f>
        <v>2616.9101261489604</v>
      </c>
      <c r="M133" s="7">
        <f>SUMPRODUCT(Benefit_Grid!$C133:$AU133/(F133+Benefit_Grid!$C$5:$AU$5)*(1/(1+Assumptions!$B$8))^Benefit_Grid!$C$5:$AU$5)</f>
        <v>10503.587072262722</v>
      </c>
      <c r="N133" s="24">
        <v>2616.9101260000002</v>
      </c>
      <c r="O133" s="26">
        <f t="shared" si="11"/>
        <v>1.4896022548782639E-7</v>
      </c>
    </row>
    <row r="134" spans="1:15" x14ac:dyDescent="0.3">
      <c r="A134" s="23" t="s">
        <v>193</v>
      </c>
      <c r="B134" s="14">
        <v>32451</v>
      </c>
      <c r="C134" s="14">
        <v>40809</v>
      </c>
      <c r="D134" s="24">
        <v>157200</v>
      </c>
      <c r="E134" s="25">
        <f>(Assumptions!$B$6-B134)/365.25</f>
        <v>37.401779603011633</v>
      </c>
      <c r="F134" s="25">
        <f>(Assumptions!$B$6-C134)/365.25</f>
        <v>14.518822724161533</v>
      </c>
      <c r="G134" s="5">
        <f t="shared" ref="G134:G155" si="12">INT(E134)</f>
        <v>37</v>
      </c>
      <c r="H134" s="5">
        <f>Assumptions!$B$7-G134</f>
        <v>23</v>
      </c>
      <c r="I134" s="5">
        <f t="shared" ref="I134:I155" si="13">INT(F134)+IF(F134-INT(F134)&gt;0.5,1,0)</f>
        <v>15</v>
      </c>
      <c r="J134" s="7">
        <f>MIN(15/26*D134*I134,Assumptions!$B$10)</f>
        <v>1360384.6153846153</v>
      </c>
      <c r="K134" s="5">
        <f>IF(F134&gt;=Assumptions!$B$11,1,0)</f>
        <v>1</v>
      </c>
      <c r="L134" s="7">
        <f>SUMPRODUCT(Benefit_Grid!$C134:$AU134*(F134/(F134+Benefit_Grid!$C$5:$AU$5))*(1/(1+Assumptions!$B$8))^Benefit_Grid!$C$5:$AU$5)</f>
        <v>623814.6107838297</v>
      </c>
      <c r="M134" s="7">
        <f>SUMPRODUCT(Benefit_Grid!$C134:$AU134/(F134+Benefit_Grid!$C$5:$AU$5)*(1/(1+Assumptions!$B$8))^Benefit_Grid!$C$5:$AU$5)</f>
        <v>42965.922419157811</v>
      </c>
      <c r="N134" s="24">
        <v>623814.61078400002</v>
      </c>
      <c r="O134" s="26">
        <f t="shared" ref="O134:O165" si="14">L134-N134</f>
        <v>-1.7031561583280563E-7</v>
      </c>
    </row>
    <row r="135" spans="1:15" x14ac:dyDescent="0.3">
      <c r="A135" s="23" t="s">
        <v>194</v>
      </c>
      <c r="B135" s="14">
        <v>27956</v>
      </c>
      <c r="C135" s="14">
        <v>39269</v>
      </c>
      <c r="D135" s="24">
        <v>83300</v>
      </c>
      <c r="E135" s="25">
        <f>(Assumptions!$B$6-B135)/365.25</f>
        <v>49.708418891170432</v>
      </c>
      <c r="F135" s="25">
        <f>(Assumptions!$B$6-C135)/365.25</f>
        <v>18.735112936344969</v>
      </c>
      <c r="G135" s="5">
        <f t="shared" si="12"/>
        <v>49</v>
      </c>
      <c r="H135" s="5">
        <f>Assumptions!$B$7-G135</f>
        <v>11</v>
      </c>
      <c r="I135" s="5">
        <f t="shared" si="13"/>
        <v>19</v>
      </c>
      <c r="J135" s="7">
        <f>MIN(15/26*D135*I135,Assumptions!$B$10)</f>
        <v>913096.15384615376</v>
      </c>
      <c r="K135" s="5">
        <f>IF(F135&gt;=Assumptions!$B$11,1,0)</f>
        <v>1</v>
      </c>
      <c r="L135" s="7">
        <f>SUMPRODUCT(Benefit_Grid!$C135:$AU135*(F135/(F135+Benefit_Grid!$C$5:$AU$5))*(1/(1+Assumptions!$B$8))^Benefit_Grid!$C$5:$AU$5)</f>
        <v>655554.53755482612</v>
      </c>
      <c r="M135" s="7">
        <f>SUMPRODUCT(Benefit_Grid!$C135:$AU135/(F135+Benefit_Grid!$C$5:$AU$5)*(1/(1+Assumptions!$B$8))^Benefit_Grid!$C$5:$AU$5)</f>
        <v>34990.690463524807</v>
      </c>
      <c r="N135" s="24">
        <v>655554.53755500005</v>
      </c>
      <c r="O135" s="26">
        <f t="shared" si="14"/>
        <v>-1.7392449080944061E-7</v>
      </c>
    </row>
    <row r="136" spans="1:15" x14ac:dyDescent="0.3">
      <c r="A136" s="23" t="s">
        <v>195</v>
      </c>
      <c r="B136" s="14">
        <v>27558</v>
      </c>
      <c r="C136" s="14">
        <v>41301</v>
      </c>
      <c r="D136" s="24">
        <v>94600</v>
      </c>
      <c r="E136" s="25">
        <f>(Assumptions!$B$6-B136)/365.25</f>
        <v>50.798083504449011</v>
      </c>
      <c r="F136" s="25">
        <f>(Assumptions!$B$6-C136)/365.25</f>
        <v>13.171800136892539</v>
      </c>
      <c r="G136" s="5">
        <f t="shared" si="12"/>
        <v>50</v>
      </c>
      <c r="H136" s="5">
        <f>Assumptions!$B$7-G136</f>
        <v>10</v>
      </c>
      <c r="I136" s="5">
        <f t="shared" si="13"/>
        <v>13</v>
      </c>
      <c r="J136" s="7">
        <f>MIN(15/26*D136*I136,Assumptions!$B$10)</f>
        <v>709499.99999999988</v>
      </c>
      <c r="K136" s="5">
        <f>IF(F136&gt;=Assumptions!$B$11,1,0)</f>
        <v>1</v>
      </c>
      <c r="L136" s="7">
        <f>SUMPRODUCT(Benefit_Grid!$C136:$AU136*(F136/(F136+Benefit_Grid!$C$5:$AU$5))*(1/(1+Assumptions!$B$8))^Benefit_Grid!$C$5:$AU$5)</f>
        <v>602403.10454006796</v>
      </c>
      <c r="M136" s="7">
        <f>SUMPRODUCT(Benefit_Grid!$C136:$AU136/(F136+Benefit_Grid!$C$5:$AU$5)*(1/(1+Assumptions!$B$8))^Benefit_Grid!$C$5:$AU$5)</f>
        <v>45734.303457339396</v>
      </c>
      <c r="N136" s="24">
        <v>602403.10453999997</v>
      </c>
      <c r="O136" s="26">
        <f t="shared" si="14"/>
        <v>6.7986547946929932E-8</v>
      </c>
    </row>
    <row r="137" spans="1:15" x14ac:dyDescent="0.3">
      <c r="A137" s="23" t="s">
        <v>196</v>
      </c>
      <c r="B137" s="14">
        <v>30731</v>
      </c>
      <c r="C137" s="14">
        <v>43814</v>
      </c>
      <c r="D137" s="24">
        <v>39200</v>
      </c>
      <c r="E137" s="25">
        <f>(Assumptions!$B$6-B137)/365.25</f>
        <v>42.110882956878854</v>
      </c>
      <c r="F137" s="25">
        <f>(Assumptions!$B$6-C137)/365.25</f>
        <v>6.2915811088295692</v>
      </c>
      <c r="G137" s="5">
        <f t="shared" si="12"/>
        <v>42</v>
      </c>
      <c r="H137" s="5">
        <f>Assumptions!$B$7-G137</f>
        <v>18</v>
      </c>
      <c r="I137" s="5">
        <f t="shared" si="13"/>
        <v>6</v>
      </c>
      <c r="J137" s="7">
        <f>MIN(15/26*D137*I137,Assumptions!$B$10)</f>
        <v>135692.30769230769</v>
      </c>
      <c r="K137" s="5">
        <f>IF(F137&gt;=Assumptions!$B$11,1,0)</f>
        <v>1</v>
      </c>
      <c r="L137" s="7">
        <f>SUMPRODUCT(Benefit_Grid!$C137:$AU137*(F137/(F137+Benefit_Grid!$C$5:$AU$5))*(1/(1+Assumptions!$B$8))^Benefit_Grid!$C$5:$AU$5)</f>
        <v>150908.53244035097</v>
      </c>
      <c r="M137" s="7">
        <f>SUMPRODUCT(Benefit_Grid!$C137:$AU137/(F137+Benefit_Grid!$C$5:$AU$5)*(1/(1+Assumptions!$B$8))^Benefit_Grid!$C$5:$AU$5)</f>
        <v>23985.78828278424</v>
      </c>
      <c r="N137" s="24">
        <v>150908.53244000001</v>
      </c>
      <c r="O137" s="26">
        <f t="shared" si="14"/>
        <v>3.5096309147775173E-7</v>
      </c>
    </row>
    <row r="138" spans="1:15" x14ac:dyDescent="0.3">
      <c r="A138" s="23" t="s">
        <v>197</v>
      </c>
      <c r="B138" s="14">
        <v>30476</v>
      </c>
      <c r="C138" s="14">
        <v>39180</v>
      </c>
      <c r="D138" s="24">
        <v>84300</v>
      </c>
      <c r="E138" s="25">
        <f>(Assumptions!$B$6-B138)/365.25</f>
        <v>42.809034907597535</v>
      </c>
      <c r="F138" s="25">
        <f>(Assumptions!$B$6-C138)/365.25</f>
        <v>18.978781656399725</v>
      </c>
      <c r="G138" s="5">
        <f t="shared" si="12"/>
        <v>42</v>
      </c>
      <c r="H138" s="5">
        <f>Assumptions!$B$7-G138</f>
        <v>18</v>
      </c>
      <c r="I138" s="5">
        <f t="shared" si="13"/>
        <v>19</v>
      </c>
      <c r="J138" s="7">
        <f>MIN(15/26*D138*I138,Assumptions!$B$10)</f>
        <v>924057.69230769225</v>
      </c>
      <c r="K138" s="5">
        <f>IF(F138&gt;=Assumptions!$B$11,1,0)</f>
        <v>1</v>
      </c>
      <c r="L138" s="7">
        <f>SUMPRODUCT(Benefit_Grid!$C138:$AU138*(F138/(F138+Benefit_Grid!$C$5:$AU$5))*(1/(1+Assumptions!$B$8))^Benefit_Grid!$C$5:$AU$5)</f>
        <v>505596.29582734976</v>
      </c>
      <c r="M138" s="7">
        <f>SUMPRODUCT(Benefit_Grid!$C138:$AU138/(F138+Benefit_Grid!$C$5:$AU$5)*(1/(1+Assumptions!$B$8))^Benefit_Grid!$C$5:$AU$5)</f>
        <v>26640.081801924334</v>
      </c>
      <c r="N138" s="24">
        <v>505596.29582699999</v>
      </c>
      <c r="O138" s="26">
        <f t="shared" si="14"/>
        <v>3.4976983442902565E-7</v>
      </c>
    </row>
    <row r="139" spans="1:15" x14ac:dyDescent="0.3">
      <c r="A139" s="23" t="s">
        <v>198</v>
      </c>
      <c r="B139" s="14">
        <v>30792</v>
      </c>
      <c r="C139" s="14">
        <v>42157</v>
      </c>
      <c r="D139" s="24">
        <v>62600</v>
      </c>
      <c r="E139" s="25">
        <f>(Assumptions!$B$6-B139)/365.25</f>
        <v>41.943874058863791</v>
      </c>
      <c r="F139" s="25">
        <f>(Assumptions!$B$6-C139)/365.25</f>
        <v>10.828199863107461</v>
      </c>
      <c r="G139" s="5">
        <f t="shared" si="12"/>
        <v>41</v>
      </c>
      <c r="H139" s="5">
        <f>Assumptions!$B$7-G139</f>
        <v>19</v>
      </c>
      <c r="I139" s="5">
        <f t="shared" si="13"/>
        <v>11</v>
      </c>
      <c r="J139" s="7">
        <f>MIN(15/26*D139*I139,Assumptions!$B$10)</f>
        <v>397269.23076923069</v>
      </c>
      <c r="K139" s="5">
        <f>IF(F139&gt;=Assumptions!$B$11,1,0)</f>
        <v>1</v>
      </c>
      <c r="L139" s="7">
        <f>SUMPRODUCT(Benefit_Grid!$C139:$AU139*(F139/(F139+Benefit_Grid!$C$5:$AU$5))*(1/(1+Assumptions!$B$8))^Benefit_Grid!$C$5:$AU$5)</f>
        <v>284225.99497996632</v>
      </c>
      <c r="M139" s="7">
        <f>SUMPRODUCT(Benefit_Grid!$C139:$AU139/(F139+Benefit_Grid!$C$5:$AU$5)*(1/(1+Assumptions!$B$8))^Benefit_Grid!$C$5:$AU$5)</f>
        <v>26248.683860033558</v>
      </c>
      <c r="N139" s="24">
        <v>284225.99498000002</v>
      </c>
      <c r="O139" s="26">
        <f t="shared" si="14"/>
        <v>-3.3702235668897629E-8</v>
      </c>
    </row>
    <row r="140" spans="1:15" x14ac:dyDescent="0.3">
      <c r="A140" s="23" t="s">
        <v>199</v>
      </c>
      <c r="B140" s="14">
        <v>30290</v>
      </c>
      <c r="C140" s="14">
        <v>38529</v>
      </c>
      <c r="D140" s="24">
        <v>136100</v>
      </c>
      <c r="E140" s="25">
        <f>(Assumptions!$B$6-B140)/365.25</f>
        <v>43.318275154004105</v>
      </c>
      <c r="F140" s="25">
        <f>(Assumptions!$B$6-C140)/365.25</f>
        <v>20.761122518822724</v>
      </c>
      <c r="G140" s="5">
        <f t="shared" si="12"/>
        <v>43</v>
      </c>
      <c r="H140" s="5">
        <f>Assumptions!$B$7-G140</f>
        <v>17</v>
      </c>
      <c r="I140" s="5">
        <f t="shared" si="13"/>
        <v>21</v>
      </c>
      <c r="J140" s="7">
        <f>MIN(15/26*D140*I140,Assumptions!$B$10)</f>
        <v>1648903.846153846</v>
      </c>
      <c r="K140" s="5">
        <f>IF(F140&gt;=Assumptions!$B$11,1,0)</f>
        <v>1</v>
      </c>
      <c r="L140" s="7">
        <f>SUMPRODUCT(Benefit_Grid!$C140:$AU140*(F140/(F140+Benefit_Grid!$C$5:$AU$5))*(1/(1+Assumptions!$B$8))^Benefit_Grid!$C$5:$AU$5)</f>
        <v>622018.83927792427</v>
      </c>
      <c r="M140" s="7">
        <f>SUMPRODUCT(Benefit_Grid!$C140:$AU140/(F140+Benefit_Grid!$C$5:$AU$5)*(1/(1+Assumptions!$B$8))^Benefit_Grid!$C$5:$AU$5)</f>
        <v>29960.751819367244</v>
      </c>
      <c r="N140" s="24">
        <v>622018.83927800006</v>
      </c>
      <c r="O140" s="26">
        <f t="shared" si="14"/>
        <v>-7.5786374509334564E-8</v>
      </c>
    </row>
    <row r="141" spans="1:15" x14ac:dyDescent="0.3">
      <c r="A141" s="23" t="s">
        <v>200</v>
      </c>
      <c r="B141" s="14">
        <v>35066</v>
      </c>
      <c r="C141" s="14">
        <v>43902</v>
      </c>
      <c r="D141" s="24">
        <v>49600</v>
      </c>
      <c r="E141" s="25">
        <f>(Assumptions!$B$6-B141)/365.25</f>
        <v>30.242299794661189</v>
      </c>
      <c r="F141" s="25">
        <f>(Assumptions!$B$6-C141)/365.25</f>
        <v>6.0506502395619437</v>
      </c>
      <c r="G141" s="5">
        <f t="shared" si="12"/>
        <v>30</v>
      </c>
      <c r="H141" s="5">
        <f>Assumptions!$B$7-G141</f>
        <v>30</v>
      </c>
      <c r="I141" s="5">
        <f t="shared" si="13"/>
        <v>6</v>
      </c>
      <c r="J141" s="7">
        <f>MIN(15/26*D141*I141,Assumptions!$B$10)</f>
        <v>171692.30769230769</v>
      </c>
      <c r="K141" s="5">
        <f>IF(F141&gt;=Assumptions!$B$11,1,0)</f>
        <v>1</v>
      </c>
      <c r="L141" s="7">
        <f>SUMPRODUCT(Benefit_Grid!$C141:$AU141*(F141/(F141+Benefit_Grid!$C$5:$AU$5))*(1/(1+Assumptions!$B$8))^Benefit_Grid!$C$5:$AU$5)</f>
        <v>148678.49957881874</v>
      </c>
      <c r="M141" s="7">
        <f>SUMPRODUCT(Benefit_Grid!$C141:$AU141/(F141+Benefit_Grid!$C$5:$AU$5)*(1/(1+Assumptions!$B$8))^Benefit_Grid!$C$5:$AU$5)</f>
        <v>24572.317634010658</v>
      </c>
      <c r="N141" s="24">
        <v>148678.499579</v>
      </c>
      <c r="O141" s="26">
        <f t="shared" si="14"/>
        <v>-1.8125865608453751E-7</v>
      </c>
    </row>
    <row r="142" spans="1:15" x14ac:dyDescent="0.3">
      <c r="A142" s="23" t="s">
        <v>201</v>
      </c>
      <c r="B142" s="14">
        <v>28768</v>
      </c>
      <c r="C142" s="14">
        <v>37072</v>
      </c>
      <c r="D142" s="24">
        <v>180300</v>
      </c>
      <c r="E142" s="25">
        <f>(Assumptions!$B$6-B142)/365.25</f>
        <v>47.485284052019168</v>
      </c>
      <c r="F142" s="25">
        <f>(Assumptions!$B$6-C142)/365.25</f>
        <v>24.750171115674195</v>
      </c>
      <c r="G142" s="5">
        <f t="shared" si="12"/>
        <v>47</v>
      </c>
      <c r="H142" s="5">
        <f>Assumptions!$B$7-G142</f>
        <v>13</v>
      </c>
      <c r="I142" s="5">
        <f t="shared" si="13"/>
        <v>25</v>
      </c>
      <c r="J142" s="7">
        <f>MIN(15/26*D142*I142,Assumptions!$B$10)</f>
        <v>2000000</v>
      </c>
      <c r="K142" s="5">
        <f>IF(F142&gt;=Assumptions!$B$11,1,0)</f>
        <v>1</v>
      </c>
      <c r="L142" s="7">
        <f>SUMPRODUCT(Benefit_Grid!$C142:$AU142*(F142/(F142+Benefit_Grid!$C$5:$AU$5))*(1/(1+Assumptions!$B$8))^Benefit_Grid!$C$5:$AU$5)</f>
        <v>707611.63681428076</v>
      </c>
      <c r="M142" s="7">
        <f>SUMPRODUCT(Benefit_Grid!$C142:$AU142/(F142+Benefit_Grid!$C$5:$AU$5)*(1/(1+Assumptions!$B$8))^Benefit_Grid!$C$5:$AU$5)</f>
        <v>28590.171498497351</v>
      </c>
      <c r="N142" s="24">
        <v>707611.63681399997</v>
      </c>
      <c r="O142" s="26">
        <f t="shared" si="14"/>
        <v>2.8079375624656677E-7</v>
      </c>
    </row>
    <row r="143" spans="1:15" x14ac:dyDescent="0.3">
      <c r="A143" s="23" t="s">
        <v>202</v>
      </c>
      <c r="B143" s="14">
        <v>31974</v>
      </c>
      <c r="C143" s="14">
        <v>44954</v>
      </c>
      <c r="D143" s="24">
        <v>38900</v>
      </c>
      <c r="E143" s="25">
        <f>(Assumptions!$B$6-B143)/365.25</f>
        <v>38.70773442847365</v>
      </c>
      <c r="F143" s="25">
        <f>(Assumptions!$B$6-C143)/365.25</f>
        <v>3.1704312114989732</v>
      </c>
      <c r="G143" s="5">
        <f t="shared" si="12"/>
        <v>38</v>
      </c>
      <c r="H143" s="5">
        <f>Assumptions!$B$7-G143</f>
        <v>22</v>
      </c>
      <c r="I143" s="5">
        <f t="shared" si="13"/>
        <v>3</v>
      </c>
      <c r="J143" s="7">
        <f>MIN(15/26*D143*I143,Assumptions!$B$10)</f>
        <v>67326.923076923078</v>
      </c>
      <c r="K143" s="5">
        <f>IF(F143&gt;=Assumptions!$B$11,1,0)</f>
        <v>0</v>
      </c>
      <c r="L143" s="7">
        <f>SUMPRODUCT(Benefit_Grid!$C143:$AU143*(F143/(F143+Benefit_Grid!$C$5:$AU$5))*(1/(1+Assumptions!$B$8))^Benefit_Grid!$C$5:$AU$5)</f>
        <v>60397.288026300128</v>
      </c>
      <c r="M143" s="7">
        <f>SUMPRODUCT(Benefit_Grid!$C143:$AU143/(F143+Benefit_Grid!$C$5:$AU$5)*(1/(1+Assumptions!$B$8))^Benefit_Grid!$C$5:$AU$5)</f>
        <v>19050.180873580422</v>
      </c>
      <c r="N143" s="24">
        <v>60397.288026000002</v>
      </c>
      <c r="O143" s="26">
        <f t="shared" si="14"/>
        <v>3.0012597562745214E-7</v>
      </c>
    </row>
    <row r="144" spans="1:15" x14ac:dyDescent="0.3">
      <c r="A144" s="23" t="s">
        <v>203</v>
      </c>
      <c r="B144" s="14">
        <v>32807</v>
      </c>
      <c r="C144" s="14">
        <v>43370</v>
      </c>
      <c r="D144" s="24">
        <v>51700</v>
      </c>
      <c r="E144" s="25">
        <f>(Assumptions!$B$6-B144)/365.25</f>
        <v>36.427104722792606</v>
      </c>
      <c r="F144" s="25">
        <f>(Assumptions!$B$6-C144)/365.25</f>
        <v>7.5071868583162216</v>
      </c>
      <c r="G144" s="5">
        <f t="shared" si="12"/>
        <v>36</v>
      </c>
      <c r="H144" s="5">
        <f>Assumptions!$B$7-G144</f>
        <v>24</v>
      </c>
      <c r="I144" s="5">
        <f t="shared" si="13"/>
        <v>8</v>
      </c>
      <c r="J144" s="7">
        <f>MIN(15/26*D144*I144,Assumptions!$B$10)</f>
        <v>238615.3846153846</v>
      </c>
      <c r="K144" s="5">
        <f>IF(F144&gt;=Assumptions!$B$11,1,0)</f>
        <v>1</v>
      </c>
      <c r="L144" s="7">
        <f>SUMPRODUCT(Benefit_Grid!$C144:$AU144*(F144/(F144+Benefit_Grid!$C$5:$AU$5))*(1/(1+Assumptions!$B$8))^Benefit_Grid!$C$5:$AU$5)</f>
        <v>180789.42752917798</v>
      </c>
      <c r="M144" s="7">
        <f>SUMPRODUCT(Benefit_Grid!$C144:$AU144/(F144+Benefit_Grid!$C$5:$AU$5)*(1/(1+Assumptions!$B$8))^Benefit_Grid!$C$5:$AU$5)</f>
        <v>24082.180308180992</v>
      </c>
      <c r="N144" s="24">
        <v>180789.42752900001</v>
      </c>
      <c r="O144" s="26">
        <f t="shared" si="14"/>
        <v>1.779699232429266E-7</v>
      </c>
    </row>
    <row r="145" spans="1:15" x14ac:dyDescent="0.3">
      <c r="A145" s="23" t="s">
        <v>204</v>
      </c>
      <c r="B145" s="14">
        <v>34718</v>
      </c>
      <c r="C145" s="14">
        <v>45163</v>
      </c>
      <c r="D145" s="24">
        <v>54000</v>
      </c>
      <c r="E145" s="25">
        <f>(Assumptions!$B$6-B145)/365.25</f>
        <v>31.195071868583163</v>
      </c>
      <c r="F145" s="25">
        <f>(Assumptions!$B$6-C145)/365.25</f>
        <v>2.5982203969883639</v>
      </c>
      <c r="G145" s="5">
        <f t="shared" si="12"/>
        <v>31</v>
      </c>
      <c r="H145" s="5">
        <f>Assumptions!$B$7-G145</f>
        <v>29</v>
      </c>
      <c r="I145" s="5">
        <f t="shared" si="13"/>
        <v>3</v>
      </c>
      <c r="J145" s="7">
        <f>MIN(15/26*D145*I145,Assumptions!$B$10)</f>
        <v>93461.538461538454</v>
      </c>
      <c r="K145" s="5">
        <f>IF(F145&gt;=Assumptions!$B$11,1,0)</f>
        <v>0</v>
      </c>
      <c r="L145" s="7">
        <f>SUMPRODUCT(Benefit_Grid!$C145:$AU145*(F145/(F145+Benefit_Grid!$C$5:$AU$5))*(1/(1+Assumptions!$B$8))^Benefit_Grid!$C$5:$AU$5)</f>
        <v>54118.760999950086</v>
      </c>
      <c r="M145" s="7">
        <f>SUMPRODUCT(Benefit_Grid!$C145:$AU145/(F145+Benefit_Grid!$C$5:$AU$5)*(1/(1+Assumptions!$B$8))^Benefit_Grid!$C$5:$AU$5)</f>
        <v>20829.164863257927</v>
      </c>
      <c r="N145" s="24">
        <v>54118.760999999999</v>
      </c>
      <c r="O145" s="26">
        <f t="shared" si="14"/>
        <v>-4.9913069233298302E-8</v>
      </c>
    </row>
    <row r="146" spans="1:15" x14ac:dyDescent="0.3">
      <c r="A146" s="23" t="s">
        <v>205</v>
      </c>
      <c r="B146" s="14">
        <v>26638</v>
      </c>
      <c r="C146" s="14">
        <v>38497</v>
      </c>
      <c r="D146" s="24">
        <v>171200</v>
      </c>
      <c r="E146" s="25">
        <f>(Assumptions!$B$6-B146)/365.25</f>
        <v>53.316906228610542</v>
      </c>
      <c r="F146" s="25">
        <f>(Assumptions!$B$6-C146)/365.25</f>
        <v>20.84873374401095</v>
      </c>
      <c r="G146" s="5">
        <f t="shared" si="12"/>
        <v>53</v>
      </c>
      <c r="H146" s="5">
        <f>Assumptions!$B$7-G146</f>
        <v>7</v>
      </c>
      <c r="I146" s="5">
        <f t="shared" si="13"/>
        <v>21</v>
      </c>
      <c r="J146" s="7">
        <f>MIN(15/26*D146*I146,Assumptions!$B$10)</f>
        <v>2000000</v>
      </c>
      <c r="K146" s="5">
        <f>IF(F146&gt;=Assumptions!$B$11,1,0)</f>
        <v>1</v>
      </c>
      <c r="L146" s="7">
        <f>SUMPRODUCT(Benefit_Grid!$C146:$AU146*(F146/(F146+Benefit_Grid!$C$5:$AU$5))*(1/(1+Assumptions!$B$8))^Benefit_Grid!$C$5:$AU$5)</f>
        <v>984030.35812698654</v>
      </c>
      <c r="M146" s="7">
        <f>SUMPRODUCT(Benefit_Grid!$C146:$AU146/(F146+Benefit_Grid!$C$5:$AU$5)*(1/(1+Assumptions!$B$8))^Benefit_Grid!$C$5:$AU$5)</f>
        <v>47198.567078907661</v>
      </c>
      <c r="N146" s="24">
        <v>984030.35812700004</v>
      </c>
      <c r="O146" s="26">
        <f t="shared" si="14"/>
        <v>-1.3504177331924438E-8</v>
      </c>
    </row>
    <row r="147" spans="1:15" x14ac:dyDescent="0.3">
      <c r="A147" s="23" t="s">
        <v>206</v>
      </c>
      <c r="B147" s="14">
        <v>30880</v>
      </c>
      <c r="C147" s="14">
        <v>44478</v>
      </c>
      <c r="D147" s="24">
        <v>34400</v>
      </c>
      <c r="E147" s="25">
        <f>(Assumptions!$B$6-B147)/365.25</f>
        <v>41.702943189596169</v>
      </c>
      <c r="F147" s="25">
        <f>(Assumptions!$B$6-C147)/365.25</f>
        <v>4.473648186173854</v>
      </c>
      <c r="G147" s="5">
        <f t="shared" si="12"/>
        <v>41</v>
      </c>
      <c r="H147" s="5">
        <f>Assumptions!$B$7-G147</f>
        <v>19</v>
      </c>
      <c r="I147" s="5">
        <f t="shared" si="13"/>
        <v>4</v>
      </c>
      <c r="J147" s="7">
        <f>MIN(15/26*D147*I147,Assumptions!$B$10)</f>
        <v>79384.615384615376</v>
      </c>
      <c r="K147" s="5">
        <f>IF(F147&gt;=Assumptions!$B$11,1,0)</f>
        <v>0</v>
      </c>
      <c r="L147" s="7">
        <f>SUMPRODUCT(Benefit_Grid!$C147:$AU147*(F147/(F147+Benefit_Grid!$C$5:$AU$5))*(1/(1+Assumptions!$B$8))^Benefit_Grid!$C$5:$AU$5)</f>
        <v>97857.980020422867</v>
      </c>
      <c r="M147" s="7">
        <f>SUMPRODUCT(Benefit_Grid!$C147:$AU147/(F147+Benefit_Grid!$C$5:$AU$5)*(1/(1+Assumptions!$B$8))^Benefit_Grid!$C$5:$AU$5)</f>
        <v>21874.312853402356</v>
      </c>
      <c r="N147" s="24">
        <v>97857.980020000003</v>
      </c>
      <c r="O147" s="26">
        <f t="shared" si="14"/>
        <v>4.2286410462111235E-7</v>
      </c>
    </row>
    <row r="148" spans="1:15" x14ac:dyDescent="0.3">
      <c r="A148" s="23" t="s">
        <v>207</v>
      </c>
      <c r="B148" s="14">
        <v>34382</v>
      </c>
      <c r="C148" s="14">
        <v>42985</v>
      </c>
      <c r="D148" s="24">
        <v>41800</v>
      </c>
      <c r="E148" s="25">
        <f>(Assumptions!$B$6-B148)/365.25</f>
        <v>32.114989733059545</v>
      </c>
      <c r="F148" s="25">
        <f>(Assumptions!$B$6-C148)/365.25</f>
        <v>8.5612594113620801</v>
      </c>
      <c r="G148" s="5">
        <f t="shared" si="12"/>
        <v>32</v>
      </c>
      <c r="H148" s="5">
        <f>Assumptions!$B$7-G148</f>
        <v>28</v>
      </c>
      <c r="I148" s="5">
        <f t="shared" si="13"/>
        <v>9</v>
      </c>
      <c r="J148" s="7">
        <f>MIN(15/26*D148*I148,Assumptions!$B$10)</f>
        <v>217038.46153846153</v>
      </c>
      <c r="K148" s="5">
        <f>IF(F148&gt;=Assumptions!$B$11,1,0)</f>
        <v>1</v>
      </c>
      <c r="L148" s="7">
        <f>SUMPRODUCT(Benefit_Grid!$C148:$AU148*(F148/(F148+Benefit_Grid!$C$5:$AU$5))*(1/(1+Assumptions!$B$8))^Benefit_Grid!$C$5:$AU$5)</f>
        <v>180333.96218012797</v>
      </c>
      <c r="M148" s="7">
        <f>SUMPRODUCT(Benefit_Grid!$C148:$AU148/(F148+Benefit_Grid!$C$5:$AU$5)*(1/(1+Assumptions!$B$8))^Benefit_Grid!$C$5:$AU$5)</f>
        <v>21063.952569968584</v>
      </c>
      <c r="N148" s="24">
        <v>180333.96218</v>
      </c>
      <c r="O148" s="26">
        <f t="shared" si="14"/>
        <v>1.2796954251825809E-7</v>
      </c>
    </row>
    <row r="149" spans="1:15" x14ac:dyDescent="0.3">
      <c r="A149" s="23" t="s">
        <v>208</v>
      </c>
      <c r="B149" s="14">
        <v>35234</v>
      </c>
      <c r="C149" s="14">
        <v>45163</v>
      </c>
      <c r="D149" s="24">
        <v>25400</v>
      </c>
      <c r="E149" s="25">
        <f>(Assumptions!$B$6-B149)/365.25</f>
        <v>29.782340862422998</v>
      </c>
      <c r="F149" s="25">
        <f>(Assumptions!$B$6-C149)/365.25</f>
        <v>2.5982203969883639</v>
      </c>
      <c r="G149" s="5">
        <f t="shared" si="12"/>
        <v>29</v>
      </c>
      <c r="H149" s="5">
        <f>Assumptions!$B$7-G149</f>
        <v>31</v>
      </c>
      <c r="I149" s="5">
        <f t="shared" si="13"/>
        <v>3</v>
      </c>
      <c r="J149" s="7">
        <f>MIN(15/26*D149*I149,Assumptions!$B$10)</f>
        <v>43961.538461538454</v>
      </c>
      <c r="K149" s="5">
        <f>IF(F149&gt;=Assumptions!$B$11,1,0)</f>
        <v>0</v>
      </c>
      <c r="L149" s="7">
        <f>SUMPRODUCT(Benefit_Grid!$C149:$AU149*(F149/(F149+Benefit_Grid!$C$5:$AU$5))*(1/(1+Assumptions!$B$8))^Benefit_Grid!$C$5:$AU$5)</f>
        <v>28100.941095372902</v>
      </c>
      <c r="M149" s="7">
        <f>SUMPRODUCT(Benefit_Grid!$C149:$AU149/(F149+Benefit_Grid!$C$5:$AU$5)*(1/(1+Assumptions!$B$8))^Benefit_Grid!$C$5:$AU$5)</f>
        <v>10815.457044346636</v>
      </c>
      <c r="N149" s="24">
        <v>28100.941094999998</v>
      </c>
      <c r="O149" s="26">
        <f t="shared" si="14"/>
        <v>3.7290374166332185E-7</v>
      </c>
    </row>
    <row r="150" spans="1:15" x14ac:dyDescent="0.3">
      <c r="A150" s="23" t="s">
        <v>209</v>
      </c>
      <c r="B150" s="14">
        <v>31836</v>
      </c>
      <c r="C150" s="14">
        <v>42037</v>
      </c>
      <c r="D150" s="24">
        <v>35900</v>
      </c>
      <c r="E150" s="25">
        <f>(Assumptions!$B$6-B150)/365.25</f>
        <v>39.08555783709788</v>
      </c>
      <c r="F150" s="25">
        <f>(Assumptions!$B$6-C150)/365.25</f>
        <v>11.156741957563312</v>
      </c>
      <c r="G150" s="5">
        <f t="shared" si="12"/>
        <v>39</v>
      </c>
      <c r="H150" s="5">
        <f>Assumptions!$B$7-G150</f>
        <v>21</v>
      </c>
      <c r="I150" s="5">
        <f t="shared" si="13"/>
        <v>11</v>
      </c>
      <c r="J150" s="7">
        <f>MIN(15/26*D150*I150,Assumptions!$B$10)</f>
        <v>227826.92307692306</v>
      </c>
      <c r="K150" s="5">
        <f>IF(F150&gt;=Assumptions!$B$11,1,0)</f>
        <v>1</v>
      </c>
      <c r="L150" s="7">
        <f>SUMPRODUCT(Benefit_Grid!$C150:$AU150*(F150/(F150+Benefit_Grid!$C$5:$AU$5))*(1/(1+Assumptions!$B$8))^Benefit_Grid!$C$5:$AU$5)</f>
        <v>203977.33642330734</v>
      </c>
      <c r="M150" s="7">
        <f>SUMPRODUCT(Benefit_Grid!$C150:$AU150/(F150+Benefit_Grid!$C$5:$AU$5)*(1/(1+Assumptions!$B$8))^Benefit_Grid!$C$5:$AU$5)</f>
        <v>18282.876595978651</v>
      </c>
      <c r="N150" s="24">
        <v>203977.336423</v>
      </c>
      <c r="O150" s="26">
        <f t="shared" si="14"/>
        <v>3.0733644962310791E-7</v>
      </c>
    </row>
    <row r="151" spans="1:15" x14ac:dyDescent="0.3">
      <c r="A151" s="23" t="s">
        <v>210</v>
      </c>
      <c r="B151" s="14">
        <v>29072</v>
      </c>
      <c r="C151" s="14">
        <v>38350</v>
      </c>
      <c r="D151" s="24">
        <v>202800</v>
      </c>
      <c r="E151" s="25">
        <f>(Assumptions!$B$6-B151)/365.25</f>
        <v>46.652977412731005</v>
      </c>
      <c r="F151" s="25">
        <f>(Assumptions!$B$6-C151)/365.25</f>
        <v>21.251197809719372</v>
      </c>
      <c r="G151" s="5">
        <f t="shared" si="12"/>
        <v>46</v>
      </c>
      <c r="H151" s="5">
        <f>Assumptions!$B$7-G151</f>
        <v>14</v>
      </c>
      <c r="I151" s="5">
        <f t="shared" si="13"/>
        <v>21</v>
      </c>
      <c r="J151" s="7">
        <f>MIN(15/26*D151*I151,Assumptions!$B$10)</f>
        <v>2000000</v>
      </c>
      <c r="K151" s="5">
        <f>IF(F151&gt;=Assumptions!$B$11,1,0)</f>
        <v>1</v>
      </c>
      <c r="L151" s="7">
        <f>SUMPRODUCT(Benefit_Grid!$C151:$AU151*(F151/(F151+Benefit_Grid!$C$5:$AU$5))*(1/(1+Assumptions!$B$8))^Benefit_Grid!$C$5:$AU$5)</f>
        <v>651364.57006907463</v>
      </c>
      <c r="M151" s="7">
        <f>SUMPRODUCT(Benefit_Grid!$C151:$AU151/(F151+Benefit_Grid!$C$5:$AU$5)*(1/(1+Assumptions!$B$8))^Benefit_Grid!$C$5:$AU$5)</f>
        <v>30650.722651085998</v>
      </c>
      <c r="N151" s="24">
        <v>651364.57006900001</v>
      </c>
      <c r="O151" s="26">
        <f t="shared" si="14"/>
        <v>7.4622221291065216E-8</v>
      </c>
    </row>
    <row r="152" spans="1:15" x14ac:dyDescent="0.3">
      <c r="A152" s="23" t="s">
        <v>211</v>
      </c>
      <c r="B152" s="14">
        <v>26488</v>
      </c>
      <c r="C152" s="14">
        <v>35458</v>
      </c>
      <c r="D152" s="24">
        <v>231500</v>
      </c>
      <c r="E152" s="25">
        <f>(Assumptions!$B$6-B152)/365.25</f>
        <v>53.727583846680353</v>
      </c>
      <c r="F152" s="25">
        <f>(Assumptions!$B$6-C152)/365.25</f>
        <v>29.169062286105408</v>
      </c>
      <c r="G152" s="5">
        <f t="shared" si="12"/>
        <v>53</v>
      </c>
      <c r="H152" s="5">
        <f>Assumptions!$B$7-G152</f>
        <v>7</v>
      </c>
      <c r="I152" s="5">
        <f t="shared" si="13"/>
        <v>29</v>
      </c>
      <c r="J152" s="7">
        <f>MIN(15/26*D152*I152,Assumptions!$B$10)</f>
        <v>2000000</v>
      </c>
      <c r="K152" s="5">
        <f>IF(F152&gt;=Assumptions!$B$11,1,0)</f>
        <v>1</v>
      </c>
      <c r="L152" s="7">
        <f>SUMPRODUCT(Benefit_Grid!$C152:$AU152*(F152/(F152+Benefit_Grid!$C$5:$AU$5))*(1/(1+Assumptions!$B$8))^Benefit_Grid!$C$5:$AU$5)</f>
        <v>1053684.9447764214</v>
      </c>
      <c r="M152" s="7">
        <f>SUMPRODUCT(Benefit_Grid!$C152:$AU152/(F152+Benefit_Grid!$C$5:$AU$5)*(1/(1+Assumptions!$B$8))^Benefit_Grid!$C$5:$AU$5)</f>
        <v>36123.373951528803</v>
      </c>
      <c r="N152" s="24">
        <v>1053684.944776</v>
      </c>
      <c r="O152" s="26">
        <f t="shared" si="14"/>
        <v>4.2142346501350403E-7</v>
      </c>
    </row>
    <row r="153" spans="1:15" x14ac:dyDescent="0.3">
      <c r="A153" s="23" t="s">
        <v>212</v>
      </c>
      <c r="B153" s="14">
        <v>30232</v>
      </c>
      <c r="C153" s="14">
        <v>40277</v>
      </c>
      <c r="D153" s="24">
        <v>90800</v>
      </c>
      <c r="E153" s="25">
        <f>(Assumptions!$B$6-B153)/365.25</f>
        <v>43.477070499657771</v>
      </c>
      <c r="F153" s="25">
        <f>(Assumptions!$B$6-C153)/365.25</f>
        <v>15.975359342915811</v>
      </c>
      <c r="G153" s="5">
        <f t="shared" si="12"/>
        <v>43</v>
      </c>
      <c r="H153" s="5">
        <f>Assumptions!$B$7-G153</f>
        <v>17</v>
      </c>
      <c r="I153" s="5">
        <f t="shared" si="13"/>
        <v>16</v>
      </c>
      <c r="J153" s="7">
        <f>MIN(15/26*D153*I153,Assumptions!$B$10)</f>
        <v>838153.84615384613</v>
      </c>
      <c r="K153" s="5">
        <f>IF(F153&gt;=Assumptions!$B$11,1,0)</f>
        <v>1</v>
      </c>
      <c r="L153" s="7">
        <f>SUMPRODUCT(Benefit_Grid!$C153:$AU153*(F153/(F153+Benefit_Grid!$C$5:$AU$5))*(1/(1+Assumptions!$B$8))^Benefit_Grid!$C$5:$AU$5)</f>
        <v>469522.49985943781</v>
      </c>
      <c r="M153" s="7">
        <f>SUMPRODUCT(Benefit_Grid!$C153:$AU153/(F153+Benefit_Grid!$C$5:$AU$5)*(1/(1+Assumptions!$B$8))^Benefit_Grid!$C$5:$AU$5)</f>
        <v>29390.4186930008</v>
      </c>
      <c r="N153" s="24">
        <v>469522.49985899997</v>
      </c>
      <c r="O153" s="26">
        <f t="shared" si="14"/>
        <v>4.3783802539110184E-7</v>
      </c>
    </row>
    <row r="154" spans="1:15" x14ac:dyDescent="0.3">
      <c r="A154" s="23" t="s">
        <v>213</v>
      </c>
      <c r="B154" s="14">
        <v>32576</v>
      </c>
      <c r="C154" s="14">
        <v>44674</v>
      </c>
      <c r="D154" s="24">
        <v>39500</v>
      </c>
      <c r="E154" s="25">
        <f>(Assumptions!$B$6-B154)/365.25</f>
        <v>37.059548254620125</v>
      </c>
      <c r="F154" s="25">
        <f>(Assumptions!$B$6-C154)/365.25</f>
        <v>3.9370294318959616</v>
      </c>
      <c r="G154" s="5">
        <f t="shared" si="12"/>
        <v>37</v>
      </c>
      <c r="H154" s="5">
        <f>Assumptions!$B$7-G154</f>
        <v>23</v>
      </c>
      <c r="I154" s="5">
        <f t="shared" si="13"/>
        <v>4</v>
      </c>
      <c r="J154" s="7">
        <f>MIN(15/26*D154*I154,Assumptions!$B$10)</f>
        <v>91153.846153846142</v>
      </c>
      <c r="K154" s="5">
        <f>IF(F154&gt;=Assumptions!$B$11,1,0)</f>
        <v>0</v>
      </c>
      <c r="L154" s="7">
        <f>SUMPRODUCT(Benefit_Grid!$C154:$AU154*(F154/(F154+Benefit_Grid!$C$5:$AU$5))*(1/(1+Assumptions!$B$8))^Benefit_Grid!$C$5:$AU$5)</f>
        <v>73629.661795007312</v>
      </c>
      <c r="M154" s="7">
        <f>SUMPRODUCT(Benefit_Grid!$C154:$AU154/(F154+Benefit_Grid!$C$5:$AU$5)*(1/(1+Assumptions!$B$8))^Benefit_Grid!$C$5:$AU$5)</f>
        <v>18701.83169028263</v>
      </c>
      <c r="N154" s="24">
        <v>73629.661795000007</v>
      </c>
      <c r="O154" s="26">
        <f t="shared" si="14"/>
        <v>7.3050614446401596E-9</v>
      </c>
    </row>
    <row r="155" spans="1:15" x14ac:dyDescent="0.3">
      <c r="A155" s="23" t="s">
        <v>214</v>
      </c>
      <c r="B155" s="14">
        <v>29779</v>
      </c>
      <c r="C155" s="14">
        <v>40610</v>
      </c>
      <c r="D155" s="24">
        <v>67300</v>
      </c>
      <c r="E155" s="25">
        <f>(Assumptions!$B$6-B155)/365.25</f>
        <v>44.717316906228611</v>
      </c>
      <c r="F155" s="25">
        <f>(Assumptions!$B$6-C155)/365.25</f>
        <v>15.063655030800822</v>
      </c>
      <c r="G155" s="5">
        <f t="shared" si="12"/>
        <v>44</v>
      </c>
      <c r="H155" s="5">
        <f>Assumptions!$B$7-G155</f>
        <v>16</v>
      </c>
      <c r="I155" s="5">
        <f t="shared" si="13"/>
        <v>15</v>
      </c>
      <c r="J155" s="7">
        <f>MIN(15/26*D155*I155,Assumptions!$B$10)</f>
        <v>582403.84615384601</v>
      </c>
      <c r="K155" s="5">
        <f>IF(F155&gt;=Assumptions!$B$11,1,0)</f>
        <v>1</v>
      </c>
      <c r="L155" s="7">
        <f>SUMPRODUCT(Benefit_Grid!$C155:$AU155*(F155/(F155+Benefit_Grid!$C$5:$AU$5))*(1/(1+Assumptions!$B$8))^Benefit_Grid!$C$5:$AU$5)</f>
        <v>410715.84015102783</v>
      </c>
      <c r="M155" s="7">
        <f>SUMPRODUCT(Benefit_Grid!$C155:$AU155/(F155+Benefit_Grid!$C$5:$AU$5)*(1/(1+Assumptions!$B$8))^Benefit_Grid!$C$5:$AU$5)</f>
        <v>27265.350893341136</v>
      </c>
      <c r="N155" s="24">
        <v>410715.84015100001</v>
      </c>
      <c r="O155" s="26">
        <f t="shared" si="14"/>
        <v>2.7823261916637421E-8</v>
      </c>
    </row>
  </sheetData>
  <mergeCells count="3">
    <mergeCell ref="A1:E1"/>
    <mergeCell ref="A2:J2"/>
    <mergeCell ref="A3:J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8"/>
  <sheetViews>
    <sheetView zoomScaleNormal="100" workbookViewId="0"/>
  </sheetViews>
  <sheetFormatPr defaultColWidth="8.6640625" defaultRowHeight="14.4" x14ac:dyDescent="0.3"/>
  <cols>
    <col min="1" max="7" width="20" customWidth="1"/>
  </cols>
  <sheetData>
    <row r="1" spans="1:7" ht="17.399999999999999" x14ac:dyDescent="0.3">
      <c r="A1" s="1" t="s">
        <v>215</v>
      </c>
    </row>
    <row r="2" spans="1:7" x14ac:dyDescent="0.3">
      <c r="A2" s="10" t="s">
        <v>216</v>
      </c>
    </row>
    <row r="5" spans="1:7" ht="31.5" customHeight="1" x14ac:dyDescent="0.3">
      <c r="A5" s="3" t="s">
        <v>217</v>
      </c>
      <c r="B5" s="3" t="s">
        <v>218</v>
      </c>
      <c r="C5" s="3" t="s">
        <v>219</v>
      </c>
      <c r="D5" s="3" t="s">
        <v>220</v>
      </c>
      <c r="E5" s="3" t="s">
        <v>221</v>
      </c>
      <c r="F5" s="3" t="s">
        <v>222</v>
      </c>
      <c r="G5" s="3" t="s">
        <v>223</v>
      </c>
    </row>
    <row r="6" spans="1:7" x14ac:dyDescent="0.3">
      <c r="A6" s="18">
        <v>18</v>
      </c>
      <c r="B6" s="27">
        <f>1-EXP(-(Assumptions!$B$12+Assumptions!$B$13*Assumptions!$B$14^A6*(Assumptions!$B$14-1)/LN(Assumptions!$B$14)))</f>
        <v>5.1653650656080519E-4</v>
      </c>
      <c r="C6" s="27">
        <f>VLOOKUP(A6,Assumptions!$A$19:$C$27,3,TRUE())</f>
        <v>0.2</v>
      </c>
      <c r="D6" s="27">
        <f t="shared" ref="D6:D37" si="0">B6*(1-C6/2)</f>
        <v>4.6488285590472466E-4</v>
      </c>
      <c r="E6" s="27">
        <f t="shared" ref="E6:E37" si="1">C6*(1-B6/2)</f>
        <v>0.19994834634934394</v>
      </c>
      <c r="F6" s="27">
        <f t="shared" ref="F6:F37" si="2">1-D6-E6</f>
        <v>0.79958677079475127</v>
      </c>
      <c r="G6" s="19">
        <v>1</v>
      </c>
    </row>
    <row r="7" spans="1:7" x14ac:dyDescent="0.3">
      <c r="A7" s="5">
        <f t="shared" ref="A7:A38" si="3">A6+1</f>
        <v>19</v>
      </c>
      <c r="B7" s="27">
        <f>1-EXP(-(Assumptions!$B$12+Assumptions!$B$13*Assumptions!$B$14^A7*(Assumptions!$B$14-1)/LN(Assumptions!$B$14)))</f>
        <v>5.2819740785747804E-4</v>
      </c>
      <c r="C7" s="27">
        <f>VLOOKUP(A7,Assumptions!$A$19:$C$27,3,TRUE())</f>
        <v>0.2</v>
      </c>
      <c r="D7" s="27">
        <f t="shared" si="0"/>
        <v>4.7537766707173024E-4</v>
      </c>
      <c r="E7" s="27">
        <f t="shared" si="1"/>
        <v>0.19994718025921426</v>
      </c>
      <c r="F7" s="27">
        <f t="shared" si="2"/>
        <v>0.79957744207371406</v>
      </c>
      <c r="G7" s="27">
        <f t="shared" ref="G7:G38" si="4">G6*F6</f>
        <v>0.79958677079475127</v>
      </c>
    </row>
    <row r="8" spans="1:7" x14ac:dyDescent="0.3">
      <c r="A8" s="5">
        <f t="shared" si="3"/>
        <v>20</v>
      </c>
      <c r="B8" s="27">
        <f>1-EXP(-(Assumptions!$B$12+Assumptions!$B$13*Assumptions!$B$14^A8*(Assumptions!$B$14-1)/LN(Assumptions!$B$14)))</f>
        <v>5.4102424214974576E-4</v>
      </c>
      <c r="C8" s="27">
        <f>VLOOKUP(A8,Assumptions!$A$19:$C$27,3,TRUE())</f>
        <v>0.2</v>
      </c>
      <c r="D8" s="27">
        <f t="shared" si="0"/>
        <v>4.8692181793477121E-4</v>
      </c>
      <c r="E8" s="27">
        <f t="shared" si="1"/>
        <v>0.19994589757578504</v>
      </c>
      <c r="F8" s="27">
        <f t="shared" si="2"/>
        <v>0.79956718060628018</v>
      </c>
      <c r="G8" s="27">
        <f t="shared" si="4"/>
        <v>0.63933154490804833</v>
      </c>
    </row>
    <row r="9" spans="1:7" x14ac:dyDescent="0.3">
      <c r="A9" s="5">
        <f t="shared" si="3"/>
        <v>21</v>
      </c>
      <c r="B9" s="27">
        <f>1-EXP(-(Assumptions!$B$12+Assumptions!$B$13*Assumptions!$B$14^A9*(Assumptions!$B$14-1)/LN(Assumptions!$B$14)))</f>
        <v>5.5513356974135064E-4</v>
      </c>
      <c r="C9" s="27">
        <f>VLOOKUP(A9,Assumptions!$A$19:$C$27,3,TRUE())</f>
        <v>0.2</v>
      </c>
      <c r="D9" s="27">
        <f t="shared" si="0"/>
        <v>4.9962021276721562E-4</v>
      </c>
      <c r="E9" s="27">
        <f t="shared" si="1"/>
        <v>0.19994448664302589</v>
      </c>
      <c r="F9" s="27">
        <f t="shared" si="2"/>
        <v>0.79955589314420694</v>
      </c>
      <c r="G9" s="27">
        <f t="shared" si="4"/>
        <v>0.51118852083478561</v>
      </c>
    </row>
    <row r="10" spans="1:7" x14ac:dyDescent="0.3">
      <c r="A10" s="5">
        <f t="shared" si="3"/>
        <v>22</v>
      </c>
      <c r="B10" s="27">
        <f>1-EXP(-(Assumptions!$B$12+Assumptions!$B$13*Assumptions!$B$14^A10*(Assumptions!$B$14-1)/LN(Assumptions!$B$14)))</f>
        <v>5.7065360003838439E-4</v>
      </c>
      <c r="C10" s="27">
        <f>VLOOKUP(A10,Assumptions!$A$19:$C$27,3,TRUE())</f>
        <v>0.2</v>
      </c>
      <c r="D10" s="27">
        <f t="shared" si="0"/>
        <v>5.1358824003454599E-4</v>
      </c>
      <c r="E10" s="27">
        <f t="shared" si="1"/>
        <v>0.19994293463999618</v>
      </c>
      <c r="F10" s="27">
        <f t="shared" si="2"/>
        <v>0.7995434771199692</v>
      </c>
      <c r="G10" s="27">
        <f t="shared" si="4"/>
        <v>0.40872379434112305</v>
      </c>
    </row>
    <row r="11" spans="1:7" x14ac:dyDescent="0.3">
      <c r="A11" s="5">
        <f t="shared" si="3"/>
        <v>23</v>
      </c>
      <c r="B11" s="27">
        <f>1-EXP(-(Assumptions!$B$12+Assumptions!$B$13*Assumptions!$B$14^A11*(Assumptions!$B$14-1)/LN(Assumptions!$B$14)))</f>
        <v>5.8772535500439815E-4</v>
      </c>
      <c r="C11" s="27">
        <f>VLOOKUP(A11,Assumptions!$A$19:$C$27,3,TRUE())</f>
        <v>0.2</v>
      </c>
      <c r="D11" s="27">
        <f t="shared" si="0"/>
        <v>5.2895281950395836E-4</v>
      </c>
      <c r="E11" s="27">
        <f t="shared" si="1"/>
        <v>0.19994122746449958</v>
      </c>
      <c r="F11" s="27">
        <f t="shared" si="2"/>
        <v>0.79952981971599646</v>
      </c>
      <c r="G11" s="27">
        <f t="shared" si="4"/>
        <v>0.32679244370916871</v>
      </c>
    </row>
    <row r="12" spans="1:7" x14ac:dyDescent="0.3">
      <c r="A12" s="5">
        <f t="shared" si="3"/>
        <v>24</v>
      </c>
      <c r="B12" s="27">
        <f>1-EXP(-(Assumptions!$B$12+Assumptions!$B$13*Assumptions!$B$14^A12*(Assumptions!$B$14-1)/LN(Assumptions!$B$14)))</f>
        <v>6.0650394865613411E-4</v>
      </c>
      <c r="C12" s="27">
        <f>VLOOKUP(A12,Assumptions!$A$19:$C$27,3,TRUE())</f>
        <v>0.2</v>
      </c>
      <c r="D12" s="27">
        <f t="shared" si="0"/>
        <v>5.4585355379052072E-4</v>
      </c>
      <c r="E12" s="27">
        <f t="shared" si="1"/>
        <v>0.1999393496051344</v>
      </c>
      <c r="F12" s="27">
        <f t="shared" si="2"/>
        <v>0.79951479684107507</v>
      </c>
      <c r="G12" s="27">
        <f t="shared" si="4"/>
        <v>0.26128030360334159</v>
      </c>
    </row>
    <row r="13" spans="1:7" x14ac:dyDescent="0.3">
      <c r="A13" s="5">
        <f t="shared" si="3"/>
        <v>25</v>
      </c>
      <c r="B13" s="27">
        <f>1-EXP(-(Assumptions!$B$12+Assumptions!$B$13*Assumptions!$B$14^A13*(Assumptions!$B$14-1)/LN(Assumptions!$B$14)))</f>
        <v>6.2715999413975876E-4</v>
      </c>
      <c r="C13" s="27">
        <f>VLOOKUP(A13,Assumptions!$A$19:$C$27,3,TRUE())</f>
        <v>0.15</v>
      </c>
      <c r="D13" s="27">
        <f t="shared" si="0"/>
        <v>5.8012299457927687E-4</v>
      </c>
      <c r="E13" s="27">
        <f t="shared" si="1"/>
        <v>0.1499529630004395</v>
      </c>
      <c r="F13" s="27">
        <f t="shared" si="2"/>
        <v>0.8494669140049812</v>
      </c>
      <c r="G13" s="27">
        <f t="shared" si="4"/>
        <v>0.20889746885400007</v>
      </c>
    </row>
    <row r="14" spans="1:7" x14ac:dyDescent="0.3">
      <c r="A14" s="5">
        <f t="shared" si="3"/>
        <v>26</v>
      </c>
      <c r="B14" s="27">
        <f>1-EXP(-(Assumptions!$B$12+Assumptions!$B$13*Assumptions!$B$14^A14*(Assumptions!$B$14-1)/LN(Assumptions!$B$14)))</f>
        <v>6.4988115106656696E-4</v>
      </c>
      <c r="C14" s="27">
        <f>VLOOKUP(A14,Assumptions!$A$19:$C$27,3,TRUE())</f>
        <v>0.15</v>
      </c>
      <c r="D14" s="27">
        <f t="shared" si="0"/>
        <v>6.0114006473657451E-4</v>
      </c>
      <c r="E14" s="27">
        <f t="shared" si="1"/>
        <v>0.14995125891367</v>
      </c>
      <c r="F14" s="27">
        <f t="shared" si="2"/>
        <v>0.84944760102159345</v>
      </c>
      <c r="G14" s="27">
        <f t="shared" si="4"/>
        <v>0.17745148821085913</v>
      </c>
    </row>
    <row r="15" spans="1:7" x14ac:dyDescent="0.3">
      <c r="A15" s="5">
        <f t="shared" si="3"/>
        <v>27</v>
      </c>
      <c r="B15" s="27">
        <f>1-EXP(-(Assumptions!$B$12+Assumptions!$B$13*Assumptions!$B$14^A15*(Assumptions!$B$14-1)/LN(Assumptions!$B$14)))</f>
        <v>6.7487382704234378E-4</v>
      </c>
      <c r="C15" s="27">
        <f>VLOOKUP(A15,Assumptions!$A$19:$C$27,3,TRUE())</f>
        <v>0.15</v>
      </c>
      <c r="D15" s="27">
        <f t="shared" si="0"/>
        <v>6.2425829001416799E-4</v>
      </c>
      <c r="E15" s="27">
        <f t="shared" si="1"/>
        <v>0.14994938446297182</v>
      </c>
      <c r="F15" s="27">
        <f t="shared" si="2"/>
        <v>0.84942635724701399</v>
      </c>
      <c r="G15" s="27">
        <f t="shared" si="4"/>
        <v>0.15073574095842585</v>
      </c>
    </row>
    <row r="16" spans="1:7" x14ac:dyDescent="0.3">
      <c r="A16" s="5">
        <f t="shared" si="3"/>
        <v>28</v>
      </c>
      <c r="B16" s="27">
        <f>1-EXP(-(Assumptions!$B$12+Assumptions!$B$13*Assumptions!$B$14^A16*(Assumptions!$B$14-1)/LN(Assumptions!$B$14)))</f>
        <v>7.023650486951416E-4</v>
      </c>
      <c r="C16" s="27">
        <f>VLOOKUP(A16,Assumptions!$A$19:$C$27,3,TRUE())</f>
        <v>0.15</v>
      </c>
      <c r="D16" s="27">
        <f t="shared" si="0"/>
        <v>6.4968767004300603E-4</v>
      </c>
      <c r="E16" s="27">
        <f t="shared" si="1"/>
        <v>0.14994732262134786</v>
      </c>
      <c r="F16" s="27">
        <f t="shared" si="2"/>
        <v>0.84940298970860906</v>
      </c>
      <c r="G16" s="27">
        <f t="shared" si="4"/>
        <v>0.12803891134924519</v>
      </c>
    </row>
    <row r="17" spans="1:7" x14ac:dyDescent="0.3">
      <c r="A17" s="5">
        <f t="shared" si="3"/>
        <v>29</v>
      </c>
      <c r="B17" s="27">
        <f>1-EXP(-(Assumptions!$B$12+Assumptions!$B$13*Assumptions!$B$14^A17*(Assumptions!$B$14-1)/LN(Assumptions!$B$14)))</f>
        <v>7.3260451901335788E-4</v>
      </c>
      <c r="C17" s="27">
        <f>VLOOKUP(A17,Assumptions!$A$19:$C$27,3,TRUE())</f>
        <v>0.15</v>
      </c>
      <c r="D17" s="27">
        <f t="shared" si="0"/>
        <v>6.776591800873561E-4</v>
      </c>
      <c r="E17" s="27">
        <f t="shared" si="1"/>
        <v>0.149945054661074</v>
      </c>
      <c r="F17" s="27">
        <f t="shared" si="2"/>
        <v>0.84937728615883867</v>
      </c>
      <c r="G17" s="27">
        <f t="shared" si="4"/>
        <v>0.10875663409908443</v>
      </c>
    </row>
    <row r="18" spans="1:7" x14ac:dyDescent="0.3">
      <c r="A18" s="5">
        <f t="shared" si="3"/>
        <v>30</v>
      </c>
      <c r="B18" s="27">
        <f>1-EXP(-(Assumptions!$B$12+Assumptions!$B$13*Assumptions!$B$14^A18*(Assumptions!$B$14-1)/LN(Assumptions!$B$14)))</f>
        <v>7.6586687946056387E-4</v>
      </c>
      <c r="C18" s="27">
        <f>VLOOKUP(A18,Assumptions!$A$19:$C$27,3,TRUE())</f>
        <v>0.11</v>
      </c>
      <c r="D18" s="27">
        <f t="shared" si="0"/>
        <v>7.237442010902328E-4</v>
      </c>
      <c r="E18" s="27">
        <f t="shared" si="1"/>
        <v>0.10995787732162966</v>
      </c>
      <c r="F18" s="27">
        <f t="shared" si="2"/>
        <v>0.88931837847728012</v>
      </c>
      <c r="G18" s="27">
        <f t="shared" si="4"/>
        <v>9.2375414722850144E-2</v>
      </c>
    </row>
    <row r="19" spans="1:7" x14ac:dyDescent="0.3">
      <c r="A19" s="5">
        <f t="shared" si="3"/>
        <v>31</v>
      </c>
      <c r="B19" s="27">
        <f>1-EXP(-(Assumptions!$B$12+Assumptions!$B$13*Assumptions!$B$14^A19*(Assumptions!$B$14-1)/LN(Assumptions!$B$14)))</f>
        <v>8.0245419714275457E-4</v>
      </c>
      <c r="C19" s="27">
        <f>VLOOKUP(A19,Assumptions!$A$19:$C$27,3,TRUE())</f>
        <v>0.11</v>
      </c>
      <c r="D19" s="27">
        <f t="shared" si="0"/>
        <v>7.5831921629990304E-4</v>
      </c>
      <c r="E19" s="27">
        <f t="shared" si="1"/>
        <v>0.10995586501915715</v>
      </c>
      <c r="F19" s="27">
        <f t="shared" si="2"/>
        <v>0.88928581576454302</v>
      </c>
      <c r="G19" s="27">
        <f t="shared" si="4"/>
        <v>8.2151154032491361E-2</v>
      </c>
    </row>
    <row r="20" spans="1:7" x14ac:dyDescent="0.3">
      <c r="A20" s="5">
        <f t="shared" si="3"/>
        <v>32</v>
      </c>
      <c r="B20" s="27">
        <f>1-EXP(-(Assumptions!$B$12+Assumptions!$B$13*Assumptions!$B$14^A20*(Assumptions!$B$14-1)/LN(Assumptions!$B$14)))</f>
        <v>8.4269869929043395E-4</v>
      </c>
      <c r="C20" s="27">
        <f>VLOOKUP(A20,Assumptions!$A$19:$C$27,3,TRUE())</f>
        <v>0.11</v>
      </c>
      <c r="D20" s="27">
        <f t="shared" si="0"/>
        <v>7.9635027082946002E-4</v>
      </c>
      <c r="E20" s="27">
        <f t="shared" si="1"/>
        <v>0.10995365157153902</v>
      </c>
      <c r="F20" s="27">
        <f t="shared" si="2"/>
        <v>0.8892499981576315</v>
      </c>
      <c r="G20" s="27">
        <f t="shared" si="4"/>
        <v>7.3055856029782706E-2</v>
      </c>
    </row>
    <row r="21" spans="1:7" x14ac:dyDescent="0.3">
      <c r="A21" s="5">
        <f t="shared" si="3"/>
        <v>33</v>
      </c>
      <c r="B21" s="27">
        <f>1-EXP(-(Assumptions!$B$12+Assumptions!$B$13*Assumptions!$B$14^A21*(Assumptions!$B$14-1)/LN(Assumptions!$B$14)))</f>
        <v>8.8696577949187727E-4</v>
      </c>
      <c r="C21" s="27">
        <f>VLOOKUP(A21,Assumptions!$A$19:$C$27,3,TRUE())</f>
        <v>0.11</v>
      </c>
      <c r="D21" s="27">
        <f t="shared" si="0"/>
        <v>8.3818266161982396E-4</v>
      </c>
      <c r="E21" s="27">
        <f t="shared" si="1"/>
        <v>0.10995121688212794</v>
      </c>
      <c r="F21" s="27">
        <f t="shared" si="2"/>
        <v>0.88921060045625222</v>
      </c>
      <c r="G21" s="27">
        <f t="shared" si="4"/>
        <v>6.496491983988846E-2</v>
      </c>
    </row>
    <row r="22" spans="1:7" x14ac:dyDescent="0.3">
      <c r="A22" s="5">
        <f t="shared" si="3"/>
        <v>34</v>
      </c>
      <c r="B22" s="27">
        <f>1-EXP(-(Assumptions!$B$12+Assumptions!$B$13*Assumptions!$B$14^A22*(Assumptions!$B$14-1)/LN(Assumptions!$B$14)))</f>
        <v>9.3565730249955958E-4</v>
      </c>
      <c r="C22" s="27">
        <f>VLOOKUP(A22,Assumptions!$A$19:$C$27,3,TRUE())</f>
        <v>0.11</v>
      </c>
      <c r="D22" s="27">
        <f t="shared" si="0"/>
        <v>8.8419615086208375E-4</v>
      </c>
      <c r="E22" s="27">
        <f t="shared" si="1"/>
        <v>0.10994853884836252</v>
      </c>
      <c r="F22" s="27">
        <f t="shared" si="2"/>
        <v>0.88916726500077536</v>
      </c>
      <c r="G22" s="27">
        <f t="shared" si="4"/>
        <v>5.7767495379419512E-2</v>
      </c>
    </row>
    <row r="23" spans="1:7" x14ac:dyDescent="0.3">
      <c r="A23" s="5">
        <f t="shared" si="3"/>
        <v>35</v>
      </c>
      <c r="B23" s="27">
        <f>1-EXP(-(Assumptions!$B$12+Assumptions!$B$13*Assumptions!$B$14^A23*(Assumptions!$B$14-1)/LN(Assumptions!$B$14)))</f>
        <v>9.8921523703299208E-4</v>
      </c>
      <c r="C23" s="27">
        <f>VLOOKUP(A23,Assumptions!$A$19:$C$27,3,TRUE())</f>
        <v>0.08</v>
      </c>
      <c r="D23" s="27">
        <f t="shared" si="0"/>
        <v>9.4964662755167237E-4</v>
      </c>
      <c r="E23" s="27">
        <f t="shared" si="1"/>
        <v>7.9960431390518685E-2</v>
      </c>
      <c r="F23" s="27">
        <f t="shared" si="2"/>
        <v>0.91908992198192963</v>
      </c>
      <c r="G23" s="27">
        <f t="shared" si="4"/>
        <v>5.1364965872463378E-2</v>
      </c>
    </row>
    <row r="24" spans="1:7" x14ac:dyDescent="0.3">
      <c r="A24" s="5">
        <f t="shared" si="3"/>
        <v>36</v>
      </c>
      <c r="B24" s="27">
        <f>1-EXP(-(Assumptions!$B$12+Assumptions!$B$13*Assumptions!$B$14^A24*(Assumptions!$B$14-1)/LN(Assumptions!$B$14)))</f>
        <v>1.0481256488605872E-3</v>
      </c>
      <c r="C24" s="27">
        <f>VLOOKUP(A24,Assumptions!$A$19:$C$27,3,TRUE())</f>
        <v>0.08</v>
      </c>
      <c r="D24" s="27">
        <f t="shared" si="0"/>
        <v>1.0062006229061638E-3</v>
      </c>
      <c r="E24" s="27">
        <f t="shared" si="1"/>
        <v>7.9958074974045584E-2</v>
      </c>
      <c r="F24" s="27">
        <f t="shared" si="2"/>
        <v>0.91903572440304826</v>
      </c>
      <c r="G24" s="27">
        <f t="shared" si="4"/>
        <v>4.7209022476326842E-2</v>
      </c>
    </row>
    <row r="25" spans="1:7" x14ac:dyDescent="0.3">
      <c r="A25" s="5">
        <f t="shared" si="3"/>
        <v>37</v>
      </c>
      <c r="B25" s="27">
        <f>1-EXP(-(Assumptions!$B$12+Assumptions!$B$13*Assumptions!$B$14^A25*(Assumptions!$B$14-1)/LN(Assumptions!$B$14)))</f>
        <v>1.112923089555351E-3</v>
      </c>
      <c r="C25" s="27">
        <f>VLOOKUP(A25,Assumptions!$A$19:$C$27,3,TRUE())</f>
        <v>0.08</v>
      </c>
      <c r="D25" s="27">
        <f t="shared" si="0"/>
        <v>1.068406165973137E-3</v>
      </c>
      <c r="E25" s="27">
        <f t="shared" si="1"/>
        <v>7.9955483076417783E-2</v>
      </c>
      <c r="F25" s="27">
        <f t="shared" si="2"/>
        <v>0.9189761107576091</v>
      </c>
      <c r="G25" s="27">
        <f t="shared" si="4"/>
        <v>4.3386778169890824E-2</v>
      </c>
    </row>
    <row r="26" spans="1:7" x14ac:dyDescent="0.3">
      <c r="A26" s="5">
        <f t="shared" si="3"/>
        <v>38</v>
      </c>
      <c r="B26" s="27">
        <f>1-EXP(-(Assumptions!$B$12+Assumptions!$B$13*Assumptions!$B$14^A26*(Assumptions!$B$14-1)/LN(Assumptions!$B$14)))</f>
        <v>1.1841954197338023E-3</v>
      </c>
      <c r="C26" s="27">
        <f>VLOOKUP(A26,Assumptions!$A$19:$C$27,3,TRUE())</f>
        <v>0.08</v>
      </c>
      <c r="D26" s="27">
        <f t="shared" si="0"/>
        <v>1.1368276029444502E-3</v>
      </c>
      <c r="E26" s="27">
        <f t="shared" si="1"/>
        <v>7.9952632183210651E-2</v>
      </c>
      <c r="F26" s="27">
        <f t="shared" si="2"/>
        <v>0.91891054021384488</v>
      </c>
      <c r="G26" s="27">
        <f t="shared" si="4"/>
        <v>3.987141266086941E-2</v>
      </c>
    </row>
    <row r="27" spans="1:7" x14ac:dyDescent="0.3">
      <c r="A27" s="5">
        <f t="shared" si="3"/>
        <v>39</v>
      </c>
      <c r="B27" s="27">
        <f>1-EXP(-(Assumptions!$B$12+Assumptions!$B$13*Assumptions!$B$14^A27*(Assumptions!$B$14-1)/LN(Assumptions!$B$14)))</f>
        <v>1.2625891093015484E-3</v>
      </c>
      <c r="C27" s="27">
        <f>VLOOKUP(A27,Assumptions!$A$19:$C$27,3,TRUE())</f>
        <v>0.08</v>
      </c>
      <c r="D27" s="27">
        <f t="shared" si="0"/>
        <v>1.2120855449294864E-3</v>
      </c>
      <c r="E27" s="27">
        <f t="shared" si="1"/>
        <v>7.9949496435627945E-2</v>
      </c>
      <c r="F27" s="27">
        <f t="shared" si="2"/>
        <v>0.91883841801944255</v>
      </c>
      <c r="G27" s="27">
        <f t="shared" si="4"/>
        <v>3.6638261347288641E-2</v>
      </c>
    </row>
    <row r="28" spans="1:7" x14ac:dyDescent="0.3">
      <c r="A28" s="5">
        <f t="shared" si="3"/>
        <v>40</v>
      </c>
      <c r="B28" s="27">
        <f>1-EXP(-(Assumptions!$B$12+Assumptions!$B$13*Assumptions!$B$14^A28*(Assumptions!$B$14-1)/LN(Assumptions!$B$14)))</f>
        <v>1.3488150612952499E-3</v>
      </c>
      <c r="C28" s="27">
        <f>VLOOKUP(A28,Assumptions!$A$19:$C$27,3,TRUE())</f>
        <v>0.05</v>
      </c>
      <c r="D28" s="27">
        <f t="shared" si="0"/>
        <v>1.3150946847628685E-3</v>
      </c>
      <c r="E28" s="27">
        <f t="shared" si="1"/>
        <v>4.996627962346762E-2</v>
      </c>
      <c r="F28" s="27">
        <f t="shared" si="2"/>
        <v>0.94871862569176946</v>
      </c>
      <c r="G28" s="27">
        <f t="shared" si="4"/>
        <v>3.3664642095325582E-2</v>
      </c>
    </row>
    <row r="29" spans="1:7" x14ac:dyDescent="0.3">
      <c r="A29" s="5">
        <f t="shared" si="3"/>
        <v>41</v>
      </c>
      <c r="B29" s="27">
        <f>1-EXP(-(Assumptions!$B$12+Assumptions!$B$13*Assumptions!$B$14^A29*(Assumptions!$B$14-1)/LN(Assumptions!$B$14)))</f>
        <v>1.4436550103303913E-3</v>
      </c>
      <c r="C29" s="27">
        <f>VLOOKUP(A29,Assumptions!$A$19:$C$27,3,TRUE())</f>
        <v>0.05</v>
      </c>
      <c r="D29" s="27">
        <f t="shared" si="0"/>
        <v>1.4075636350721315E-3</v>
      </c>
      <c r="E29" s="27">
        <f t="shared" si="1"/>
        <v>4.9963908624741739E-2</v>
      </c>
      <c r="F29" s="27">
        <f t="shared" si="2"/>
        <v>0.94862852774018613</v>
      </c>
      <c r="G29" s="27">
        <f t="shared" si="4"/>
        <v>3.1938272983082577E-2</v>
      </c>
    </row>
    <row r="30" spans="1:7" x14ac:dyDescent="0.3">
      <c r="A30" s="5">
        <f t="shared" si="3"/>
        <v>42</v>
      </c>
      <c r="B30" s="27">
        <f>1-EXP(-(Assumptions!$B$12+Assumptions!$B$13*Assumptions!$B$14^A30*(Assumptions!$B$14-1)/LN(Assumptions!$B$14)))</f>
        <v>1.5479685514891983E-3</v>
      </c>
      <c r="C30" s="27">
        <f>VLOOKUP(A30,Assumptions!$A$19:$C$27,3,TRUE())</f>
        <v>0.05</v>
      </c>
      <c r="D30" s="27">
        <f t="shared" si="0"/>
        <v>1.5092693377019683E-3</v>
      </c>
      <c r="E30" s="27">
        <f t="shared" si="1"/>
        <v>4.9961300786212776E-2</v>
      </c>
      <c r="F30" s="27">
        <f t="shared" si="2"/>
        <v>0.94852942987608524</v>
      </c>
      <c r="G30" s="27">
        <f t="shared" si="4"/>
        <v>3.0297556878505789E-2</v>
      </c>
    </row>
    <row r="31" spans="1:7" x14ac:dyDescent="0.3">
      <c r="A31" s="5">
        <f t="shared" si="3"/>
        <v>43</v>
      </c>
      <c r="B31" s="27">
        <f>1-EXP(-(Assumptions!$B$12+Assumptions!$B$13*Assumptions!$B$14^A31*(Assumptions!$B$14-1)/LN(Assumptions!$B$14)))</f>
        <v>1.6627008607190685E-3</v>
      </c>
      <c r="C31" s="27">
        <f>VLOOKUP(A31,Assumptions!$A$19:$C$27,3,TRUE())</f>
        <v>0.05</v>
      </c>
      <c r="D31" s="27">
        <f t="shared" si="0"/>
        <v>1.6211333392010918E-3</v>
      </c>
      <c r="E31" s="27">
        <f t="shared" si="1"/>
        <v>4.9958432478482029E-2</v>
      </c>
      <c r="F31" s="27">
        <f t="shared" si="2"/>
        <v>0.94842043418231681</v>
      </c>
      <c r="G31" s="27">
        <f t="shared" si="4"/>
        <v>2.873812435260736E-2</v>
      </c>
    </row>
    <row r="32" spans="1:7" x14ac:dyDescent="0.3">
      <c r="A32" s="5">
        <f t="shared" si="3"/>
        <v>44</v>
      </c>
      <c r="B32" s="27">
        <f>1-EXP(-(Assumptions!$B$12+Assumptions!$B$13*Assumptions!$B$14^A32*(Assumptions!$B$14-1)/LN(Assumptions!$B$14)))</f>
        <v>1.7888911735128854E-3</v>
      </c>
      <c r="C32" s="27">
        <f>VLOOKUP(A32,Assumptions!$A$19:$C$27,3,TRUE())</f>
        <v>0.05</v>
      </c>
      <c r="D32" s="27">
        <f t="shared" si="0"/>
        <v>1.7441688941750631E-3</v>
      </c>
      <c r="E32" s="27">
        <f t="shared" si="1"/>
        <v>4.9955277720662182E-2</v>
      </c>
      <c r="F32" s="27">
        <f t="shared" si="2"/>
        <v>0.94830055338516273</v>
      </c>
      <c r="G32" s="27">
        <f t="shared" si="4"/>
        <v>2.7255824376085286E-2</v>
      </c>
    </row>
    <row r="33" spans="1:7" x14ac:dyDescent="0.3">
      <c r="A33" s="5">
        <f t="shared" si="3"/>
        <v>45</v>
      </c>
      <c r="B33" s="27">
        <f>1-EXP(-(Assumptions!$B$12+Assumptions!$B$13*Assumptions!$B$14^A33*(Assumptions!$B$14-1)/LN(Assumptions!$B$14)))</f>
        <v>1.9276820948178619E-3</v>
      </c>
      <c r="C33" s="27">
        <f>VLOOKUP(A33,Assumptions!$A$19:$C$27,3,TRUE())</f>
        <v>0.03</v>
      </c>
      <c r="D33" s="27">
        <f t="shared" si="0"/>
        <v>1.898766863395594E-3</v>
      </c>
      <c r="E33" s="27">
        <f t="shared" si="1"/>
        <v>2.9971084768577731E-2</v>
      </c>
      <c r="F33" s="27">
        <f t="shared" si="2"/>
        <v>0.96813014836802669</v>
      </c>
      <c r="G33" s="27">
        <f t="shared" si="4"/>
        <v>2.5846713338810483E-2</v>
      </c>
    </row>
    <row r="34" spans="1:7" x14ac:dyDescent="0.3">
      <c r="A34" s="5">
        <f t="shared" si="3"/>
        <v>46</v>
      </c>
      <c r="B34" s="27">
        <f>1-EXP(-(Assumptions!$B$12+Assumptions!$B$13*Assumptions!$B$14^A34*(Assumptions!$B$14-1)/LN(Assumptions!$B$14)))</f>
        <v>2.080329819812321E-3</v>
      </c>
      <c r="C34" s="27">
        <f>VLOOKUP(A34,Assumptions!$A$19:$C$27,3,TRUE())</f>
        <v>0.03</v>
      </c>
      <c r="D34" s="27">
        <f t="shared" si="0"/>
        <v>2.0491248725151364E-3</v>
      </c>
      <c r="E34" s="27">
        <f t="shared" si="1"/>
        <v>2.9968795052702817E-2</v>
      </c>
      <c r="F34" s="27">
        <f t="shared" si="2"/>
        <v>0.96798208007478204</v>
      </c>
      <c r="G34" s="27">
        <f t="shared" si="4"/>
        <v>2.5022982419528449E-2</v>
      </c>
    </row>
    <row r="35" spans="1:7" x14ac:dyDescent="0.3">
      <c r="A35" s="5">
        <f t="shared" si="3"/>
        <v>47</v>
      </c>
      <c r="B35" s="27">
        <f>1-EXP(-(Assumptions!$B$12+Assumptions!$B$13*Assumptions!$B$14^A35*(Assumptions!$B$14-1)/LN(Assumptions!$B$14)))</f>
        <v>2.2482153524300275E-3</v>
      </c>
      <c r="C35" s="27">
        <f>VLOOKUP(A35,Assumptions!$A$19:$C$27,3,TRUE())</f>
        <v>0.03</v>
      </c>
      <c r="D35" s="27">
        <f t="shared" si="0"/>
        <v>2.2144921221435771E-3</v>
      </c>
      <c r="E35" s="27">
        <f t="shared" si="1"/>
        <v>2.996627676971355E-2</v>
      </c>
      <c r="F35" s="27">
        <f t="shared" si="2"/>
        <v>0.96781923110814294</v>
      </c>
      <c r="G35" s="27">
        <f t="shared" si="4"/>
        <v>2.422179857212985E-2</v>
      </c>
    </row>
    <row r="36" spans="1:7" x14ac:dyDescent="0.3">
      <c r="A36" s="5">
        <f t="shared" si="3"/>
        <v>48</v>
      </c>
      <c r="B36" s="27">
        <f>1-EXP(-(Assumptions!$B$12+Assumptions!$B$13*Assumptions!$B$14^A36*(Assumptions!$B$14-1)/LN(Assumptions!$B$14)))</f>
        <v>2.4328568163148878E-3</v>
      </c>
      <c r="C36" s="27">
        <f>VLOOKUP(A36,Assumptions!$A$19:$C$27,3,TRUE())</f>
        <v>0.03</v>
      </c>
      <c r="D36" s="27">
        <f t="shared" si="0"/>
        <v>2.3963639640701643E-3</v>
      </c>
      <c r="E36" s="27">
        <f t="shared" si="1"/>
        <v>2.9963507147755274E-2</v>
      </c>
      <c r="F36" s="27">
        <f t="shared" si="2"/>
        <v>0.96764012888817452</v>
      </c>
      <c r="G36" s="27">
        <f t="shared" si="4"/>
        <v>2.3442322470135026E-2</v>
      </c>
    </row>
    <row r="37" spans="1:7" x14ac:dyDescent="0.3">
      <c r="A37" s="5">
        <f t="shared" si="3"/>
        <v>49</v>
      </c>
      <c r="B37" s="27">
        <f>1-EXP(-(Assumptions!$B$12+Assumptions!$B$13*Assumptions!$B$14^A37*(Assumptions!$B$14-1)/LN(Assumptions!$B$14)))</f>
        <v>2.6359229613016621E-3</v>
      </c>
      <c r="C37" s="27">
        <f>VLOOKUP(A37,Assumptions!$A$19:$C$27,3,TRUE())</f>
        <v>0.03</v>
      </c>
      <c r="D37" s="27">
        <f t="shared" si="0"/>
        <v>2.596384116882137E-3</v>
      </c>
      <c r="E37" s="27">
        <f t="shared" si="1"/>
        <v>2.9960461155580473E-2</v>
      </c>
      <c r="F37" s="27">
        <f t="shared" si="2"/>
        <v>0.96744315472753739</v>
      </c>
      <c r="G37" s="27">
        <f t="shared" si="4"/>
        <v>2.2683731936439605E-2</v>
      </c>
    </row>
    <row r="38" spans="1:7" x14ac:dyDescent="0.3">
      <c r="A38" s="5">
        <f t="shared" si="3"/>
        <v>50</v>
      </c>
      <c r="B38" s="27">
        <f>1-EXP(-(Assumptions!$B$12+Assumptions!$B$13*Assumptions!$B$14^A38*(Assumptions!$B$14-1)/LN(Assumptions!$B$14)))</f>
        <v>2.8592479775404467E-3</v>
      </c>
      <c r="C38" s="27">
        <f>VLOOKUP(A38,Assumptions!$A$19:$C$27,3,TRUE())</f>
        <v>0.02</v>
      </c>
      <c r="D38" s="27">
        <f t="shared" ref="D38:D69" si="5">B38*(1-C38/2)</f>
        <v>2.8306554977650424E-3</v>
      </c>
      <c r="E38" s="27">
        <f t="shared" ref="E38:E58" si="6">C38*(1-B38/2)</f>
        <v>1.9971407520224596E-2</v>
      </c>
      <c r="F38" s="27">
        <f t="shared" ref="F38:F69" si="7">1-D38-E38</f>
        <v>0.9771979369820103</v>
      </c>
      <c r="G38" s="27">
        <f t="shared" si="4"/>
        <v>2.1945221185582921E-2</v>
      </c>
    </row>
    <row r="39" spans="1:7" x14ac:dyDescent="0.3">
      <c r="A39" s="5">
        <f t="shared" ref="A39:A58" si="8">A38+1</f>
        <v>51</v>
      </c>
      <c r="B39" s="27">
        <f>1-EXP(-(Assumptions!$B$12+Assumptions!$B$13*Assumptions!$B$14^A39*(Assumptions!$B$14-1)/LN(Assumptions!$B$14)))</f>
        <v>3.1048477390490659E-3</v>
      </c>
      <c r="C39" s="27">
        <f>VLOOKUP(A39,Assumptions!$A$19:$C$27,3,TRUE())</f>
        <v>0.02</v>
      </c>
      <c r="D39" s="27">
        <f t="shared" si="5"/>
        <v>3.0737992616585753E-3</v>
      </c>
      <c r="E39" s="27">
        <f t="shared" si="6"/>
        <v>1.996895152260951E-2</v>
      </c>
      <c r="F39" s="27">
        <f t="shared" si="7"/>
        <v>0.9769572492157319</v>
      </c>
      <c r="G39" s="27">
        <f t="shared" ref="G39:G58" si="9">G38*F38</f>
        <v>2.1444824869165536E-2</v>
      </c>
    </row>
    <row r="40" spans="1:7" x14ac:dyDescent="0.3">
      <c r="A40" s="5">
        <f t="shared" si="8"/>
        <v>52</v>
      </c>
      <c r="B40" s="27">
        <f>1-EXP(-(Assumptions!$B$12+Assumptions!$B$13*Assumptions!$B$14^A40*(Assumptions!$B$14-1)/LN(Assumptions!$B$14)))</f>
        <v>3.3749376087853777E-3</v>
      </c>
      <c r="C40" s="27">
        <f>VLOOKUP(A40,Assumptions!$A$19:$C$27,3,TRUE())</f>
        <v>0.02</v>
      </c>
      <c r="D40" s="27">
        <f t="shared" si="5"/>
        <v>3.3411882326975237E-3</v>
      </c>
      <c r="E40" s="27">
        <f t="shared" si="6"/>
        <v>1.9966250623912149E-2</v>
      </c>
      <c r="F40" s="27">
        <f t="shared" si="7"/>
        <v>0.97669256114339031</v>
      </c>
      <c r="G40" s="27">
        <f t="shared" si="9"/>
        <v>2.095067711409308E-2</v>
      </c>
    </row>
    <row r="41" spans="1:7" x14ac:dyDescent="0.3">
      <c r="A41" s="5">
        <f t="shared" si="8"/>
        <v>53</v>
      </c>
      <c r="B41" s="27">
        <f>1-EXP(-(Assumptions!$B$12+Assumptions!$B$13*Assumptions!$B$14^A41*(Assumptions!$B$14-1)/LN(Assumptions!$B$14)))</f>
        <v>3.6719519482821816E-3</v>
      </c>
      <c r="C41" s="27">
        <f>VLOOKUP(A41,Assumptions!$A$19:$C$27,3,TRUE())</f>
        <v>0.02</v>
      </c>
      <c r="D41" s="27">
        <f t="shared" si="5"/>
        <v>3.6352324287993597E-3</v>
      </c>
      <c r="E41" s="27">
        <f t="shared" si="6"/>
        <v>1.9963280480517178E-2</v>
      </c>
      <c r="F41" s="27">
        <f t="shared" si="7"/>
        <v>0.97640148709068342</v>
      </c>
      <c r="G41" s="27">
        <f t="shared" si="9"/>
        <v>2.0462370488251783E-2</v>
      </c>
    </row>
    <row r="42" spans="1:7" x14ac:dyDescent="0.3">
      <c r="A42" s="5">
        <f t="shared" si="8"/>
        <v>54</v>
      </c>
      <c r="B42" s="27">
        <f>1-EXP(-(Assumptions!$B$12+Assumptions!$B$13*Assumptions!$B$14^A42*(Assumptions!$B$14-1)/LN(Assumptions!$B$14)))</f>
        <v>3.9985654864700404E-3</v>
      </c>
      <c r="C42" s="27">
        <f>VLOOKUP(A42,Assumptions!$A$19:$C$27,3,TRUE())</f>
        <v>0.02</v>
      </c>
      <c r="D42" s="27">
        <f t="shared" si="5"/>
        <v>3.9585798316053395E-3</v>
      </c>
      <c r="E42" s="27">
        <f t="shared" si="6"/>
        <v>1.99600143451353E-2</v>
      </c>
      <c r="F42" s="27">
        <f t="shared" si="7"/>
        <v>0.97608140582325942</v>
      </c>
      <c r="G42" s="27">
        <f t="shared" si="9"/>
        <v>1.9979488974129555E-2</v>
      </c>
    </row>
    <row r="43" spans="1:7" x14ac:dyDescent="0.3">
      <c r="A43" s="5">
        <f t="shared" si="8"/>
        <v>55</v>
      </c>
      <c r="B43" s="27">
        <f>1-EXP(-(Assumptions!$B$12+Assumptions!$B$13*Assumptions!$B$14^A43*(Assumptions!$B$14-1)/LN(Assumptions!$B$14)))</f>
        <v>4.357716714489146E-3</v>
      </c>
      <c r="C43" s="27">
        <f>VLOOKUP(A43,Assumptions!$A$19:$C$27,3,TRUE())</f>
        <v>0.01</v>
      </c>
      <c r="D43" s="27">
        <f t="shared" si="5"/>
        <v>4.3359281309167004E-3</v>
      </c>
      <c r="E43" s="27">
        <f t="shared" si="6"/>
        <v>9.9782114164275546E-3</v>
      </c>
      <c r="F43" s="27">
        <f t="shared" si="7"/>
        <v>0.98568586045265583</v>
      </c>
      <c r="G43" s="27">
        <f t="shared" si="9"/>
        <v>1.9501607685498686E-2</v>
      </c>
    </row>
    <row r="44" spans="1:7" x14ac:dyDescent="0.3">
      <c r="A44" s="5">
        <f t="shared" si="8"/>
        <v>56</v>
      </c>
      <c r="B44" s="27">
        <f>1-EXP(-(Assumptions!$B$12+Assumptions!$B$13*Assumptions!$B$14^A44*(Assumptions!$B$14-1)/LN(Assumptions!$B$14)))</f>
        <v>4.7526334860050756E-3</v>
      </c>
      <c r="C44" s="27">
        <f>VLOOKUP(A44,Assumptions!$A$19:$C$27,3,TRUE())</f>
        <v>0.01</v>
      </c>
      <c r="D44" s="27">
        <f t="shared" si="5"/>
        <v>4.7288703185750505E-3</v>
      </c>
      <c r="E44" s="27">
        <f t="shared" si="6"/>
        <v>9.9762368325699742E-3</v>
      </c>
      <c r="F44" s="27">
        <f t="shared" si="7"/>
        <v>0.98529489284885496</v>
      </c>
      <c r="G44" s="27">
        <f t="shared" si="9"/>
        <v>1.9222458951690898E-2</v>
      </c>
    </row>
    <row r="45" spans="1:7" x14ac:dyDescent="0.3">
      <c r="A45" s="5">
        <f t="shared" si="8"/>
        <v>57</v>
      </c>
      <c r="B45" s="27">
        <f>1-EXP(-(Assumptions!$B$12+Assumptions!$B$13*Assumptions!$B$14^A45*(Assumptions!$B$14-1)/LN(Assumptions!$B$14)))</f>
        <v>5.1868610157198569E-3</v>
      </c>
      <c r="C45" s="27">
        <f>VLOOKUP(A45,Assumptions!$A$19:$C$27,3,TRUE())</f>
        <v>0.01</v>
      </c>
      <c r="D45" s="27">
        <f t="shared" si="5"/>
        <v>5.1609267106412574E-3</v>
      </c>
      <c r="E45" s="27">
        <f t="shared" si="6"/>
        <v>9.9740656949214006E-3</v>
      </c>
      <c r="F45" s="27">
        <f t="shared" si="7"/>
        <v>0.98486500759443729</v>
      </c>
      <c r="G45" s="27">
        <f t="shared" si="9"/>
        <v>1.8939790633097794E-2</v>
      </c>
    </row>
    <row r="46" spans="1:7" x14ac:dyDescent="0.3">
      <c r="A46" s="5">
        <f t="shared" si="8"/>
        <v>58</v>
      </c>
      <c r="B46" s="27">
        <f>1-EXP(-(Assumptions!$B$12+Assumptions!$B$13*Assumptions!$B$14^A46*(Assumptions!$B$14-1)/LN(Assumptions!$B$14)))</f>
        <v>5.6642924822731811E-3</v>
      </c>
      <c r="C46" s="27">
        <f>VLOOKUP(A46,Assumptions!$A$19:$C$27,3,TRUE())</f>
        <v>0.01</v>
      </c>
      <c r="D46" s="27">
        <f t="shared" si="5"/>
        <v>5.6359710198618154E-3</v>
      </c>
      <c r="E46" s="27">
        <f t="shared" si="6"/>
        <v>9.9716785375886345E-3</v>
      </c>
      <c r="F46" s="27">
        <f t="shared" si="7"/>
        <v>0.98439235044254958</v>
      </c>
      <c r="G46" s="27">
        <f t="shared" si="9"/>
        <v>1.865313704570291E-2</v>
      </c>
    </row>
    <row r="47" spans="1:7" x14ac:dyDescent="0.3">
      <c r="A47" s="5">
        <f t="shared" si="8"/>
        <v>59</v>
      </c>
      <c r="B47" s="27">
        <f>1-EXP(-(Assumptions!$B$12+Assumptions!$B$13*Assumptions!$B$14^A47*(Assumptions!$B$14-1)/LN(Assumptions!$B$14)))</f>
        <v>6.1892024554127678E-3</v>
      </c>
      <c r="C47" s="27">
        <f>VLOOKUP(A47,Assumptions!$A$19:$C$27,3,TRUE())</f>
        <v>0.01</v>
      </c>
      <c r="D47" s="27">
        <f t="shared" si="5"/>
        <v>6.1582564431357043E-3</v>
      </c>
      <c r="E47" s="27">
        <f t="shared" si="6"/>
        <v>9.969053987722935E-3</v>
      </c>
      <c r="F47" s="27">
        <f t="shared" si="7"/>
        <v>0.98387268956914131</v>
      </c>
      <c r="G47" s="27">
        <f t="shared" si="9"/>
        <v>1.8362005419546485E-2</v>
      </c>
    </row>
    <row r="48" spans="1:7" x14ac:dyDescent="0.3">
      <c r="A48" s="5">
        <f t="shared" si="8"/>
        <v>60</v>
      </c>
      <c r="B48" s="27">
        <f>1-EXP(-(Assumptions!$B$12+Assumptions!$B$13*Assumptions!$B$14^A48*(Assumptions!$B$14-1)/LN(Assumptions!$B$14)))</f>
        <v>6.7662833809344347E-3</v>
      </c>
      <c r="C48" s="27">
        <f>VLOOKUP(A48,Assumptions!$A$19:$C$27,3,TRUE())</f>
        <v>0</v>
      </c>
      <c r="D48" s="27">
        <f t="shared" si="5"/>
        <v>6.7662833809344347E-3</v>
      </c>
      <c r="E48" s="27">
        <f t="shared" si="6"/>
        <v>0</v>
      </c>
      <c r="F48" s="27">
        <f t="shared" si="7"/>
        <v>0.99323371661906557</v>
      </c>
      <c r="G48" s="27">
        <f t="shared" si="9"/>
        <v>1.8065875658012348E-2</v>
      </c>
    </row>
    <row r="49" spans="1:7" x14ac:dyDescent="0.3">
      <c r="A49" s="5">
        <f t="shared" si="8"/>
        <v>61</v>
      </c>
      <c r="B49" s="27">
        <f>1-EXP(-(Assumptions!$B$12+Assumptions!$B$13*Assumptions!$B$14^A49*(Assumptions!$B$14-1)/LN(Assumptions!$B$14)))</f>
        <v>7.4006853701887865E-3</v>
      </c>
      <c r="C49" s="27">
        <f>VLOOKUP(A49,Assumptions!$A$19:$C$27,3,TRUE())</f>
        <v>0</v>
      </c>
      <c r="D49" s="27">
        <f t="shared" si="5"/>
        <v>7.4006853701887865E-3</v>
      </c>
      <c r="E49" s="27">
        <f t="shared" si="6"/>
        <v>0</v>
      </c>
      <c r="F49" s="27">
        <f t="shared" si="7"/>
        <v>0.99259931462981121</v>
      </c>
      <c r="G49" s="27">
        <f t="shared" si="9"/>
        <v>1.7943636823785511E-2</v>
      </c>
    </row>
    <row r="50" spans="1:7" x14ac:dyDescent="0.3">
      <c r="A50" s="5">
        <f t="shared" si="8"/>
        <v>62</v>
      </c>
      <c r="B50" s="27">
        <f>1-EXP(-(Assumptions!$B$12+Assumptions!$B$13*Assumptions!$B$14^A50*(Assumptions!$B$14-1)/LN(Assumptions!$B$14)))</f>
        <v>8.0980595535175004E-3</v>
      </c>
      <c r="C50" s="27">
        <f>VLOOKUP(A50,Assumptions!$A$19:$C$27,3,TRUE())</f>
        <v>0</v>
      </c>
      <c r="D50" s="27">
        <f t="shared" si="5"/>
        <v>8.0980595535175004E-3</v>
      </c>
      <c r="E50" s="27">
        <f t="shared" si="6"/>
        <v>0</v>
      </c>
      <c r="F50" s="27">
        <f t="shared" si="7"/>
        <v>0.9919019404464825</v>
      </c>
      <c r="G50" s="27">
        <f t="shared" si="9"/>
        <v>1.7810841613255742E-2</v>
      </c>
    </row>
    <row r="51" spans="1:7" x14ac:dyDescent="0.3">
      <c r="A51" s="5">
        <f t="shared" si="8"/>
        <v>63</v>
      </c>
      <c r="B51" s="27">
        <f>1-EXP(-(Assumptions!$B$12+Assumptions!$B$13*Assumptions!$B$14^A51*(Assumptions!$B$14-1)/LN(Assumptions!$B$14)))</f>
        <v>8.8646052683677423E-3</v>
      </c>
      <c r="C51" s="27">
        <f>VLOOKUP(A51,Assumptions!$A$19:$C$27,3,TRUE())</f>
        <v>0</v>
      </c>
      <c r="D51" s="27">
        <f t="shared" si="5"/>
        <v>8.8646052683677423E-3</v>
      </c>
      <c r="E51" s="27">
        <f t="shared" si="6"/>
        <v>0</v>
      </c>
      <c r="F51" s="27">
        <f t="shared" si="7"/>
        <v>0.99113539473163226</v>
      </c>
      <c r="G51" s="27">
        <f t="shared" si="9"/>
        <v>1.7666608357173329E-2</v>
      </c>
    </row>
    <row r="52" spans="1:7" x14ac:dyDescent="0.3">
      <c r="A52" s="5">
        <f t="shared" si="8"/>
        <v>64</v>
      </c>
      <c r="B52" s="27">
        <f>1-EXP(-(Assumptions!$B$12+Assumptions!$B$13*Assumptions!$B$14^A52*(Assumptions!$B$14-1)/LN(Assumptions!$B$14)))</f>
        <v>9.7071213624141395E-3</v>
      </c>
      <c r="C52" s="27">
        <f>VLOOKUP(A52,Assumptions!$A$19:$C$27,3,TRUE())</f>
        <v>0</v>
      </c>
      <c r="D52" s="27">
        <f t="shared" si="5"/>
        <v>9.7071213624141395E-3</v>
      </c>
      <c r="E52" s="27">
        <f t="shared" si="6"/>
        <v>0</v>
      </c>
      <c r="F52" s="27">
        <f t="shared" si="7"/>
        <v>0.99029287863758586</v>
      </c>
      <c r="G52" s="27">
        <f t="shared" si="9"/>
        <v>1.7510000847656141E-2</v>
      </c>
    </row>
    <row r="53" spans="1:7" x14ac:dyDescent="0.3">
      <c r="A53" s="5">
        <f t="shared" si="8"/>
        <v>65</v>
      </c>
      <c r="B53" s="27">
        <f>1-EXP(-(Assumptions!$B$12+Assumptions!$B$13*Assumptions!$B$14^A53*(Assumptions!$B$14-1)/LN(Assumptions!$B$14)))</f>
        <v>1.0633061899052221E-2</v>
      </c>
      <c r="C53" s="27">
        <f>VLOOKUP(A53,Assumptions!$A$19:$C$27,3,TRUE())</f>
        <v>0</v>
      </c>
      <c r="D53" s="27">
        <f t="shared" si="5"/>
        <v>1.0633061899052221E-2</v>
      </c>
      <c r="E53" s="27">
        <f t="shared" si="6"/>
        <v>0</v>
      </c>
      <c r="F53" s="27">
        <f t="shared" si="7"/>
        <v>0.98936693810094778</v>
      </c>
      <c r="G53" s="27">
        <f t="shared" si="9"/>
        <v>1.7340029144371969E-2</v>
      </c>
    </row>
    <row r="54" spans="1:7" x14ac:dyDescent="0.3">
      <c r="A54" s="5">
        <f t="shared" si="8"/>
        <v>66</v>
      </c>
      <c r="B54" s="27">
        <f>1-EXP(-(Assumptions!$B$12+Assumptions!$B$13*Assumptions!$B$14^A54*(Assumptions!$B$14-1)/LN(Assumptions!$B$14)))</f>
        <v>1.1650596556162962E-2</v>
      </c>
      <c r="C54" s="27">
        <f>VLOOKUP(A54,Assumptions!$A$19:$C$27,3,TRUE())</f>
        <v>0</v>
      </c>
      <c r="D54" s="27">
        <f t="shared" si="5"/>
        <v>1.1650596556162962E-2</v>
      </c>
      <c r="E54" s="27">
        <f t="shared" si="6"/>
        <v>0</v>
      </c>
      <c r="F54" s="27">
        <f t="shared" si="7"/>
        <v>0.98834940344383704</v>
      </c>
      <c r="G54" s="27">
        <f t="shared" si="9"/>
        <v>1.7155651541148492E-2</v>
      </c>
    </row>
    <row r="55" spans="1:7" x14ac:dyDescent="0.3">
      <c r="A55" s="5">
        <f t="shared" si="8"/>
        <v>67</v>
      </c>
      <c r="B55" s="27">
        <f>1-EXP(-(Assumptions!$B$12+Assumptions!$B$13*Assumptions!$B$14^A55*(Assumptions!$B$14-1)/LN(Assumptions!$B$14)))</f>
        <v>1.2768676007937962E-2</v>
      </c>
      <c r="C55" s="27">
        <f>VLOOKUP(A55,Assumptions!$A$19:$C$27,3,TRUE())</f>
        <v>0</v>
      </c>
      <c r="D55" s="27">
        <f t="shared" si="5"/>
        <v>1.2768676007937962E-2</v>
      </c>
      <c r="E55" s="27">
        <f t="shared" si="6"/>
        <v>0</v>
      </c>
      <c r="F55" s="27">
        <f t="shared" si="7"/>
        <v>0.98723132399206204</v>
      </c>
      <c r="G55" s="27">
        <f t="shared" si="9"/>
        <v>1.6955777966384457E-2</v>
      </c>
    </row>
    <row r="56" spans="1:7" x14ac:dyDescent="0.3">
      <c r="A56" s="5">
        <f t="shared" si="8"/>
        <v>68</v>
      </c>
      <c r="B56" s="27">
        <f>1-EXP(-(Assumptions!$B$12+Assumptions!$B$13*Assumptions!$B$14^A56*(Assumptions!$B$14-1)/LN(Assumptions!$B$14)))</f>
        <v>1.3997102572362419E-2</v>
      </c>
      <c r="C56" s="27">
        <f>VLOOKUP(A56,Assumptions!$A$19:$C$27,3,TRUE())</f>
        <v>0</v>
      </c>
      <c r="D56" s="27">
        <f t="shared" si="5"/>
        <v>1.3997102572362419E-2</v>
      </c>
      <c r="E56" s="27">
        <f t="shared" si="6"/>
        <v>0</v>
      </c>
      <c r="F56" s="27">
        <f t="shared" si="7"/>
        <v>0.98600289742763758</v>
      </c>
      <c r="G56" s="27">
        <f t="shared" si="9"/>
        <v>1.673927513106916E-2</v>
      </c>
    </row>
    <row r="57" spans="1:7" x14ac:dyDescent="0.3">
      <c r="A57" s="5">
        <f t="shared" si="8"/>
        <v>69</v>
      </c>
      <c r="B57" s="27">
        <f>1-EXP(-(Assumptions!$B$12+Assumptions!$B$13*Assumptions!$B$14^A57*(Assumptions!$B$14-1)/LN(Assumptions!$B$14)))</f>
        <v>1.5346606391947404E-2</v>
      </c>
      <c r="C57" s="27">
        <f>VLOOKUP(A57,Assumptions!$A$19:$C$27,3,TRUE())</f>
        <v>0</v>
      </c>
      <c r="D57" s="27">
        <f t="shared" si="5"/>
        <v>1.5346606391947404E-2</v>
      </c>
      <c r="E57" s="27">
        <f t="shared" si="6"/>
        <v>0</v>
      </c>
      <c r="F57" s="27">
        <f t="shared" si="7"/>
        <v>0.9846533936080526</v>
      </c>
      <c r="G57" s="27">
        <f t="shared" si="9"/>
        <v>1.6504973780072589E-2</v>
      </c>
    </row>
    <row r="58" spans="1:7" x14ac:dyDescent="0.3">
      <c r="A58" s="5">
        <f t="shared" si="8"/>
        <v>70</v>
      </c>
      <c r="B58" s="27">
        <f>1-EXP(-(Assumptions!$B$12+Assumptions!$B$13*Assumptions!$B$14^A58*(Assumptions!$B$14-1)/LN(Assumptions!$B$14)))</f>
        <v>1.6828927390375226E-2</v>
      </c>
      <c r="C58" s="27">
        <f>VLOOKUP(A58,Assumptions!$A$19:$C$27,3,TRUE())</f>
        <v>0</v>
      </c>
      <c r="D58" s="27">
        <f t="shared" si="5"/>
        <v>1.6828927390375226E-2</v>
      </c>
      <c r="E58" s="27">
        <f t="shared" si="6"/>
        <v>0</v>
      </c>
      <c r="F58" s="27">
        <f t="shared" si="7"/>
        <v>0.98317107260962477</v>
      </c>
      <c r="G58" s="27">
        <f t="shared" si="9"/>
        <v>1.6251678443960402E-2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5"/>
  <sheetViews>
    <sheetView tabSelected="1" zoomScaleNormal="100" workbookViewId="0">
      <pane xSplit="2" ySplit="5" topLeftCell="C17" activePane="bottomRight" state="frozen"/>
      <selection pane="topRight" activeCell="C1" sqref="C1"/>
      <selection pane="bottomLeft" activeCell="A6" sqref="A6"/>
      <selection pane="bottomRight"/>
    </sheetView>
  </sheetViews>
  <sheetFormatPr defaultColWidth="8.6640625" defaultRowHeight="14.4" x14ac:dyDescent="0.3"/>
  <cols>
    <col min="1" max="1" width="9" customWidth="1"/>
    <col min="2" max="47" width="11" customWidth="1"/>
  </cols>
  <sheetData>
    <row r="1" spans="1:47" ht="17.399999999999999" x14ac:dyDescent="0.3">
      <c r="A1" s="1" t="s">
        <v>224</v>
      </c>
    </row>
    <row r="2" spans="1:47" x14ac:dyDescent="0.3">
      <c r="A2" s="10" t="s">
        <v>225</v>
      </c>
    </row>
    <row r="3" spans="1:47" x14ac:dyDescent="0.3">
      <c r="A3" s="10" t="s">
        <v>226</v>
      </c>
    </row>
    <row r="5" spans="1:47" ht="26.4" x14ac:dyDescent="0.3">
      <c r="A5" s="3" t="s">
        <v>50</v>
      </c>
      <c r="B5" s="3" t="s">
        <v>57</v>
      </c>
      <c r="C5" s="28">
        <v>1</v>
      </c>
      <c r="D5" s="28">
        <f t="shared" ref="D5:AU5" si="0">C5+1</f>
        <v>2</v>
      </c>
      <c r="E5" s="28">
        <f t="shared" si="0"/>
        <v>3</v>
      </c>
      <c r="F5" s="28">
        <f t="shared" si="0"/>
        <v>4</v>
      </c>
      <c r="G5" s="28">
        <f t="shared" si="0"/>
        <v>5</v>
      </c>
      <c r="H5" s="28">
        <f t="shared" si="0"/>
        <v>6</v>
      </c>
      <c r="I5" s="28">
        <f t="shared" si="0"/>
        <v>7</v>
      </c>
      <c r="J5" s="28">
        <f t="shared" si="0"/>
        <v>8</v>
      </c>
      <c r="K5" s="28">
        <f t="shared" si="0"/>
        <v>9</v>
      </c>
      <c r="L5" s="28">
        <f t="shared" si="0"/>
        <v>10</v>
      </c>
      <c r="M5" s="28">
        <f t="shared" si="0"/>
        <v>11</v>
      </c>
      <c r="N5" s="28">
        <f t="shared" si="0"/>
        <v>12</v>
      </c>
      <c r="O5" s="28">
        <f t="shared" si="0"/>
        <v>13</v>
      </c>
      <c r="P5" s="28">
        <f t="shared" si="0"/>
        <v>14</v>
      </c>
      <c r="Q5" s="28">
        <f t="shared" si="0"/>
        <v>15</v>
      </c>
      <c r="R5" s="28">
        <f t="shared" si="0"/>
        <v>16</v>
      </c>
      <c r="S5" s="28">
        <f t="shared" si="0"/>
        <v>17</v>
      </c>
      <c r="T5" s="28">
        <f t="shared" si="0"/>
        <v>18</v>
      </c>
      <c r="U5" s="28">
        <f t="shared" si="0"/>
        <v>19</v>
      </c>
      <c r="V5" s="28">
        <f t="shared" si="0"/>
        <v>20</v>
      </c>
      <c r="W5" s="28">
        <f t="shared" si="0"/>
        <v>21</v>
      </c>
      <c r="X5" s="28">
        <f t="shared" si="0"/>
        <v>22</v>
      </c>
      <c r="Y5" s="28">
        <f t="shared" si="0"/>
        <v>23</v>
      </c>
      <c r="Z5" s="28">
        <f t="shared" si="0"/>
        <v>24</v>
      </c>
      <c r="AA5" s="28">
        <f t="shared" si="0"/>
        <v>25</v>
      </c>
      <c r="AB5" s="28">
        <f t="shared" si="0"/>
        <v>26</v>
      </c>
      <c r="AC5" s="28">
        <f t="shared" si="0"/>
        <v>27</v>
      </c>
      <c r="AD5" s="28">
        <f t="shared" si="0"/>
        <v>28</v>
      </c>
      <c r="AE5" s="28">
        <f t="shared" si="0"/>
        <v>29</v>
      </c>
      <c r="AF5" s="28">
        <f t="shared" si="0"/>
        <v>30</v>
      </c>
      <c r="AG5" s="28">
        <f t="shared" si="0"/>
        <v>31</v>
      </c>
      <c r="AH5" s="28">
        <f t="shared" si="0"/>
        <v>32</v>
      </c>
      <c r="AI5" s="28">
        <f t="shared" si="0"/>
        <v>33</v>
      </c>
      <c r="AJ5" s="28">
        <f t="shared" si="0"/>
        <v>34</v>
      </c>
      <c r="AK5" s="28">
        <f t="shared" si="0"/>
        <v>35</v>
      </c>
      <c r="AL5" s="28">
        <f t="shared" si="0"/>
        <v>36</v>
      </c>
      <c r="AM5" s="28">
        <f t="shared" si="0"/>
        <v>37</v>
      </c>
      <c r="AN5" s="28">
        <f t="shared" si="0"/>
        <v>38</v>
      </c>
      <c r="AO5" s="28">
        <f t="shared" si="0"/>
        <v>39</v>
      </c>
      <c r="AP5" s="28">
        <f t="shared" si="0"/>
        <v>40</v>
      </c>
      <c r="AQ5" s="28">
        <f t="shared" si="0"/>
        <v>41</v>
      </c>
      <c r="AR5" s="28">
        <f t="shared" si="0"/>
        <v>42</v>
      </c>
      <c r="AS5" s="28">
        <f t="shared" si="0"/>
        <v>43</v>
      </c>
      <c r="AT5" s="28">
        <f t="shared" si="0"/>
        <v>44</v>
      </c>
      <c r="AU5" s="28">
        <f t="shared" si="0"/>
        <v>45</v>
      </c>
    </row>
    <row r="6" spans="1:47" x14ac:dyDescent="0.3">
      <c r="A6" s="10" t="str">
        <f>Census!A6</f>
        <v>E001</v>
      </c>
      <c r="B6" s="29">
        <f>Census!H6</f>
        <v>30</v>
      </c>
      <c r="C6" s="30">
        <f>IF(C$5&gt;$B6,0,INDEX(Decrements!$G$6:$G$58,Census!$G6+C$5-18)/INDEX(Decrements!$G$6:$G$58,Census!$G6-17)*(INDEX(Decrements!$D$6:$D$58,Census!$G6+C$5-18)+IF(C$5=$B6,INDEX(Decrements!$F$6:$F$58,Census!$G6+C$5-18),0)+INDEX(Decrements!$E$6:$E$58,Census!$G6+C$5-18)*IF((Census!$F6+C$5)&gt;=Assumptions!$B$11,1,0))*MIN(15/26*Census!$D6*(1+Assumptions!$B$9)^C$5*(INT((Census!$F6+C$5))+IF((Census!$F6+C$5)-INT((Census!$F6+C$5))&gt;0.5,1,0)),Assumptions!$B$10))</f>
        <v>42.749899779474454</v>
      </c>
      <c r="D6" s="30">
        <f>IF(D$5&gt;$B6,0,INDEX(Decrements!$G$6:$G$58,Census!$G6+D$5-18)/INDEX(Decrements!$G$6:$G$58,Census!$G6-17)*(INDEX(Decrements!$D$6:$D$58,Census!$G6+D$5-18)+IF(D$5=$B6,INDEX(Decrements!$F$6:$F$58,Census!$G6+D$5-18),0)+INDEX(Decrements!$E$6:$E$58,Census!$G6+D$5-18)*IF((Census!$F6+D$5)&gt;=Assumptions!$B$11,1,0))*MIN(15/26*Census!$D6*(1+Assumptions!$B$9)^D$5*(INT((Census!$F6+D$5))+IF((Census!$F6+D$5)-INT((Census!$F6+D$5))&gt;0.5,1,0)),Assumptions!$B$10))</f>
        <v>7851.3493920599003</v>
      </c>
      <c r="E6" s="30">
        <f>IF(E$5&gt;$B6,0,INDEX(Decrements!$G$6:$G$58,Census!$G6+E$5-18)/INDEX(Decrements!$G$6:$G$58,Census!$G6-17)*(INDEX(Decrements!$D$6:$D$58,Census!$G6+E$5-18)+IF(E$5=$B6,INDEX(Decrements!$F$6:$F$58,Census!$G6+E$5-18),0)+INDEX(Decrements!$E$6:$E$58,Census!$G6+E$5-18)*IF((Census!$F6+E$5)&gt;=Assumptions!$B$11,1,0))*MIN(15/26*Census!$D6*(1+Assumptions!$B$9)^E$5*(INT((Census!$F6+E$5))+IF((Census!$F6+E$5)-INT((Census!$F6+E$5))&gt;0.5,1,0)),Assumptions!$B$10))</f>
        <v>9051.7207819004052</v>
      </c>
      <c r="F6" s="30">
        <f>IF(F$5&gt;$B6,0,INDEX(Decrements!$G$6:$G$58,Census!$G6+F$5-18)/INDEX(Decrements!$G$6:$G$58,Census!$G6-17)*(INDEX(Decrements!$D$6:$D$58,Census!$G6+F$5-18)+IF(F$5=$B6,INDEX(Decrements!$F$6:$F$58,Census!$G6+F$5-18),0)+INDEX(Decrements!$E$6:$E$58,Census!$G6+F$5-18)*IF((Census!$F6+F$5)&gt;=Assumptions!$B$11,1,0))*MIN(15/26*Census!$D6*(1+Assumptions!$B$9)^F$5*(INT((Census!$F6+F$5))+IF((Census!$F6+F$5)-INT((Census!$F6+F$5))&gt;0.5,1,0)),Assumptions!$B$10))</f>
        <v>10145.653672860592</v>
      </c>
      <c r="G6" s="30">
        <f>IF(G$5&gt;$B6,0,INDEX(Decrements!$G$6:$G$58,Census!$G6+G$5-18)/INDEX(Decrements!$G$6:$G$58,Census!$G6-17)*(INDEX(Decrements!$D$6:$D$58,Census!$G6+G$5-18)+IF(G$5=$B6,INDEX(Decrements!$F$6:$F$58,Census!$G6+G$5-18),0)+INDEX(Decrements!$E$6:$E$58,Census!$G6+G$5-18)*IF((Census!$F6+G$5)&gt;=Assumptions!$B$11,1,0))*MIN(15/26*Census!$D6*(1+Assumptions!$B$9)^G$5*(INT((Census!$F6+G$5))+IF((Census!$F6+G$5)-INT((Census!$F6+G$5))&gt;0.5,1,0)),Assumptions!$B$10))</f>
        <v>11139.615710161925</v>
      </c>
      <c r="H6" s="30">
        <f>IF(H$5&gt;$B6,0,INDEX(Decrements!$G$6:$G$58,Census!$G6+H$5-18)/INDEX(Decrements!$G$6:$G$58,Census!$G6-17)*(INDEX(Decrements!$D$6:$D$58,Census!$G6+H$5-18)+IF(H$5=$B6,INDEX(Decrements!$F$6:$F$58,Census!$G6+H$5-18),0)+INDEX(Decrements!$E$6:$E$58,Census!$G6+H$5-18)*IF((Census!$F6+H$5)&gt;=Assumptions!$B$11,1,0))*MIN(15/26*Census!$D6*(1+Assumptions!$B$9)^H$5*(INT((Census!$F6+H$5))+IF((Census!$F6+H$5)-INT((Census!$F6+H$5))&gt;0.5,1,0)),Assumptions!$B$10))</f>
        <v>8785.4603308668593</v>
      </c>
      <c r="I6" s="30">
        <f>IF(I$5&gt;$B6,0,INDEX(Decrements!$G$6:$G$58,Census!$G6+I$5-18)/INDEX(Decrements!$G$6:$G$58,Census!$G6-17)*(INDEX(Decrements!$D$6:$D$58,Census!$G6+I$5-18)+IF(I$5=$B6,INDEX(Decrements!$F$6:$F$58,Census!$G6+I$5-18),0)+INDEX(Decrements!$E$6:$E$58,Census!$G6+I$5-18)*IF((Census!$F6+I$5)&gt;=Assumptions!$B$11,1,0))*MIN(15/26*Census!$D6*(1+Assumptions!$B$9)^I$5*(INT((Census!$F6+I$5))+IF((Census!$F6+I$5)-INT((Census!$F6+I$5))&gt;0.5,1,0)),Assumptions!$B$10))</f>
        <v>9696.0442031887978</v>
      </c>
      <c r="J6" s="30">
        <f>IF(J$5&gt;$B6,0,INDEX(Decrements!$G$6:$G$58,Census!$G6+J$5-18)/INDEX(Decrements!$G$6:$G$58,Census!$G6-17)*(INDEX(Decrements!$D$6:$D$58,Census!$G6+J$5-18)+IF(J$5=$B6,INDEX(Decrements!$F$6:$F$58,Census!$G6+J$5-18),0)+INDEX(Decrements!$E$6:$E$58,Census!$G6+J$5-18)*IF((Census!$F6+J$5)&gt;=Assumptions!$B$11,1,0))*MIN(15/26*Census!$D6*(1+Assumptions!$B$9)^J$5*(INT((Census!$F6+J$5))+IF((Census!$F6+J$5)-INT((Census!$F6+J$5))&gt;0.5,1,0)),Assumptions!$B$10))</f>
        <v>10594.075710553267</v>
      </c>
      <c r="K6" s="30">
        <f>IF(K$5&gt;$B6,0,INDEX(Decrements!$G$6:$G$58,Census!$G6+K$5-18)/INDEX(Decrements!$G$6:$G$58,Census!$G6-17)*(INDEX(Decrements!$D$6:$D$58,Census!$G6+K$5-18)+IF(K$5=$B6,INDEX(Decrements!$F$6:$F$58,Census!$G6+K$5-18),0)+INDEX(Decrements!$E$6:$E$58,Census!$G6+K$5-18)*IF((Census!$F6+K$5)&gt;=Assumptions!$B$11,1,0))*MIN(15/26*Census!$D6*(1+Assumptions!$B$9)^K$5*(INT((Census!$F6+K$5))+IF((Census!$F6+K$5)-INT((Census!$F6+K$5))&gt;0.5,1,0)),Assumptions!$B$10))</f>
        <v>11479.710386394605</v>
      </c>
      <c r="L6" s="30">
        <f>IF(L$5&gt;$B6,0,INDEX(Decrements!$G$6:$G$58,Census!$G6+L$5-18)/INDEX(Decrements!$G$6:$G$58,Census!$G6-17)*(INDEX(Decrements!$D$6:$D$58,Census!$G6+L$5-18)+IF(L$5=$B6,INDEX(Decrements!$F$6:$F$58,Census!$G6+L$5-18),0)+INDEX(Decrements!$E$6:$E$58,Census!$G6+L$5-18)*IF((Census!$F6+L$5)&gt;=Assumptions!$B$11,1,0))*MIN(15/26*Census!$D6*(1+Assumptions!$B$9)^L$5*(INT((Census!$F6+L$5))+IF((Census!$F6+L$5)-INT((Census!$F6+L$5))&gt;0.5,1,0)),Assumptions!$B$10))</f>
        <v>12353.104716197162</v>
      </c>
      <c r="M6" s="30">
        <f>IF(M$5&gt;$B6,0,INDEX(Decrements!$G$6:$G$58,Census!$G6+M$5-18)/INDEX(Decrements!$G$6:$G$58,Census!$G6-17)*(INDEX(Decrements!$D$6:$D$58,Census!$G6+M$5-18)+IF(M$5=$B6,INDEX(Decrements!$F$6:$F$58,Census!$G6+M$5-18),0)+INDEX(Decrements!$E$6:$E$58,Census!$G6+M$5-18)*IF((Census!$F6+M$5)&gt;=Assumptions!$B$11,1,0))*MIN(15/26*Census!$D6*(1+Assumptions!$B$9)^M$5*(INT((Census!$F6+M$5))+IF((Census!$F6+M$5)-INT((Census!$F6+M$5))&gt;0.5,1,0)),Assumptions!$B$10))</f>
        <v>8341.2830582697316</v>
      </c>
      <c r="N6" s="30">
        <f>IF(N$5&gt;$B6,0,INDEX(Decrements!$G$6:$G$58,Census!$G6+N$5-18)/INDEX(Decrements!$G$6:$G$58,Census!$G6-17)*(INDEX(Decrements!$D$6:$D$58,Census!$G6+N$5-18)+IF(N$5=$B6,INDEX(Decrements!$F$6:$F$58,Census!$G6+N$5-18),0)+INDEX(Decrements!$E$6:$E$58,Census!$G6+N$5-18)*IF((Census!$F6+N$5)&gt;=Assumptions!$B$11,1,0))*MIN(15/26*Census!$D6*(1+Assumptions!$B$9)^N$5*(INT((Census!$F6+N$5))+IF((Census!$F6+N$5)-INT((Census!$F6+N$5))&gt;0.5,1,0)),Assumptions!$B$10))</f>
        <v>9173.1737958666054</v>
      </c>
      <c r="O6" s="30">
        <f>IF(O$5&gt;$B6,0,INDEX(Decrements!$G$6:$G$58,Census!$G6+O$5-18)/INDEX(Decrements!$G$6:$G$58,Census!$G6-17)*(INDEX(Decrements!$D$6:$D$58,Census!$G6+O$5-18)+IF(O$5=$B6,INDEX(Decrements!$F$6:$F$58,Census!$G6+O$5-18),0)+INDEX(Decrements!$E$6:$E$58,Census!$G6+O$5-18)*IF((Census!$F6+O$5)&gt;=Assumptions!$B$11,1,0))*MIN(15/26*Census!$D6*(1+Assumptions!$B$9)^O$5*(INT((Census!$F6+O$5))+IF((Census!$F6+O$5)-INT((Census!$F6+O$5))&gt;0.5,1,0)),Assumptions!$B$10))</f>
        <v>10043.966330091738</v>
      </c>
      <c r="P6" s="30">
        <f>IF(P$5&gt;$B6,0,INDEX(Decrements!$G$6:$G$58,Census!$G6+P$5-18)/INDEX(Decrements!$G$6:$G$58,Census!$G6-17)*(INDEX(Decrements!$D$6:$D$58,Census!$G6+P$5-18)+IF(P$5=$B6,INDEX(Decrements!$F$6:$F$58,Census!$G6+P$5-18),0)+INDEX(Decrements!$E$6:$E$58,Census!$G6+P$5-18)*IF((Census!$F6+P$5)&gt;=Assumptions!$B$11,1,0))*MIN(15/26*Census!$D6*(1+Assumptions!$B$9)^P$5*(INT((Census!$F6+P$5))+IF((Census!$F6+P$5)-INT((Census!$F6+P$5))&gt;0.5,1,0)),Assumptions!$B$10))</f>
        <v>10955.380243909674</v>
      </c>
      <c r="Q6" s="30">
        <f>IF(Q$5&gt;$B6,0,INDEX(Decrements!$G$6:$G$58,Census!$G6+Q$5-18)/INDEX(Decrements!$G$6:$G$58,Census!$G6-17)*(INDEX(Decrements!$D$6:$D$58,Census!$G6+Q$5-18)+IF(Q$5=$B6,INDEX(Decrements!$F$6:$F$58,Census!$G6+Q$5-18),0)+INDEX(Decrements!$E$6:$E$58,Census!$G6+Q$5-18)*IF((Census!$F6+Q$5)&gt;=Assumptions!$B$11,1,0))*MIN(15/26*Census!$D6*(1+Assumptions!$B$9)^Q$5*(INT((Census!$F6+Q$5))+IF((Census!$F6+Q$5)-INT((Census!$F6+Q$5))&gt;0.5,1,0)),Assumptions!$B$10))</f>
        <v>11909.236230468847</v>
      </c>
      <c r="R6" s="30">
        <f>IF(R$5&gt;$B6,0,INDEX(Decrements!$G$6:$G$58,Census!$G6+R$5-18)/INDEX(Decrements!$G$6:$G$58,Census!$G6-17)*(INDEX(Decrements!$D$6:$D$58,Census!$G6+R$5-18)+IF(R$5=$B6,INDEX(Decrements!$F$6:$F$58,Census!$G6+R$5-18),0)+INDEX(Decrements!$E$6:$E$58,Census!$G6+R$5-18)*IF((Census!$F6+R$5)&gt;=Assumptions!$B$11,1,0))*MIN(15/26*Census!$D6*(1+Assumptions!$B$9)^R$5*(INT((Census!$F6+R$5))+IF((Census!$F6+R$5)-INT((Census!$F6+R$5))&gt;0.5,1,0)),Assumptions!$B$10))</f>
        <v>7936.4980241936892</v>
      </c>
      <c r="S6" s="30">
        <f>IF(S$5&gt;$B6,0,INDEX(Decrements!$G$6:$G$58,Census!$G6+S$5-18)/INDEX(Decrements!$G$6:$G$58,Census!$G6-17)*(INDEX(Decrements!$D$6:$D$58,Census!$G6+S$5-18)+IF(S$5=$B6,INDEX(Decrements!$F$6:$F$58,Census!$G6+S$5-18),0)+INDEX(Decrements!$E$6:$E$58,Census!$G6+S$5-18)*IF((Census!$F6+S$5)&gt;=Assumptions!$B$11,1,0))*MIN(15/26*Census!$D6*(1+Assumptions!$B$9)^S$5*(INT((Census!$F6+S$5))+IF((Census!$F6+S$5)-INT((Census!$F6+S$5))&gt;0.5,1,0)),Assumptions!$B$10))</f>
        <v>8775.581012140774</v>
      </c>
      <c r="T6" s="30">
        <f>IF(T$5&gt;$B6,0,INDEX(Decrements!$G$6:$G$58,Census!$G6+T$5-18)/INDEX(Decrements!$G$6:$G$58,Census!$G6-17)*(INDEX(Decrements!$D$6:$D$58,Census!$G6+T$5-18)+IF(T$5=$B6,INDEX(Decrements!$F$6:$F$58,Census!$G6+T$5-18),0)+INDEX(Decrements!$E$6:$E$58,Census!$G6+T$5-18)*IF((Census!$F6+T$5)&gt;=Assumptions!$B$11,1,0))*MIN(15/26*Census!$D6*(1+Assumptions!$B$9)^T$5*(INT((Census!$F6+T$5))+IF((Census!$F6+T$5)-INT((Census!$F6+T$5))&gt;0.5,1,0)),Assumptions!$B$10))</f>
        <v>9681.8768456215257</v>
      </c>
      <c r="U6" s="30">
        <f>IF(U$5&gt;$B6,0,INDEX(Decrements!$G$6:$G$58,Census!$G6+U$5-18)/INDEX(Decrements!$G$6:$G$58,Census!$G6-17)*(INDEX(Decrements!$D$6:$D$58,Census!$G6+U$5-18)+IF(U$5=$B6,INDEX(Decrements!$F$6:$F$58,Census!$G6+U$5-18),0)+INDEX(Decrements!$E$6:$E$58,Census!$G6+U$5-18)*IF((Census!$F6+U$5)&gt;=Assumptions!$B$11,1,0))*MIN(15/26*Census!$D6*(1+Assumptions!$B$9)^U$5*(INT((Census!$F6+U$5))+IF((Census!$F6+U$5)-INT((Census!$F6+U$5))&gt;0.5,1,0)),Assumptions!$B$10))</f>
        <v>10660.837164346991</v>
      </c>
      <c r="V6" s="30">
        <f>IF(V$5&gt;$B6,0,INDEX(Decrements!$G$6:$G$58,Census!$G6+V$5-18)/INDEX(Decrements!$G$6:$G$58,Census!$G6-17)*(INDEX(Decrements!$D$6:$D$58,Census!$G6+V$5-18)+IF(V$5=$B6,INDEX(Decrements!$F$6:$F$58,Census!$G6+V$5-18),0)+INDEX(Decrements!$E$6:$E$58,Census!$G6+V$5-18)*IF((Census!$F6+V$5)&gt;=Assumptions!$B$11,1,0))*MIN(15/26*Census!$D6*(1+Assumptions!$B$9)^V$5*(INT((Census!$F6+V$5))+IF((Census!$F6+V$5)-INT((Census!$F6+V$5))&gt;0.5,1,0)),Assumptions!$B$10))</f>
        <v>11718.435220605063</v>
      </c>
      <c r="W6" s="30">
        <f>IF(W$5&gt;$B6,0,INDEX(Decrements!$G$6:$G$58,Census!$G6+W$5-18)/INDEX(Decrements!$G$6:$G$58,Census!$G6-17)*(INDEX(Decrements!$D$6:$D$58,Census!$G6+W$5-18)+IF(W$5=$B6,INDEX(Decrements!$F$6:$F$58,Census!$G6+W$5-18),0)+INDEX(Decrements!$E$6:$E$58,Census!$G6+W$5-18)*IF((Census!$F6+W$5)&gt;=Assumptions!$B$11,1,0))*MIN(15/26*Census!$D6*(1+Assumptions!$B$9)^W$5*(INT((Census!$F6+W$5))+IF((Census!$F6+W$5)-INT((Census!$F6+W$5))&gt;0.5,1,0)),Assumptions!$B$10))</f>
        <v>8948.1667143570357</v>
      </c>
      <c r="X6" s="30">
        <f>IF(X$5&gt;$B6,0,INDEX(Decrements!$G$6:$G$58,Census!$G6+X$5-18)/INDEX(Decrements!$G$6:$G$58,Census!$G6-17)*(INDEX(Decrements!$D$6:$D$58,Census!$G6+X$5-18)+IF(X$5=$B6,INDEX(Decrements!$F$6:$F$58,Census!$G6+X$5-18),0)+INDEX(Decrements!$E$6:$E$58,Census!$G6+X$5-18)*IF((Census!$F6+X$5)&gt;=Assumptions!$B$11,1,0))*MIN(15/26*Census!$D6*(1+Assumptions!$B$9)^X$5*(INT((Census!$F6+X$5))+IF((Census!$F6+X$5)-INT((Census!$F6+X$5))&gt;0.5,1,0)),Assumptions!$B$10))</f>
        <v>9940.9825621170385</v>
      </c>
      <c r="Y6" s="30">
        <f>IF(Y$5&gt;$B6,0,INDEX(Decrements!$G$6:$G$58,Census!$G6+Y$5-18)/INDEX(Decrements!$G$6:$G$58,Census!$G6-17)*(INDEX(Decrements!$D$6:$D$58,Census!$G6+Y$5-18)+IF(Y$5=$B6,INDEX(Decrements!$F$6:$F$58,Census!$G6+Y$5-18),0)+INDEX(Decrements!$E$6:$E$58,Census!$G6+Y$5-18)*IF((Census!$F6+Y$5)&gt;=Assumptions!$B$11,1,0))*MIN(15/26*Census!$D6*(1+Assumptions!$B$9)^Y$5*(INT((Census!$F6+Y$5))+IF((Census!$F6+Y$5)-INT((Census!$F6+Y$5))&gt;0.5,1,0)),Assumptions!$B$10))</f>
        <v>10572.220483260417</v>
      </c>
      <c r="Z6" s="30">
        <f>IF(Z$5&gt;$B6,0,INDEX(Decrements!$G$6:$G$58,Census!$G6+Z$5-18)/INDEX(Decrements!$G$6:$G$58,Census!$G6-17)*(INDEX(Decrements!$D$6:$D$58,Census!$G6+Z$5-18)+IF(Z$5=$B6,INDEX(Decrements!$F$6:$F$58,Census!$G6+Z$5-18),0)+INDEX(Decrements!$E$6:$E$58,Census!$G6+Z$5-18)*IF((Census!$F6+Z$5)&gt;=Assumptions!$B$11,1,0))*MIN(15/26*Census!$D6*(1+Assumptions!$B$9)^Z$5*(INT((Census!$F6+Z$5))+IF((Census!$F6+Z$5)-INT((Census!$F6+Z$5))&gt;0.5,1,0)),Assumptions!$B$10))</f>
        <v>10454.762570127461</v>
      </c>
      <c r="AA6" s="30">
        <f>IF(AA$5&gt;$B6,0,INDEX(Decrements!$G$6:$G$58,Census!$G6+AA$5-18)/INDEX(Decrements!$G$6:$G$58,Census!$G6-17)*(INDEX(Decrements!$D$6:$D$58,Census!$G6+AA$5-18)+IF(AA$5=$B6,INDEX(Decrements!$F$6:$F$58,Census!$G6+AA$5-18),0)+INDEX(Decrements!$E$6:$E$58,Census!$G6+AA$5-18)*IF((Census!$F6+AA$5)&gt;=Assumptions!$B$11,1,0))*MIN(15/26*Census!$D6*(1+Assumptions!$B$9)^AA$5*(INT((Census!$F6+AA$5))+IF((Census!$F6+AA$5)-INT((Census!$F6+AA$5))&gt;0.5,1,0)),Assumptions!$B$10))</f>
        <v>10346.503776240357</v>
      </c>
      <c r="AB6" s="30">
        <f>IF(AB$5&gt;$B6,0,INDEX(Decrements!$G$6:$G$58,Census!$G6+AB$5-18)/INDEX(Decrements!$G$6:$G$58,Census!$G6-17)*(INDEX(Decrements!$D$6:$D$58,Census!$G6+AB$5-18)+IF(AB$5=$B6,INDEX(Decrements!$F$6:$F$58,Census!$G6+AB$5-18),0)+INDEX(Decrements!$E$6:$E$58,Census!$G6+AB$5-18)*IF((Census!$F6+AB$5)&gt;=Assumptions!$B$11,1,0))*MIN(15/26*Census!$D6*(1+Assumptions!$B$9)^AB$5*(INT((Census!$F6+AB$5))+IF((Census!$F6+AB$5)-INT((Census!$F6+AB$5))&gt;0.5,1,0)),Assumptions!$B$10))</f>
        <v>6043.7884830137318</v>
      </c>
      <c r="AC6" s="30">
        <f>IF(AC$5&gt;$B6,0,INDEX(Decrements!$G$6:$G$58,Census!$G6+AC$5-18)/INDEX(Decrements!$G$6:$G$58,Census!$G6-17)*(INDEX(Decrements!$D$6:$D$58,Census!$G6+AC$5-18)+IF(AC$5=$B6,INDEX(Decrements!$F$6:$F$58,Census!$G6+AC$5-18),0)+INDEX(Decrements!$E$6:$E$58,Census!$G6+AC$5-18)*IF((Census!$F6+AC$5)&gt;=Assumptions!$B$11,1,0))*MIN(15/26*Census!$D6*(1+Assumptions!$B$9)^AC$5*(INT((Census!$F6+AC$5))+IF((Census!$F6+AC$5)-INT((Census!$F6+AC$5))&gt;0.5,1,0)),Assumptions!$B$10))</f>
        <v>6119.9902472141257</v>
      </c>
      <c r="AD6" s="30">
        <f>IF(AD$5&gt;$B6,0,INDEX(Decrements!$G$6:$G$58,Census!$G6+AD$5-18)/INDEX(Decrements!$G$6:$G$58,Census!$G6-17)*(INDEX(Decrements!$D$6:$D$58,Census!$G6+AD$5-18)+IF(AD$5=$B6,INDEX(Decrements!$F$6:$F$58,Census!$G6+AD$5-18),0)+INDEX(Decrements!$E$6:$E$58,Census!$G6+AD$5-18)*IF((Census!$F6+AD$5)&gt;=Assumptions!$B$11,1,0))*MIN(15/26*Census!$D6*(1+Assumptions!$B$9)^AD$5*(INT((Census!$F6+AD$5))+IF((Census!$F6+AD$5)-INT((Census!$F6+AD$5))&gt;0.5,1,0)),Assumptions!$B$10))</f>
        <v>6206.274434705726</v>
      </c>
      <c r="AE6" s="30">
        <f>IF(AE$5&gt;$B6,0,INDEX(Decrements!$G$6:$G$58,Census!$G6+AE$5-18)/INDEX(Decrements!$G$6:$G$58,Census!$G6-17)*(INDEX(Decrements!$D$6:$D$58,Census!$G6+AE$5-18)+IF(AE$5=$B6,INDEX(Decrements!$F$6:$F$58,Census!$G6+AE$5-18),0)+INDEX(Decrements!$E$6:$E$58,Census!$G6+AE$5-18)*IF((Census!$F6+AE$5)&gt;=Assumptions!$B$11,1,0))*MIN(15/26*Census!$D6*(1+Assumptions!$B$9)^AE$5*(INT((Census!$F6+AE$5))+IF((Census!$F6+AE$5)-INT((Census!$F6+AE$5))&gt;0.5,1,0)),Assumptions!$B$10))</f>
        <v>6303.2274773519975</v>
      </c>
      <c r="AF6" s="30">
        <f>IF(AF$5&gt;$B6,0,INDEX(Decrements!$G$6:$G$58,Census!$G6+AF$5-18)/INDEX(Decrements!$G$6:$G$58,Census!$G6-17)*(INDEX(Decrements!$D$6:$D$58,Census!$G6+AF$5-18)+IF(AF$5=$B6,INDEX(Decrements!$F$6:$F$58,Census!$G6+AF$5-18),0)+INDEX(Decrements!$E$6:$E$58,Census!$G6+AF$5-18)*IF((Census!$F6+AF$5)&gt;=Assumptions!$B$11,1,0))*MIN(15/26*Census!$D6*(1+Assumptions!$B$9)^AF$5*(INT((Census!$F6+AF$5))+IF((Census!$F6+AF$5)-INT((Census!$F6+AF$5))&gt;0.5,1,0)),Assumptions!$B$10))</f>
        <v>397551.78311539261</v>
      </c>
      <c r="AG6" s="30">
        <f>IF(AG$5&gt;$B6,0,INDEX(Decrements!$G$6:$G$58,Census!$G6+AG$5-18)/INDEX(Decrements!$G$6:$G$58,Census!$G6-17)*(INDEX(Decrements!$D$6:$D$58,Census!$G6+AG$5-18)+IF(AG$5=$B6,INDEX(Decrements!$F$6:$F$58,Census!$G6+AG$5-18),0)+INDEX(Decrements!$E$6:$E$58,Census!$G6+AG$5-18)*IF((Census!$F6+AG$5)&gt;=Assumptions!$B$11,1,0))*MIN(15/26*Census!$D6*(1+Assumptions!$B$9)^AG$5*(INT((Census!$F6+AG$5))+IF((Census!$F6+AG$5)-INT((Census!$F6+AG$5))&gt;0.5,1,0)),Assumptions!$B$10))</f>
        <v>0</v>
      </c>
      <c r="AH6" s="30">
        <f>IF(AH$5&gt;$B6,0,INDEX(Decrements!$G$6:$G$58,Census!$G6+AH$5-18)/INDEX(Decrements!$G$6:$G$58,Census!$G6-17)*(INDEX(Decrements!$D$6:$D$58,Census!$G6+AH$5-18)+IF(AH$5=$B6,INDEX(Decrements!$F$6:$F$58,Census!$G6+AH$5-18),0)+INDEX(Decrements!$E$6:$E$58,Census!$G6+AH$5-18)*IF((Census!$F6+AH$5)&gt;=Assumptions!$B$11,1,0))*MIN(15/26*Census!$D6*(1+Assumptions!$B$9)^AH$5*(INT((Census!$F6+AH$5))+IF((Census!$F6+AH$5)-INT((Census!$F6+AH$5))&gt;0.5,1,0)),Assumptions!$B$10))</f>
        <v>0</v>
      </c>
      <c r="AI6" s="30">
        <f>IF(AI$5&gt;$B6,0,INDEX(Decrements!$G$6:$G$58,Census!$G6+AI$5-18)/INDEX(Decrements!$G$6:$G$58,Census!$G6-17)*(INDEX(Decrements!$D$6:$D$58,Census!$G6+AI$5-18)+IF(AI$5=$B6,INDEX(Decrements!$F$6:$F$58,Census!$G6+AI$5-18),0)+INDEX(Decrements!$E$6:$E$58,Census!$G6+AI$5-18)*IF((Census!$F6+AI$5)&gt;=Assumptions!$B$11,1,0))*MIN(15/26*Census!$D6*(1+Assumptions!$B$9)^AI$5*(INT((Census!$F6+AI$5))+IF((Census!$F6+AI$5)-INT((Census!$F6+AI$5))&gt;0.5,1,0)),Assumptions!$B$10))</f>
        <v>0</v>
      </c>
      <c r="AJ6" s="30">
        <f>IF(AJ$5&gt;$B6,0,INDEX(Decrements!$G$6:$G$58,Census!$G6+AJ$5-18)/INDEX(Decrements!$G$6:$G$58,Census!$G6-17)*(INDEX(Decrements!$D$6:$D$58,Census!$G6+AJ$5-18)+IF(AJ$5=$B6,INDEX(Decrements!$F$6:$F$58,Census!$G6+AJ$5-18),0)+INDEX(Decrements!$E$6:$E$58,Census!$G6+AJ$5-18)*IF((Census!$F6+AJ$5)&gt;=Assumptions!$B$11,1,0))*MIN(15/26*Census!$D6*(1+Assumptions!$B$9)^AJ$5*(INT((Census!$F6+AJ$5))+IF((Census!$F6+AJ$5)-INT((Census!$F6+AJ$5))&gt;0.5,1,0)),Assumptions!$B$10))</f>
        <v>0</v>
      </c>
      <c r="AK6" s="30">
        <f>IF(AK$5&gt;$B6,0,INDEX(Decrements!$G$6:$G$58,Census!$G6+AK$5-18)/INDEX(Decrements!$G$6:$G$58,Census!$G6-17)*(INDEX(Decrements!$D$6:$D$58,Census!$G6+AK$5-18)+IF(AK$5=$B6,INDEX(Decrements!$F$6:$F$58,Census!$G6+AK$5-18),0)+INDEX(Decrements!$E$6:$E$58,Census!$G6+AK$5-18)*IF((Census!$F6+AK$5)&gt;=Assumptions!$B$11,1,0))*MIN(15/26*Census!$D6*(1+Assumptions!$B$9)^AK$5*(INT((Census!$F6+AK$5))+IF((Census!$F6+AK$5)-INT((Census!$F6+AK$5))&gt;0.5,1,0)),Assumptions!$B$10))</f>
        <v>0</v>
      </c>
      <c r="AL6" s="30">
        <f>IF(AL$5&gt;$B6,0,INDEX(Decrements!$G$6:$G$58,Census!$G6+AL$5-18)/INDEX(Decrements!$G$6:$G$58,Census!$G6-17)*(INDEX(Decrements!$D$6:$D$58,Census!$G6+AL$5-18)+IF(AL$5=$B6,INDEX(Decrements!$F$6:$F$58,Census!$G6+AL$5-18),0)+INDEX(Decrements!$E$6:$E$58,Census!$G6+AL$5-18)*IF((Census!$F6+AL$5)&gt;=Assumptions!$B$11,1,0))*MIN(15/26*Census!$D6*(1+Assumptions!$B$9)^AL$5*(INT((Census!$F6+AL$5))+IF((Census!$F6+AL$5)-INT((Census!$F6+AL$5))&gt;0.5,1,0)),Assumptions!$B$10))</f>
        <v>0</v>
      </c>
      <c r="AM6" s="30">
        <f>IF(AM$5&gt;$B6,0,INDEX(Decrements!$G$6:$G$58,Census!$G6+AM$5-18)/INDEX(Decrements!$G$6:$G$58,Census!$G6-17)*(INDEX(Decrements!$D$6:$D$58,Census!$G6+AM$5-18)+IF(AM$5=$B6,INDEX(Decrements!$F$6:$F$58,Census!$G6+AM$5-18),0)+INDEX(Decrements!$E$6:$E$58,Census!$G6+AM$5-18)*IF((Census!$F6+AM$5)&gt;=Assumptions!$B$11,1,0))*MIN(15/26*Census!$D6*(1+Assumptions!$B$9)^AM$5*(INT((Census!$F6+AM$5))+IF((Census!$F6+AM$5)-INT((Census!$F6+AM$5))&gt;0.5,1,0)),Assumptions!$B$10))</f>
        <v>0</v>
      </c>
      <c r="AN6" s="30">
        <f>IF(AN$5&gt;$B6,0,INDEX(Decrements!$G$6:$G$58,Census!$G6+AN$5-18)/INDEX(Decrements!$G$6:$G$58,Census!$G6-17)*(INDEX(Decrements!$D$6:$D$58,Census!$G6+AN$5-18)+IF(AN$5=$B6,INDEX(Decrements!$F$6:$F$58,Census!$G6+AN$5-18),0)+INDEX(Decrements!$E$6:$E$58,Census!$G6+AN$5-18)*IF((Census!$F6+AN$5)&gt;=Assumptions!$B$11,1,0))*MIN(15/26*Census!$D6*(1+Assumptions!$B$9)^AN$5*(INT((Census!$F6+AN$5))+IF((Census!$F6+AN$5)-INT((Census!$F6+AN$5))&gt;0.5,1,0)),Assumptions!$B$10))</f>
        <v>0</v>
      </c>
      <c r="AO6" s="30">
        <f>IF(AO$5&gt;$B6,0,INDEX(Decrements!$G$6:$G$58,Census!$G6+AO$5-18)/INDEX(Decrements!$G$6:$G$58,Census!$G6-17)*(INDEX(Decrements!$D$6:$D$58,Census!$G6+AO$5-18)+IF(AO$5=$B6,INDEX(Decrements!$F$6:$F$58,Census!$G6+AO$5-18),0)+INDEX(Decrements!$E$6:$E$58,Census!$G6+AO$5-18)*IF((Census!$F6+AO$5)&gt;=Assumptions!$B$11,1,0))*MIN(15/26*Census!$D6*(1+Assumptions!$B$9)^AO$5*(INT((Census!$F6+AO$5))+IF((Census!$F6+AO$5)-INT((Census!$F6+AO$5))&gt;0.5,1,0)),Assumptions!$B$10))</f>
        <v>0</v>
      </c>
      <c r="AP6" s="30">
        <f>IF(AP$5&gt;$B6,0,INDEX(Decrements!$G$6:$G$58,Census!$G6+AP$5-18)/INDEX(Decrements!$G$6:$G$58,Census!$G6-17)*(INDEX(Decrements!$D$6:$D$58,Census!$G6+AP$5-18)+IF(AP$5=$B6,INDEX(Decrements!$F$6:$F$58,Census!$G6+AP$5-18),0)+INDEX(Decrements!$E$6:$E$58,Census!$G6+AP$5-18)*IF((Census!$F6+AP$5)&gt;=Assumptions!$B$11,1,0))*MIN(15/26*Census!$D6*(1+Assumptions!$B$9)^AP$5*(INT((Census!$F6+AP$5))+IF((Census!$F6+AP$5)-INT((Census!$F6+AP$5))&gt;0.5,1,0)),Assumptions!$B$10))</f>
        <v>0</v>
      </c>
      <c r="AQ6" s="30">
        <f>IF(AQ$5&gt;$B6,0,INDEX(Decrements!$G$6:$G$58,Census!$G6+AQ$5-18)/INDEX(Decrements!$G$6:$G$58,Census!$G6-17)*(INDEX(Decrements!$D$6:$D$58,Census!$G6+AQ$5-18)+IF(AQ$5=$B6,INDEX(Decrements!$F$6:$F$58,Census!$G6+AQ$5-18),0)+INDEX(Decrements!$E$6:$E$58,Census!$G6+AQ$5-18)*IF((Census!$F6+AQ$5)&gt;=Assumptions!$B$11,1,0))*MIN(15/26*Census!$D6*(1+Assumptions!$B$9)^AQ$5*(INT((Census!$F6+AQ$5))+IF((Census!$F6+AQ$5)-INT((Census!$F6+AQ$5))&gt;0.5,1,0)),Assumptions!$B$10))</f>
        <v>0</v>
      </c>
      <c r="AR6" s="30">
        <f>IF(AR$5&gt;$B6,0,INDEX(Decrements!$G$6:$G$58,Census!$G6+AR$5-18)/INDEX(Decrements!$G$6:$G$58,Census!$G6-17)*(INDEX(Decrements!$D$6:$D$58,Census!$G6+AR$5-18)+IF(AR$5=$B6,INDEX(Decrements!$F$6:$F$58,Census!$G6+AR$5-18),0)+INDEX(Decrements!$E$6:$E$58,Census!$G6+AR$5-18)*IF((Census!$F6+AR$5)&gt;=Assumptions!$B$11,1,0))*MIN(15/26*Census!$D6*(1+Assumptions!$B$9)^AR$5*(INT((Census!$F6+AR$5))+IF((Census!$F6+AR$5)-INT((Census!$F6+AR$5))&gt;0.5,1,0)),Assumptions!$B$10))</f>
        <v>0</v>
      </c>
      <c r="AS6" s="30">
        <f>IF(AS$5&gt;$B6,0,INDEX(Decrements!$G$6:$G$58,Census!$G6+AS$5-18)/INDEX(Decrements!$G$6:$G$58,Census!$G6-17)*(INDEX(Decrements!$D$6:$D$58,Census!$G6+AS$5-18)+IF(AS$5=$B6,INDEX(Decrements!$F$6:$F$58,Census!$G6+AS$5-18),0)+INDEX(Decrements!$E$6:$E$58,Census!$G6+AS$5-18)*IF((Census!$F6+AS$5)&gt;=Assumptions!$B$11,1,0))*MIN(15/26*Census!$D6*(1+Assumptions!$B$9)^AS$5*(INT((Census!$F6+AS$5))+IF((Census!$F6+AS$5)-INT((Census!$F6+AS$5))&gt;0.5,1,0)),Assumptions!$B$10))</f>
        <v>0</v>
      </c>
      <c r="AT6" s="30">
        <f>IF(AT$5&gt;$B6,0,INDEX(Decrements!$G$6:$G$58,Census!$G6+AT$5-18)/INDEX(Decrements!$G$6:$G$58,Census!$G6-17)*(INDEX(Decrements!$D$6:$D$58,Census!$G6+AT$5-18)+IF(AT$5=$B6,INDEX(Decrements!$F$6:$F$58,Census!$G6+AT$5-18),0)+INDEX(Decrements!$E$6:$E$58,Census!$G6+AT$5-18)*IF((Census!$F6+AT$5)&gt;=Assumptions!$B$11,1,0))*MIN(15/26*Census!$D6*(1+Assumptions!$B$9)^AT$5*(INT((Census!$F6+AT$5))+IF((Census!$F6+AT$5)-INT((Census!$F6+AT$5))&gt;0.5,1,0)),Assumptions!$B$10))</f>
        <v>0</v>
      </c>
      <c r="AU6" s="30">
        <f>IF(AU$5&gt;$B6,0,INDEX(Decrements!$G$6:$G$58,Census!$G6+AU$5-18)/INDEX(Decrements!$G$6:$G$58,Census!$G6-17)*(INDEX(Decrements!$D$6:$D$58,Census!$G6+AU$5-18)+IF(AU$5=$B6,INDEX(Decrements!$F$6:$F$58,Census!$G6+AU$5-18),0)+INDEX(Decrements!$E$6:$E$58,Census!$G6+AU$5-18)*IF((Census!$F6+AU$5)&gt;=Assumptions!$B$11,1,0))*MIN(15/26*Census!$D6*(1+Assumptions!$B$9)^AU$5*(INT((Census!$F6+AU$5))+IF((Census!$F6+AU$5)-INT((Census!$F6+AU$5))&gt;0.5,1,0)),Assumptions!$B$10))</f>
        <v>0</v>
      </c>
    </row>
    <row r="7" spans="1:47" x14ac:dyDescent="0.3">
      <c r="A7" s="10" t="str">
        <f>Census!A7</f>
        <v>E002</v>
      </c>
      <c r="B7" s="29">
        <f>Census!H7</f>
        <v>27</v>
      </c>
      <c r="C7" s="30">
        <f>IF(C$5&gt;$B7,0,INDEX(Decrements!$G$6:$G$58,Census!$G7+C$5-18)/INDEX(Decrements!$G$6:$G$58,Census!$G7-17)*(INDEX(Decrements!$D$6:$D$58,Census!$G7+C$5-18)+IF(C$5=$B7,INDEX(Decrements!$F$6:$F$58,Census!$G7+C$5-18),0)+INDEX(Decrements!$E$6:$E$58,Census!$G7+C$5-18)*IF((Census!$F7+C$5)&gt;=Assumptions!$B$11,1,0))*MIN(15/26*Census!$D7*(1+Assumptions!$B$9)^C$5*(INT((Census!$F7+C$5))+IF((Census!$F7+C$5)-INT((Census!$F7+C$5))&gt;0.5,1,0)),Assumptions!$B$10))</f>
        <v>69.981804686319762</v>
      </c>
      <c r="D7" s="30">
        <f>IF(D$5&gt;$B7,0,INDEX(Decrements!$G$6:$G$58,Census!$G7+D$5-18)/INDEX(Decrements!$G$6:$G$58,Census!$G7-17)*(INDEX(Decrements!$D$6:$D$58,Census!$G7+D$5-18)+IF(D$5=$B7,INDEX(Decrements!$F$6:$F$58,Census!$G7+D$5-18),0)+INDEX(Decrements!$E$6:$E$58,Census!$G7+D$5-18)*IF((Census!$F7+D$5)&gt;=Assumptions!$B$11,1,0))*MIN(15/26*Census!$D7*(1+Assumptions!$B$9)^D$5*(INT((Census!$F7+D$5))+IF((Census!$F7+D$5)-INT((Census!$F7+D$5))&gt;0.5,1,0)),Assumptions!$B$10))</f>
        <v>88.620354868993516</v>
      </c>
      <c r="E7" s="30">
        <f>IF(E$5&gt;$B7,0,INDEX(Decrements!$G$6:$G$58,Census!$G7+E$5-18)/INDEX(Decrements!$G$6:$G$58,Census!$G7-17)*(INDEX(Decrements!$D$6:$D$58,Census!$G7+E$5-18)+IF(E$5=$B7,INDEX(Decrements!$F$6:$F$58,Census!$G7+E$5-18),0)+INDEX(Decrements!$E$6:$E$58,Census!$G7+E$5-18)*IF((Census!$F7+E$5)&gt;=Assumptions!$B$11,1,0))*MIN(15/26*Census!$D7*(1+Assumptions!$B$9)^E$5*(INT((Census!$F7+E$5))+IF((Census!$F7+E$5)-INT((Census!$F7+E$5))&gt;0.5,1,0)),Assumptions!$B$10))</f>
        <v>9344.9278340202363</v>
      </c>
      <c r="F7" s="30">
        <f>IF(F$5&gt;$B7,0,INDEX(Decrements!$G$6:$G$58,Census!$G7+F$5-18)/INDEX(Decrements!$G$6:$G$58,Census!$G7-17)*(INDEX(Decrements!$D$6:$D$58,Census!$G7+F$5-18)+IF(F$5=$B7,INDEX(Decrements!$F$6:$F$58,Census!$G7+F$5-18),0)+INDEX(Decrements!$E$6:$E$58,Census!$G7+F$5-18)*IF((Census!$F7+F$5)&gt;=Assumptions!$B$11,1,0))*MIN(15/26*Census!$D7*(1+Assumptions!$B$9)^F$5*(INT((Census!$F7+F$5))+IF((Census!$F7+F$5)-INT((Census!$F7+F$5))&gt;0.5,1,0)),Assumptions!$B$10))</f>
        <v>10829.173593524798</v>
      </c>
      <c r="G7" s="30">
        <f>IF(G$5&gt;$B7,0,INDEX(Decrements!$G$6:$G$58,Census!$G7+G$5-18)/INDEX(Decrements!$G$6:$G$58,Census!$G7-17)*(INDEX(Decrements!$D$6:$D$58,Census!$G7+G$5-18)+IF(G$5=$B7,INDEX(Decrements!$F$6:$F$58,Census!$G7+G$5-18),0)+INDEX(Decrements!$E$6:$E$58,Census!$G7+G$5-18)*IF((Census!$F7+G$5)&gt;=Assumptions!$B$11,1,0))*MIN(15/26*Census!$D7*(1+Assumptions!$B$9)^G$5*(INT((Census!$F7+G$5))+IF((Census!$F7+G$5)-INT((Census!$F7+G$5))&gt;0.5,1,0)),Assumptions!$B$10))</f>
        <v>12293.146662552359</v>
      </c>
      <c r="H7" s="30">
        <f>IF(H$5&gt;$B7,0,INDEX(Decrements!$G$6:$G$58,Census!$G7+H$5-18)/INDEX(Decrements!$G$6:$G$58,Census!$G7-17)*(INDEX(Decrements!$D$6:$D$58,Census!$G7+H$5-18)+IF(H$5=$B7,INDEX(Decrements!$F$6:$F$58,Census!$G7+H$5-18),0)+INDEX(Decrements!$E$6:$E$58,Census!$G7+H$5-18)*IF((Census!$F7+H$5)&gt;=Assumptions!$B$11,1,0))*MIN(15/26*Census!$D7*(1+Assumptions!$B$9)^H$5*(INT((Census!$F7+H$5))+IF((Census!$F7+H$5)-INT((Census!$F7+H$5))&gt;0.5,1,0)),Assumptions!$B$10))</f>
        <v>13737.094439073149</v>
      </c>
      <c r="I7" s="30">
        <f>IF(I$5&gt;$B7,0,INDEX(Decrements!$G$6:$G$58,Census!$G7+I$5-18)/INDEX(Decrements!$G$6:$G$58,Census!$G7-17)*(INDEX(Decrements!$D$6:$D$58,Census!$G7+I$5-18)+IF(I$5=$B7,INDEX(Decrements!$F$6:$F$58,Census!$G7+I$5-18),0)+INDEX(Decrements!$E$6:$E$58,Census!$G7+I$5-18)*IF((Census!$F7+I$5)&gt;=Assumptions!$B$11,1,0))*MIN(15/26*Census!$D7*(1+Assumptions!$B$9)^I$5*(INT((Census!$F7+I$5))+IF((Census!$F7+I$5)-INT((Census!$F7+I$5))&gt;0.5,1,0)),Assumptions!$B$10))</f>
        <v>15161.265723065135</v>
      </c>
      <c r="J7" s="30">
        <f>IF(J$5&gt;$B7,0,INDEX(Decrements!$G$6:$G$58,Census!$G7+J$5-18)/INDEX(Decrements!$G$6:$G$58,Census!$G7-17)*(INDEX(Decrements!$D$6:$D$58,Census!$G7+J$5-18)+IF(J$5=$B7,INDEX(Decrements!$F$6:$F$58,Census!$G7+J$5-18),0)+INDEX(Decrements!$E$6:$E$58,Census!$G7+J$5-18)*IF((Census!$F7+J$5)&gt;=Assumptions!$B$11,1,0))*MIN(15/26*Census!$D7*(1+Assumptions!$B$9)^J$5*(INT((Census!$F7+J$5))+IF((Census!$F7+J$5)-INT((Census!$F7+J$5))&gt;0.5,1,0)),Assumptions!$B$10))</f>
        <v>10456.833606212645</v>
      </c>
      <c r="K7" s="30">
        <f>IF(K$5&gt;$B7,0,INDEX(Decrements!$G$6:$G$58,Census!$G7+K$5-18)/INDEX(Decrements!$G$6:$G$58,Census!$G7-17)*(INDEX(Decrements!$D$6:$D$58,Census!$G7+K$5-18)+IF(K$5=$B7,INDEX(Decrements!$F$6:$F$58,Census!$G7+K$5-18),0)+INDEX(Decrements!$E$6:$E$58,Census!$G7+K$5-18)*IF((Census!$F7+K$5)&gt;=Assumptions!$B$11,1,0))*MIN(15/26*Census!$D7*(1+Assumptions!$B$9)^K$5*(INT((Census!$F7+K$5))+IF((Census!$F7+K$5)-INT((Census!$F7+K$5))&gt;0.5,1,0)),Assumptions!$B$10))</f>
        <v>11708.79756819855</v>
      </c>
      <c r="L7" s="30">
        <f>IF(L$5&gt;$B7,0,INDEX(Decrements!$G$6:$G$58,Census!$G7+L$5-18)/INDEX(Decrements!$G$6:$G$58,Census!$G7-17)*(INDEX(Decrements!$D$6:$D$58,Census!$G7+L$5-18)+IF(L$5=$B7,INDEX(Decrements!$F$6:$F$58,Census!$G7+L$5-18),0)+INDEX(Decrements!$E$6:$E$58,Census!$G7+L$5-18)*IF((Census!$F7+L$5)&gt;=Assumptions!$B$11,1,0))*MIN(15/26*Census!$D7*(1+Assumptions!$B$9)^L$5*(INT((Census!$F7+L$5))+IF((Census!$F7+L$5)-INT((Census!$F7+L$5))&gt;0.5,1,0)),Assumptions!$B$10))</f>
        <v>13020.609274089655</v>
      </c>
      <c r="M7" s="30">
        <f>IF(M$5&gt;$B7,0,INDEX(Decrements!$G$6:$G$58,Census!$G7+M$5-18)/INDEX(Decrements!$G$6:$G$58,Census!$G7-17)*(INDEX(Decrements!$D$6:$D$58,Census!$G7+M$5-18)+IF(M$5=$B7,INDEX(Decrements!$F$6:$F$58,Census!$G7+M$5-18),0)+INDEX(Decrements!$E$6:$E$58,Census!$G7+M$5-18)*IF((Census!$F7+M$5)&gt;=Assumptions!$B$11,1,0))*MIN(15/26*Census!$D7*(1+Assumptions!$B$9)^M$5*(INT((Census!$F7+M$5))+IF((Census!$F7+M$5)-INT((Census!$F7+M$5))&gt;0.5,1,0)),Assumptions!$B$10))</f>
        <v>14394.920111168241</v>
      </c>
      <c r="N7" s="30">
        <f>IF(N$5&gt;$B7,0,INDEX(Decrements!$G$6:$G$58,Census!$G7+N$5-18)/INDEX(Decrements!$G$6:$G$58,Census!$G7-17)*(INDEX(Decrements!$D$6:$D$58,Census!$G7+N$5-18)+IF(N$5=$B7,INDEX(Decrements!$F$6:$F$58,Census!$G7+N$5-18),0)+INDEX(Decrements!$E$6:$E$58,Census!$G7+N$5-18)*IF((Census!$F7+N$5)&gt;=Assumptions!$B$11,1,0))*MIN(15/26*Census!$D7*(1+Assumptions!$B$9)^N$5*(INT((Census!$F7+N$5))+IF((Census!$F7+N$5)-INT((Census!$F7+N$5))&gt;0.5,1,0)),Assumptions!$B$10))</f>
        <v>15834.536401726817</v>
      </c>
      <c r="O7" s="30">
        <f>IF(O$5&gt;$B7,0,INDEX(Decrements!$G$6:$G$58,Census!$G7+O$5-18)/INDEX(Decrements!$G$6:$G$58,Census!$G7-17)*(INDEX(Decrements!$D$6:$D$58,Census!$G7+O$5-18)+IF(O$5=$B7,INDEX(Decrements!$F$6:$F$58,Census!$G7+O$5-18),0)+INDEX(Decrements!$E$6:$E$58,Census!$G7+O$5-18)*IF((Census!$F7+O$5)&gt;=Assumptions!$B$11,1,0))*MIN(15/26*Census!$D7*(1+Assumptions!$B$9)^O$5*(INT((Census!$F7+O$5))+IF((Census!$F7+O$5)-INT((Census!$F7+O$5))&gt;0.5,1,0)),Assumptions!$B$10))</f>
        <v>10663.456042543265</v>
      </c>
      <c r="P7" s="30">
        <f>IF(P$5&gt;$B7,0,INDEX(Decrements!$G$6:$G$58,Census!$G7+P$5-18)/INDEX(Decrements!$G$6:$G$58,Census!$G7-17)*(INDEX(Decrements!$D$6:$D$58,Census!$G7+P$5-18)+IF(P$5=$B7,INDEX(Decrements!$F$6:$F$58,Census!$G7+P$5-18),0)+INDEX(Decrements!$E$6:$E$58,Census!$G7+P$5-18)*IF((Census!$F7+P$5)&gt;=Assumptions!$B$11,1,0))*MIN(15/26*Census!$D7*(1+Assumptions!$B$9)^P$5*(INT((Census!$F7+P$5))+IF((Census!$F7+P$5)-INT((Census!$F7+P$5))&gt;0.5,1,0)),Assumptions!$B$10))</f>
        <v>11901.384721892175</v>
      </c>
      <c r="Q7" s="30">
        <f>IF(Q$5&gt;$B7,0,INDEX(Decrements!$G$6:$G$58,Census!$G7+Q$5-18)/INDEX(Decrements!$G$6:$G$58,Census!$G7-17)*(INDEX(Decrements!$D$6:$D$58,Census!$G7+Q$5-18)+IF(Q$5=$B7,INDEX(Decrements!$F$6:$F$58,Census!$G7+Q$5-18),0)+INDEX(Decrements!$E$6:$E$58,Census!$G7+Q$5-18)*IF((Census!$F7+Q$5)&gt;=Assumptions!$B$11,1,0))*MIN(15/26*Census!$D7*(1+Assumptions!$B$9)^Q$5*(INT((Census!$F7+Q$5))+IF((Census!$F7+Q$5)-INT((Census!$F7+Q$5))&gt;0.5,1,0)),Assumptions!$B$10))</f>
        <v>13240.837427736309</v>
      </c>
      <c r="R7" s="30">
        <f>IF(R$5&gt;$B7,0,INDEX(Decrements!$G$6:$G$58,Census!$G7+R$5-18)/INDEX(Decrements!$G$6:$G$58,Census!$G7-17)*(INDEX(Decrements!$D$6:$D$58,Census!$G7+R$5-18)+IF(R$5=$B7,INDEX(Decrements!$F$6:$F$58,Census!$G7+R$5-18),0)+INDEX(Decrements!$E$6:$E$58,Census!$G7+R$5-18)*IF((Census!$F7+R$5)&gt;=Assumptions!$B$11,1,0))*MIN(15/26*Census!$D7*(1+Assumptions!$B$9)^R$5*(INT((Census!$F7+R$5))+IF((Census!$F7+R$5)-INT((Census!$F7+R$5))&gt;0.5,1,0)),Assumptions!$B$10))</f>
        <v>14690.105638774388</v>
      </c>
      <c r="S7" s="30">
        <f>IF(S$5&gt;$B7,0,INDEX(Decrements!$G$6:$G$58,Census!$G7+S$5-18)/INDEX(Decrements!$G$6:$G$58,Census!$G7-17)*(INDEX(Decrements!$D$6:$D$58,Census!$G7+S$5-18)+IF(S$5=$B7,INDEX(Decrements!$F$6:$F$58,Census!$G7+S$5-18),0)+INDEX(Decrements!$E$6:$E$58,Census!$G7+S$5-18)*IF((Census!$F7+S$5)&gt;=Assumptions!$B$11,1,0))*MIN(15/26*Census!$D7*(1+Assumptions!$B$9)^S$5*(INT((Census!$F7+S$5))+IF((Census!$F7+S$5)-INT((Census!$F7+S$5))&gt;0.5,1,0)),Assumptions!$B$10))</f>
        <v>16258.275259949745</v>
      </c>
      <c r="T7" s="30">
        <f>IF(T$5&gt;$B7,0,INDEX(Decrements!$G$6:$G$58,Census!$G7+T$5-18)/INDEX(Decrements!$G$6:$G$58,Census!$G7-17)*(INDEX(Decrements!$D$6:$D$58,Census!$G7+T$5-18)+IF(T$5=$B7,INDEX(Decrements!$F$6:$F$58,Census!$G7+T$5-18),0)+INDEX(Decrements!$E$6:$E$58,Census!$G7+T$5-18)*IF((Census!$F7+T$5)&gt;=Assumptions!$B$11,1,0))*MIN(15/26*Census!$D7*(1+Assumptions!$B$9)^T$5*(INT((Census!$F7+T$5))+IF((Census!$F7+T$5)-INT((Census!$F7+T$5))&gt;0.5,1,0)),Assumptions!$B$10))</f>
        <v>12492.369138244061</v>
      </c>
      <c r="U7" s="30">
        <f>IF(U$5&gt;$B7,0,INDEX(Decrements!$G$6:$G$58,Census!$G7+U$5-18)/INDEX(Decrements!$G$6:$G$58,Census!$G7-17)*(INDEX(Decrements!$D$6:$D$58,Census!$G7+U$5-18)+IF(U$5=$B7,INDEX(Decrements!$F$6:$F$58,Census!$G7+U$5-18),0)+INDEX(Decrements!$E$6:$E$58,Census!$G7+U$5-18)*IF((Census!$F7+U$5)&gt;=Assumptions!$B$11,1,0))*MIN(15/26*Census!$D7*(1+Assumptions!$B$9)^U$5*(INT((Census!$F7+U$5))+IF((Census!$F7+U$5)-INT((Census!$F7+U$5))&gt;0.5,1,0)),Assumptions!$B$10))</f>
        <v>13957.726141784744</v>
      </c>
      <c r="V7" s="30">
        <f>IF(V$5&gt;$B7,0,INDEX(Decrements!$G$6:$G$58,Census!$G7+V$5-18)/INDEX(Decrements!$G$6:$G$58,Census!$G7-17)*(INDEX(Decrements!$D$6:$D$58,Census!$G7+V$5-18)+IF(V$5=$B7,INDEX(Decrements!$F$6:$F$58,Census!$G7+V$5-18),0)+INDEX(Decrements!$E$6:$E$58,Census!$G7+V$5-18)*IF((Census!$F7+V$5)&gt;=Assumptions!$B$11,1,0))*MIN(15/26*Census!$D7*(1+Assumptions!$B$9)^V$5*(INT((Census!$F7+V$5))+IF((Census!$F7+V$5)-INT((Census!$F7+V$5))&gt;0.5,1,0)),Assumptions!$B$10))</f>
        <v>15032.932451691437</v>
      </c>
      <c r="W7" s="30">
        <f>IF(W$5&gt;$B7,0,INDEX(Decrements!$G$6:$G$58,Census!$G7+W$5-18)/INDEX(Decrements!$G$6:$G$58,Census!$G7-17)*(INDEX(Decrements!$D$6:$D$58,Census!$G7+W$5-18)+IF(W$5=$B7,INDEX(Decrements!$F$6:$F$58,Census!$G7+W$5-18),0)+INDEX(Decrements!$E$6:$E$58,Census!$G7+W$5-18)*IF((Census!$F7+W$5)&gt;=Assumptions!$B$11,1,0))*MIN(15/26*Census!$D7*(1+Assumptions!$B$9)^W$5*(INT((Census!$F7+W$5))+IF((Census!$F7+W$5)-INT((Census!$F7+W$5))&gt;0.5,1,0)),Assumptions!$B$10))</f>
        <v>14865.915799244571</v>
      </c>
      <c r="X7" s="30">
        <f>IF(X$5&gt;$B7,0,INDEX(Decrements!$G$6:$G$58,Census!$G7+X$5-18)/INDEX(Decrements!$G$6:$G$58,Census!$G7-17)*(INDEX(Decrements!$D$6:$D$58,Census!$G7+X$5-18)+IF(X$5=$B7,INDEX(Decrements!$F$6:$F$58,Census!$G7+X$5-18),0)+INDEX(Decrements!$E$6:$E$58,Census!$G7+X$5-18)*IF((Census!$F7+X$5)&gt;=Assumptions!$B$11,1,0))*MIN(15/26*Census!$D7*(1+Assumptions!$B$9)^X$5*(INT((Census!$F7+X$5))+IF((Census!$F7+X$5)-INT((Census!$F7+X$5))&gt;0.5,1,0)),Assumptions!$B$10))</f>
        <v>14711.979628656447</v>
      </c>
      <c r="Y7" s="30">
        <f>IF(Y$5&gt;$B7,0,INDEX(Decrements!$G$6:$G$58,Census!$G7+Y$5-18)/INDEX(Decrements!$G$6:$G$58,Census!$G7-17)*(INDEX(Decrements!$D$6:$D$58,Census!$G7+Y$5-18)+IF(Y$5=$B7,INDEX(Decrements!$F$6:$F$58,Census!$G7+Y$5-18),0)+INDEX(Decrements!$E$6:$E$58,Census!$G7+Y$5-18)*IF((Census!$F7+Y$5)&gt;=Assumptions!$B$11,1,0))*MIN(15/26*Census!$D7*(1+Assumptions!$B$9)^Y$5*(INT((Census!$F7+Y$5))+IF((Census!$F7+Y$5)-INT((Census!$F7+Y$5))&gt;0.5,1,0)),Assumptions!$B$10))</f>
        <v>8593.8298545053258</v>
      </c>
      <c r="Z7" s="30">
        <f>IF(Z$5&gt;$B7,0,INDEX(Decrements!$G$6:$G$58,Census!$G7+Z$5-18)/INDEX(Decrements!$G$6:$G$58,Census!$G7-17)*(INDEX(Decrements!$D$6:$D$58,Census!$G7+Z$5-18)+IF(Z$5=$B7,INDEX(Decrements!$F$6:$F$58,Census!$G7+Z$5-18),0)+INDEX(Decrements!$E$6:$E$58,Census!$G7+Z$5-18)*IF((Census!$F7+Z$5)&gt;=Assumptions!$B$11,1,0))*MIN(15/26*Census!$D7*(1+Assumptions!$B$9)^Z$5*(INT((Census!$F7+Z$5))+IF((Census!$F7+Z$5)-INT((Census!$F7+Z$5))&gt;0.5,1,0)),Assumptions!$B$10))</f>
        <v>8702.1832487367501</v>
      </c>
      <c r="AA7" s="30">
        <f>IF(AA$5&gt;$B7,0,INDEX(Decrements!$G$6:$G$58,Census!$G7+AA$5-18)/INDEX(Decrements!$G$6:$G$58,Census!$G7-17)*(INDEX(Decrements!$D$6:$D$58,Census!$G7+AA$5-18)+IF(AA$5=$B7,INDEX(Decrements!$F$6:$F$58,Census!$G7+AA$5-18),0)+INDEX(Decrements!$E$6:$E$58,Census!$G7+AA$5-18)*IF((Census!$F7+AA$5)&gt;=Assumptions!$B$11,1,0))*MIN(15/26*Census!$D7*(1+Assumptions!$B$9)^AA$5*(INT((Census!$F7+AA$5))+IF((Census!$F7+AA$5)-INT((Census!$F7+AA$5))&gt;0.5,1,0)),Assumptions!$B$10))</f>
        <v>8824.8731192577143</v>
      </c>
      <c r="AB7" s="30">
        <f>IF(AB$5&gt;$B7,0,INDEX(Decrements!$G$6:$G$58,Census!$G7+AB$5-18)/INDEX(Decrements!$G$6:$G$58,Census!$G7-17)*(INDEX(Decrements!$D$6:$D$58,Census!$G7+AB$5-18)+IF(AB$5=$B7,INDEX(Decrements!$F$6:$F$58,Census!$G7+AB$5-18),0)+INDEX(Decrements!$E$6:$E$58,Census!$G7+AB$5-18)*IF((Census!$F7+AB$5)&gt;=Assumptions!$B$11,1,0))*MIN(15/26*Census!$D7*(1+Assumptions!$B$9)^AB$5*(INT((Census!$F7+AB$5))+IF((Census!$F7+AB$5)-INT((Census!$F7+AB$5))&gt;0.5,1,0)),Assumptions!$B$10))</f>
        <v>8962.7333297399946</v>
      </c>
      <c r="AC7" s="30">
        <f>IF(AC$5&gt;$B7,0,INDEX(Decrements!$G$6:$G$58,Census!$G7+AC$5-18)/INDEX(Decrements!$G$6:$G$58,Census!$G7-17)*(INDEX(Decrements!$D$6:$D$58,Census!$G7+AC$5-18)+IF(AC$5=$B7,INDEX(Decrements!$F$6:$F$58,Census!$G7+AC$5-18),0)+INDEX(Decrements!$E$6:$E$58,Census!$G7+AC$5-18)*IF((Census!$F7+AC$5)&gt;=Assumptions!$B$11,1,0))*MIN(15/26*Census!$D7*(1+Assumptions!$B$9)^AC$5*(INT((Census!$F7+AC$5))+IF((Census!$F7+AC$5)-INT((Census!$F7+AC$5))&gt;0.5,1,0)),Assumptions!$B$10))</f>
        <v>565289.86612470855</v>
      </c>
      <c r="AD7" s="30">
        <f>IF(AD$5&gt;$B7,0,INDEX(Decrements!$G$6:$G$58,Census!$G7+AD$5-18)/INDEX(Decrements!$G$6:$G$58,Census!$G7-17)*(INDEX(Decrements!$D$6:$D$58,Census!$G7+AD$5-18)+IF(AD$5=$B7,INDEX(Decrements!$F$6:$F$58,Census!$G7+AD$5-18),0)+INDEX(Decrements!$E$6:$E$58,Census!$G7+AD$5-18)*IF((Census!$F7+AD$5)&gt;=Assumptions!$B$11,1,0))*MIN(15/26*Census!$D7*(1+Assumptions!$B$9)^AD$5*(INT((Census!$F7+AD$5))+IF((Census!$F7+AD$5)-INT((Census!$F7+AD$5))&gt;0.5,1,0)),Assumptions!$B$10))</f>
        <v>0</v>
      </c>
      <c r="AE7" s="30">
        <f>IF(AE$5&gt;$B7,0,INDEX(Decrements!$G$6:$G$58,Census!$G7+AE$5-18)/INDEX(Decrements!$G$6:$G$58,Census!$G7-17)*(INDEX(Decrements!$D$6:$D$58,Census!$G7+AE$5-18)+IF(AE$5=$B7,INDEX(Decrements!$F$6:$F$58,Census!$G7+AE$5-18),0)+INDEX(Decrements!$E$6:$E$58,Census!$G7+AE$5-18)*IF((Census!$F7+AE$5)&gt;=Assumptions!$B$11,1,0))*MIN(15/26*Census!$D7*(1+Assumptions!$B$9)^AE$5*(INT((Census!$F7+AE$5))+IF((Census!$F7+AE$5)-INT((Census!$F7+AE$5))&gt;0.5,1,0)),Assumptions!$B$10))</f>
        <v>0</v>
      </c>
      <c r="AF7" s="30">
        <f>IF(AF$5&gt;$B7,0,INDEX(Decrements!$G$6:$G$58,Census!$G7+AF$5-18)/INDEX(Decrements!$G$6:$G$58,Census!$G7-17)*(INDEX(Decrements!$D$6:$D$58,Census!$G7+AF$5-18)+IF(AF$5=$B7,INDEX(Decrements!$F$6:$F$58,Census!$G7+AF$5-18),0)+INDEX(Decrements!$E$6:$E$58,Census!$G7+AF$5-18)*IF((Census!$F7+AF$5)&gt;=Assumptions!$B$11,1,0))*MIN(15/26*Census!$D7*(1+Assumptions!$B$9)^AF$5*(INT((Census!$F7+AF$5))+IF((Census!$F7+AF$5)-INT((Census!$F7+AF$5))&gt;0.5,1,0)),Assumptions!$B$10))</f>
        <v>0</v>
      </c>
      <c r="AG7" s="30">
        <f>IF(AG$5&gt;$B7,0,INDEX(Decrements!$G$6:$G$58,Census!$G7+AG$5-18)/INDEX(Decrements!$G$6:$G$58,Census!$G7-17)*(INDEX(Decrements!$D$6:$D$58,Census!$G7+AG$5-18)+IF(AG$5=$B7,INDEX(Decrements!$F$6:$F$58,Census!$G7+AG$5-18),0)+INDEX(Decrements!$E$6:$E$58,Census!$G7+AG$5-18)*IF((Census!$F7+AG$5)&gt;=Assumptions!$B$11,1,0))*MIN(15/26*Census!$D7*(1+Assumptions!$B$9)^AG$5*(INT((Census!$F7+AG$5))+IF((Census!$F7+AG$5)-INT((Census!$F7+AG$5))&gt;0.5,1,0)),Assumptions!$B$10))</f>
        <v>0</v>
      </c>
      <c r="AH7" s="30">
        <f>IF(AH$5&gt;$B7,0,INDEX(Decrements!$G$6:$G$58,Census!$G7+AH$5-18)/INDEX(Decrements!$G$6:$G$58,Census!$G7-17)*(INDEX(Decrements!$D$6:$D$58,Census!$G7+AH$5-18)+IF(AH$5=$B7,INDEX(Decrements!$F$6:$F$58,Census!$G7+AH$5-18),0)+INDEX(Decrements!$E$6:$E$58,Census!$G7+AH$5-18)*IF((Census!$F7+AH$5)&gt;=Assumptions!$B$11,1,0))*MIN(15/26*Census!$D7*(1+Assumptions!$B$9)^AH$5*(INT((Census!$F7+AH$5))+IF((Census!$F7+AH$5)-INT((Census!$F7+AH$5))&gt;0.5,1,0)),Assumptions!$B$10))</f>
        <v>0</v>
      </c>
      <c r="AI7" s="30">
        <f>IF(AI$5&gt;$B7,0,INDEX(Decrements!$G$6:$G$58,Census!$G7+AI$5-18)/INDEX(Decrements!$G$6:$G$58,Census!$G7-17)*(INDEX(Decrements!$D$6:$D$58,Census!$G7+AI$5-18)+IF(AI$5=$B7,INDEX(Decrements!$F$6:$F$58,Census!$G7+AI$5-18),0)+INDEX(Decrements!$E$6:$E$58,Census!$G7+AI$5-18)*IF((Census!$F7+AI$5)&gt;=Assumptions!$B$11,1,0))*MIN(15/26*Census!$D7*(1+Assumptions!$B$9)^AI$5*(INT((Census!$F7+AI$5))+IF((Census!$F7+AI$5)-INT((Census!$F7+AI$5))&gt;0.5,1,0)),Assumptions!$B$10))</f>
        <v>0</v>
      </c>
      <c r="AJ7" s="30">
        <f>IF(AJ$5&gt;$B7,0,INDEX(Decrements!$G$6:$G$58,Census!$G7+AJ$5-18)/INDEX(Decrements!$G$6:$G$58,Census!$G7-17)*(INDEX(Decrements!$D$6:$D$58,Census!$G7+AJ$5-18)+IF(AJ$5=$B7,INDEX(Decrements!$F$6:$F$58,Census!$G7+AJ$5-18),0)+INDEX(Decrements!$E$6:$E$58,Census!$G7+AJ$5-18)*IF((Census!$F7+AJ$5)&gt;=Assumptions!$B$11,1,0))*MIN(15/26*Census!$D7*(1+Assumptions!$B$9)^AJ$5*(INT((Census!$F7+AJ$5))+IF((Census!$F7+AJ$5)-INT((Census!$F7+AJ$5))&gt;0.5,1,0)),Assumptions!$B$10))</f>
        <v>0</v>
      </c>
      <c r="AK7" s="30">
        <f>IF(AK$5&gt;$B7,0,INDEX(Decrements!$G$6:$G$58,Census!$G7+AK$5-18)/INDEX(Decrements!$G$6:$G$58,Census!$G7-17)*(INDEX(Decrements!$D$6:$D$58,Census!$G7+AK$5-18)+IF(AK$5=$B7,INDEX(Decrements!$F$6:$F$58,Census!$G7+AK$5-18),0)+INDEX(Decrements!$E$6:$E$58,Census!$G7+AK$5-18)*IF((Census!$F7+AK$5)&gt;=Assumptions!$B$11,1,0))*MIN(15/26*Census!$D7*(1+Assumptions!$B$9)^AK$5*(INT((Census!$F7+AK$5))+IF((Census!$F7+AK$5)-INT((Census!$F7+AK$5))&gt;0.5,1,0)),Assumptions!$B$10))</f>
        <v>0</v>
      </c>
      <c r="AL7" s="30">
        <f>IF(AL$5&gt;$B7,0,INDEX(Decrements!$G$6:$G$58,Census!$G7+AL$5-18)/INDEX(Decrements!$G$6:$G$58,Census!$G7-17)*(INDEX(Decrements!$D$6:$D$58,Census!$G7+AL$5-18)+IF(AL$5=$B7,INDEX(Decrements!$F$6:$F$58,Census!$G7+AL$5-18),0)+INDEX(Decrements!$E$6:$E$58,Census!$G7+AL$5-18)*IF((Census!$F7+AL$5)&gt;=Assumptions!$B$11,1,0))*MIN(15/26*Census!$D7*(1+Assumptions!$B$9)^AL$5*(INT((Census!$F7+AL$5))+IF((Census!$F7+AL$5)-INT((Census!$F7+AL$5))&gt;0.5,1,0)),Assumptions!$B$10))</f>
        <v>0</v>
      </c>
      <c r="AM7" s="30">
        <f>IF(AM$5&gt;$B7,0,INDEX(Decrements!$G$6:$G$58,Census!$G7+AM$5-18)/INDEX(Decrements!$G$6:$G$58,Census!$G7-17)*(INDEX(Decrements!$D$6:$D$58,Census!$G7+AM$5-18)+IF(AM$5=$B7,INDEX(Decrements!$F$6:$F$58,Census!$G7+AM$5-18),0)+INDEX(Decrements!$E$6:$E$58,Census!$G7+AM$5-18)*IF((Census!$F7+AM$5)&gt;=Assumptions!$B$11,1,0))*MIN(15/26*Census!$D7*(1+Assumptions!$B$9)^AM$5*(INT((Census!$F7+AM$5))+IF((Census!$F7+AM$5)-INT((Census!$F7+AM$5))&gt;0.5,1,0)),Assumptions!$B$10))</f>
        <v>0</v>
      </c>
      <c r="AN7" s="30">
        <f>IF(AN$5&gt;$B7,0,INDEX(Decrements!$G$6:$G$58,Census!$G7+AN$5-18)/INDEX(Decrements!$G$6:$G$58,Census!$G7-17)*(INDEX(Decrements!$D$6:$D$58,Census!$G7+AN$5-18)+IF(AN$5=$B7,INDEX(Decrements!$F$6:$F$58,Census!$G7+AN$5-18),0)+INDEX(Decrements!$E$6:$E$58,Census!$G7+AN$5-18)*IF((Census!$F7+AN$5)&gt;=Assumptions!$B$11,1,0))*MIN(15/26*Census!$D7*(1+Assumptions!$B$9)^AN$5*(INT((Census!$F7+AN$5))+IF((Census!$F7+AN$5)-INT((Census!$F7+AN$5))&gt;0.5,1,0)),Assumptions!$B$10))</f>
        <v>0</v>
      </c>
      <c r="AO7" s="30">
        <f>IF(AO$5&gt;$B7,0,INDEX(Decrements!$G$6:$G$58,Census!$G7+AO$5-18)/INDEX(Decrements!$G$6:$G$58,Census!$G7-17)*(INDEX(Decrements!$D$6:$D$58,Census!$G7+AO$5-18)+IF(AO$5=$B7,INDEX(Decrements!$F$6:$F$58,Census!$G7+AO$5-18),0)+INDEX(Decrements!$E$6:$E$58,Census!$G7+AO$5-18)*IF((Census!$F7+AO$5)&gt;=Assumptions!$B$11,1,0))*MIN(15/26*Census!$D7*(1+Assumptions!$B$9)^AO$5*(INT((Census!$F7+AO$5))+IF((Census!$F7+AO$5)-INT((Census!$F7+AO$5))&gt;0.5,1,0)),Assumptions!$B$10))</f>
        <v>0</v>
      </c>
      <c r="AP7" s="30">
        <f>IF(AP$5&gt;$B7,0,INDEX(Decrements!$G$6:$G$58,Census!$G7+AP$5-18)/INDEX(Decrements!$G$6:$G$58,Census!$G7-17)*(INDEX(Decrements!$D$6:$D$58,Census!$G7+AP$5-18)+IF(AP$5=$B7,INDEX(Decrements!$F$6:$F$58,Census!$G7+AP$5-18),0)+INDEX(Decrements!$E$6:$E$58,Census!$G7+AP$5-18)*IF((Census!$F7+AP$5)&gt;=Assumptions!$B$11,1,0))*MIN(15/26*Census!$D7*(1+Assumptions!$B$9)^AP$5*(INT((Census!$F7+AP$5))+IF((Census!$F7+AP$5)-INT((Census!$F7+AP$5))&gt;0.5,1,0)),Assumptions!$B$10))</f>
        <v>0</v>
      </c>
      <c r="AQ7" s="30">
        <f>IF(AQ$5&gt;$B7,0,INDEX(Decrements!$G$6:$G$58,Census!$G7+AQ$5-18)/INDEX(Decrements!$G$6:$G$58,Census!$G7-17)*(INDEX(Decrements!$D$6:$D$58,Census!$G7+AQ$5-18)+IF(AQ$5=$B7,INDEX(Decrements!$F$6:$F$58,Census!$G7+AQ$5-18),0)+INDEX(Decrements!$E$6:$E$58,Census!$G7+AQ$5-18)*IF((Census!$F7+AQ$5)&gt;=Assumptions!$B$11,1,0))*MIN(15/26*Census!$D7*(1+Assumptions!$B$9)^AQ$5*(INT((Census!$F7+AQ$5))+IF((Census!$F7+AQ$5)-INT((Census!$F7+AQ$5))&gt;0.5,1,0)),Assumptions!$B$10))</f>
        <v>0</v>
      </c>
      <c r="AR7" s="30">
        <f>IF(AR$5&gt;$B7,0,INDEX(Decrements!$G$6:$G$58,Census!$G7+AR$5-18)/INDEX(Decrements!$G$6:$G$58,Census!$G7-17)*(INDEX(Decrements!$D$6:$D$58,Census!$G7+AR$5-18)+IF(AR$5=$B7,INDEX(Decrements!$F$6:$F$58,Census!$G7+AR$5-18),0)+INDEX(Decrements!$E$6:$E$58,Census!$G7+AR$5-18)*IF((Census!$F7+AR$5)&gt;=Assumptions!$B$11,1,0))*MIN(15/26*Census!$D7*(1+Assumptions!$B$9)^AR$5*(INT((Census!$F7+AR$5))+IF((Census!$F7+AR$5)-INT((Census!$F7+AR$5))&gt;0.5,1,0)),Assumptions!$B$10))</f>
        <v>0</v>
      </c>
      <c r="AS7" s="30">
        <f>IF(AS$5&gt;$B7,0,INDEX(Decrements!$G$6:$G$58,Census!$G7+AS$5-18)/INDEX(Decrements!$G$6:$G$58,Census!$G7-17)*(INDEX(Decrements!$D$6:$D$58,Census!$G7+AS$5-18)+IF(AS$5=$B7,INDEX(Decrements!$F$6:$F$58,Census!$G7+AS$5-18),0)+INDEX(Decrements!$E$6:$E$58,Census!$G7+AS$5-18)*IF((Census!$F7+AS$5)&gt;=Assumptions!$B$11,1,0))*MIN(15/26*Census!$D7*(1+Assumptions!$B$9)^AS$5*(INT((Census!$F7+AS$5))+IF((Census!$F7+AS$5)-INT((Census!$F7+AS$5))&gt;0.5,1,0)),Assumptions!$B$10))</f>
        <v>0</v>
      </c>
      <c r="AT7" s="30">
        <f>IF(AT$5&gt;$B7,0,INDEX(Decrements!$G$6:$G$58,Census!$G7+AT$5-18)/INDEX(Decrements!$G$6:$G$58,Census!$G7-17)*(INDEX(Decrements!$D$6:$D$58,Census!$G7+AT$5-18)+IF(AT$5=$B7,INDEX(Decrements!$F$6:$F$58,Census!$G7+AT$5-18),0)+INDEX(Decrements!$E$6:$E$58,Census!$G7+AT$5-18)*IF((Census!$F7+AT$5)&gt;=Assumptions!$B$11,1,0))*MIN(15/26*Census!$D7*(1+Assumptions!$B$9)^AT$5*(INT((Census!$F7+AT$5))+IF((Census!$F7+AT$5)-INT((Census!$F7+AT$5))&gt;0.5,1,0)),Assumptions!$B$10))</f>
        <v>0</v>
      </c>
      <c r="AU7" s="30">
        <f>IF(AU$5&gt;$B7,0,INDEX(Decrements!$G$6:$G$58,Census!$G7+AU$5-18)/INDEX(Decrements!$G$6:$G$58,Census!$G7-17)*(INDEX(Decrements!$D$6:$D$58,Census!$G7+AU$5-18)+IF(AU$5=$B7,INDEX(Decrements!$F$6:$F$58,Census!$G7+AU$5-18),0)+INDEX(Decrements!$E$6:$E$58,Census!$G7+AU$5-18)*IF((Census!$F7+AU$5)&gt;=Assumptions!$B$11,1,0))*MIN(15/26*Census!$D7*(1+Assumptions!$B$9)^AU$5*(INT((Census!$F7+AU$5))+IF((Census!$F7+AU$5)-INT((Census!$F7+AU$5))&gt;0.5,1,0)),Assumptions!$B$10))</f>
        <v>0</v>
      </c>
    </row>
    <row r="8" spans="1:47" x14ac:dyDescent="0.3">
      <c r="A8" s="10" t="str">
        <f>Census!A8</f>
        <v>E003</v>
      </c>
      <c r="B8" s="29">
        <f>Census!H8</f>
        <v>21</v>
      </c>
      <c r="C8" s="30">
        <f>IF(C$5&gt;$B8,0,INDEX(Decrements!$G$6:$G$58,Census!$G8+C$5-18)/INDEX(Decrements!$G$6:$G$58,Census!$G8-17)*(INDEX(Decrements!$D$6:$D$58,Census!$G8+C$5-18)+IF(C$5=$B8,INDEX(Decrements!$F$6:$F$58,Census!$G8+C$5-18),0)+INDEX(Decrements!$E$6:$E$58,Census!$G8+C$5-18)*IF((Census!$F8+C$5)&gt;=Assumptions!$B$11,1,0))*MIN(15/26*Census!$D8*(1+Assumptions!$B$9)^C$5*(INT((Census!$F8+C$5))+IF((Census!$F8+C$5)-INT((Census!$F8+C$5))&gt;0.5,1,0)),Assumptions!$B$10))</f>
        <v>75399.733979799246</v>
      </c>
      <c r="D8" s="30">
        <f>IF(D$5&gt;$B8,0,INDEX(Decrements!$G$6:$G$58,Census!$G8+D$5-18)/INDEX(Decrements!$G$6:$G$58,Census!$G8-17)*(INDEX(Decrements!$D$6:$D$58,Census!$G8+D$5-18)+IF(D$5=$B8,INDEX(Decrements!$F$6:$F$58,Census!$G8+D$5-18),0)+INDEX(Decrements!$E$6:$E$58,Census!$G8+D$5-18)*IF((Census!$F8+D$5)&gt;=Assumptions!$B$11,1,0))*MIN(15/26*Census!$D8*(1+Assumptions!$B$9)^D$5*(INT((Census!$F8+D$5))+IF((Census!$F8+D$5)-INT((Census!$F8+D$5))&gt;0.5,1,0)),Assumptions!$B$10))</f>
        <v>50427.865985468663</v>
      </c>
      <c r="E8" s="30">
        <f>IF(E$5&gt;$B8,0,INDEX(Decrements!$G$6:$G$58,Census!$G8+E$5-18)/INDEX(Decrements!$G$6:$G$58,Census!$G8-17)*(INDEX(Decrements!$D$6:$D$58,Census!$G8+E$5-18)+IF(E$5=$B8,INDEX(Decrements!$F$6:$F$58,Census!$G8+E$5-18),0)+INDEX(Decrements!$E$6:$E$58,Census!$G8+E$5-18)*IF((Census!$F8+E$5)&gt;=Assumptions!$B$11,1,0))*MIN(15/26*Census!$D8*(1+Assumptions!$B$9)^E$5*(INT((Census!$F8+E$5))+IF((Census!$F8+E$5)-INT((Census!$F8+E$5))&gt;0.5,1,0)),Assumptions!$B$10))</f>
        <v>54994.982483850072</v>
      </c>
      <c r="F8" s="30">
        <f>IF(F$5&gt;$B8,0,INDEX(Decrements!$G$6:$G$58,Census!$G8+F$5-18)/INDEX(Decrements!$G$6:$G$58,Census!$G8-17)*(INDEX(Decrements!$D$6:$D$58,Census!$G8+F$5-18)+IF(F$5=$B8,INDEX(Decrements!$F$6:$F$58,Census!$G8+F$5-18),0)+INDEX(Decrements!$E$6:$E$58,Census!$G8+F$5-18)*IF((Census!$F8+F$5)&gt;=Assumptions!$B$11,1,0))*MIN(15/26*Census!$D8*(1+Assumptions!$B$9)^F$5*(INT((Census!$F8+F$5))+IF((Census!$F8+F$5)-INT((Census!$F8+F$5))&gt;0.5,1,0)),Assumptions!$B$10))</f>
        <v>59772.793691941552</v>
      </c>
      <c r="G8" s="30">
        <f>IF(G$5&gt;$B8,0,INDEX(Decrements!$G$6:$G$58,Census!$G8+G$5-18)/INDEX(Decrements!$G$6:$G$58,Census!$G8-17)*(INDEX(Decrements!$D$6:$D$58,Census!$G8+G$5-18)+IF(G$5=$B8,INDEX(Decrements!$F$6:$F$58,Census!$G8+G$5-18),0)+INDEX(Decrements!$E$6:$E$58,Census!$G8+G$5-18)*IF((Census!$F8+G$5)&gt;=Assumptions!$B$11,1,0))*MIN(15/26*Census!$D8*(1+Assumptions!$B$9)^G$5*(INT((Census!$F8+G$5))+IF((Census!$F8+G$5)-INT((Census!$F8+G$5))&gt;0.5,1,0)),Assumptions!$B$10))</f>
        <v>64770.599884790347</v>
      </c>
      <c r="H8" s="30">
        <f>IF(H$5&gt;$B8,0,INDEX(Decrements!$G$6:$G$58,Census!$G8+H$5-18)/INDEX(Decrements!$G$6:$G$58,Census!$G8-17)*(INDEX(Decrements!$D$6:$D$58,Census!$G8+H$5-18)+IF(H$5=$B8,INDEX(Decrements!$F$6:$F$58,Census!$G8+H$5-18),0)+INDEX(Decrements!$E$6:$E$58,Census!$G8+H$5-18)*IF((Census!$F8+H$5)&gt;=Assumptions!$B$11,1,0))*MIN(15/26*Census!$D8*(1+Assumptions!$B$9)^H$5*(INT((Census!$F8+H$5))+IF((Census!$F8+H$5)-INT((Census!$F8+H$5))&gt;0.5,1,0)),Assumptions!$B$10))</f>
        <v>69998.250318599166</v>
      </c>
      <c r="I8" s="30">
        <f>IF(I$5&gt;$B8,0,INDEX(Decrements!$G$6:$G$58,Census!$G8+I$5-18)/INDEX(Decrements!$G$6:$G$58,Census!$G8-17)*(INDEX(Decrements!$D$6:$D$58,Census!$G8+I$5-18)+IF(I$5=$B8,INDEX(Decrements!$F$6:$F$58,Census!$G8+I$5-18),0)+INDEX(Decrements!$E$6:$E$58,Census!$G8+I$5-18)*IF((Census!$F8+I$5)&gt;=Assumptions!$B$11,1,0))*MIN(15/26*Census!$D8*(1+Assumptions!$B$9)^I$5*(INT((Census!$F8+I$5))+IF((Census!$F8+I$5)-INT((Census!$F8+I$5))&gt;0.5,1,0)),Assumptions!$B$10))</f>
        <v>44965.611848991022</v>
      </c>
      <c r="J8" s="30">
        <f>IF(J$5&gt;$B8,0,INDEX(Decrements!$G$6:$G$58,Census!$G8+J$5-18)/INDEX(Decrements!$G$6:$G$58,Census!$G8-17)*(INDEX(Decrements!$D$6:$D$58,Census!$G8+J$5-18)+IF(J$5=$B8,INDEX(Decrements!$F$6:$F$58,Census!$G8+J$5-18),0)+INDEX(Decrements!$E$6:$E$58,Census!$G8+J$5-18)*IF((Census!$F8+J$5)&gt;=Assumptions!$B$11,1,0))*MIN(15/26*Census!$D8*(1+Assumptions!$B$9)^J$5*(INT((Census!$F8+J$5))+IF((Census!$F8+J$5)-INT((Census!$F8+J$5))&gt;0.5,1,0)),Assumptions!$B$10))</f>
        <v>43734.818080164652</v>
      </c>
      <c r="K8" s="30">
        <f>IF(K$5&gt;$B8,0,INDEX(Decrements!$G$6:$G$58,Census!$G8+K$5-18)/INDEX(Decrements!$G$6:$G$58,Census!$G8-17)*(INDEX(Decrements!$D$6:$D$58,Census!$G8+K$5-18)+IF(K$5=$B8,INDEX(Decrements!$F$6:$F$58,Census!$G8+K$5-18),0)+INDEX(Decrements!$E$6:$E$58,Census!$G8+K$5-18)*IF((Census!$F8+K$5)&gt;=Assumptions!$B$11,1,0))*MIN(15/26*Census!$D8*(1+Assumptions!$B$9)^K$5*(INT((Census!$F8+K$5))+IF((Census!$F8+K$5)-INT((Census!$F8+K$5))&gt;0.5,1,0)),Assumptions!$B$10))</f>
        <v>42549.841249631761</v>
      </c>
      <c r="L8" s="30">
        <f>IF(L$5&gt;$B8,0,INDEX(Decrements!$G$6:$G$58,Census!$G8+L$5-18)/INDEX(Decrements!$G$6:$G$58,Census!$G8-17)*(INDEX(Decrements!$D$6:$D$58,Census!$G8+L$5-18)+IF(L$5=$B8,INDEX(Decrements!$F$6:$F$58,Census!$G8+L$5-18),0)+INDEX(Decrements!$E$6:$E$58,Census!$G8+L$5-18)*IF((Census!$F8+L$5)&gt;=Assumptions!$B$11,1,0))*MIN(15/26*Census!$D8*(1+Assumptions!$B$9)^L$5*(INT((Census!$F8+L$5))+IF((Census!$F8+L$5)-INT((Census!$F8+L$5))&gt;0.5,1,0)),Assumptions!$B$10))</f>
        <v>41409.745211698319</v>
      </c>
      <c r="M8" s="30">
        <f>IF(M$5&gt;$B8,0,INDEX(Decrements!$G$6:$G$58,Census!$G8+M$5-18)/INDEX(Decrements!$G$6:$G$58,Census!$G8-17)*(INDEX(Decrements!$D$6:$D$58,Census!$G8+M$5-18)+IF(M$5=$B8,INDEX(Decrements!$F$6:$F$58,Census!$G8+M$5-18),0)+INDEX(Decrements!$E$6:$E$58,Census!$G8+M$5-18)*IF((Census!$F8+M$5)&gt;=Assumptions!$B$11,1,0))*MIN(15/26*Census!$D8*(1+Assumptions!$B$9)^M$5*(INT((Census!$F8+M$5))+IF((Census!$F8+M$5)-INT((Census!$F8+M$5))&gt;0.5,1,0)),Assumptions!$B$10))</f>
        <v>40313.635183528451</v>
      </c>
      <c r="N8" s="30">
        <f>IF(N$5&gt;$B8,0,INDEX(Decrements!$G$6:$G$58,Census!$G8+N$5-18)/INDEX(Decrements!$G$6:$G$58,Census!$G8-17)*(INDEX(Decrements!$D$6:$D$58,Census!$G8+N$5-18)+IF(N$5=$B8,INDEX(Decrements!$F$6:$F$58,Census!$G8+N$5-18),0)+INDEX(Decrements!$E$6:$E$58,Census!$G8+N$5-18)*IF((Census!$F8+N$5)&gt;=Assumptions!$B$11,1,0))*MIN(15/26*Census!$D8*(1+Assumptions!$B$9)^N$5*(INT((Census!$F8+N$5))+IF((Census!$F8+N$5)-INT((Census!$F8+N$5))&gt;0.5,1,0)),Assumptions!$B$10))</f>
        <v>27315.505595322913</v>
      </c>
      <c r="O8" s="30">
        <f>IF(O$5&gt;$B8,0,INDEX(Decrements!$G$6:$G$58,Census!$G8+O$5-18)/INDEX(Decrements!$G$6:$G$58,Census!$G8-17)*(INDEX(Decrements!$D$6:$D$58,Census!$G8+O$5-18)+IF(O$5=$B8,INDEX(Decrements!$F$6:$F$58,Census!$G8+O$5-18),0)+INDEX(Decrements!$E$6:$E$58,Census!$G8+O$5-18)*IF((Census!$F8+O$5)&gt;=Assumptions!$B$11,1,0))*MIN(15/26*Census!$D8*(1+Assumptions!$B$9)^O$5*(INT((Census!$F8+O$5))+IF((Census!$F8+O$5)-INT((Census!$F8+O$5))&gt;0.5,1,0)),Assumptions!$B$10))</f>
        <v>26974.410733549972</v>
      </c>
      <c r="P8" s="30">
        <f>IF(P$5&gt;$B8,0,INDEX(Decrements!$G$6:$G$58,Census!$G8+P$5-18)/INDEX(Decrements!$G$6:$G$58,Census!$G8-17)*(INDEX(Decrements!$D$6:$D$58,Census!$G8+P$5-18)+IF(P$5=$B8,INDEX(Decrements!$F$6:$F$58,Census!$G8+P$5-18),0)+INDEX(Decrements!$E$6:$E$58,Census!$G8+P$5-18)*IF((Census!$F8+P$5)&gt;=Assumptions!$B$11,1,0))*MIN(15/26*Census!$D8*(1+Assumptions!$B$9)^P$5*(INT((Census!$F8+P$5))+IF((Census!$F8+P$5)-INT((Census!$F8+P$5))&gt;0.5,1,0)),Assumptions!$B$10))</f>
        <v>26655.556671355662</v>
      </c>
      <c r="Q8" s="30">
        <f>IF(Q$5&gt;$B8,0,INDEX(Decrements!$G$6:$G$58,Census!$G8+Q$5-18)/INDEX(Decrements!$G$6:$G$58,Census!$G8-17)*(INDEX(Decrements!$D$6:$D$58,Census!$G8+Q$5-18)+IF(Q$5=$B8,INDEX(Decrements!$F$6:$F$58,Census!$G8+Q$5-18),0)+INDEX(Decrements!$E$6:$E$58,Census!$G8+Q$5-18)*IF((Census!$F8+Q$5)&gt;=Assumptions!$B$11,1,0))*MIN(15/26*Census!$D8*(1+Assumptions!$B$9)^Q$5*(INT((Census!$F8+Q$5))+IF((Census!$F8+Q$5)-INT((Census!$F8+Q$5))&gt;0.5,1,0)),Assumptions!$B$10))</f>
        <v>26359.412066258559</v>
      </c>
      <c r="R8" s="30">
        <f>IF(R$5&gt;$B8,0,INDEX(Decrements!$G$6:$G$58,Census!$G8+R$5-18)/INDEX(Decrements!$G$6:$G$58,Census!$G8-17)*(INDEX(Decrements!$D$6:$D$58,Census!$G8+R$5-18)+IF(R$5=$B8,INDEX(Decrements!$F$6:$F$58,Census!$G8+R$5-18),0)+INDEX(Decrements!$E$6:$E$58,Census!$G8+R$5-18)*IF((Census!$F8+R$5)&gt;=Assumptions!$B$11,1,0))*MIN(15/26*Census!$D8*(1+Assumptions!$B$9)^R$5*(INT((Census!$F8+R$5))+IF((Census!$F8+R$5)-INT((Census!$F8+R$5))&gt;0.5,1,0)),Assumptions!$B$10))</f>
        <v>26086.461041428975</v>
      </c>
      <c r="S8" s="30">
        <f>IF(S$5&gt;$B8,0,INDEX(Decrements!$G$6:$G$58,Census!$G8+S$5-18)/INDEX(Decrements!$G$6:$G$58,Census!$G8-17)*(INDEX(Decrements!$D$6:$D$58,Census!$G8+S$5-18)+IF(S$5=$B8,INDEX(Decrements!$F$6:$F$58,Census!$G8+S$5-18),0)+INDEX(Decrements!$E$6:$E$58,Census!$G8+S$5-18)*IF((Census!$F8+S$5)&gt;=Assumptions!$B$11,1,0))*MIN(15/26*Census!$D8*(1+Assumptions!$B$9)^S$5*(INT((Census!$F8+S$5))+IF((Census!$F8+S$5)-INT((Census!$F8+S$5))&gt;0.5,1,0)),Assumptions!$B$10))</f>
        <v>15238.09938259788</v>
      </c>
      <c r="T8" s="30">
        <f>IF(T$5&gt;$B8,0,INDEX(Decrements!$G$6:$G$58,Census!$G8+T$5-18)/INDEX(Decrements!$G$6:$G$58,Census!$G8-17)*(INDEX(Decrements!$D$6:$D$58,Census!$G8+T$5-18)+IF(T$5=$B8,INDEX(Decrements!$F$6:$F$58,Census!$G8+T$5-18),0)+INDEX(Decrements!$E$6:$E$58,Census!$G8+T$5-18)*IF((Census!$F8+T$5)&gt;=Assumptions!$B$11,1,0))*MIN(15/26*Census!$D8*(1+Assumptions!$B$9)^T$5*(INT((Census!$F8+T$5))+IF((Census!$F8+T$5)-INT((Census!$F8+T$5))&gt;0.5,1,0)),Assumptions!$B$10))</f>
        <v>15430.22557286387</v>
      </c>
      <c r="U8" s="30">
        <f>IF(U$5&gt;$B8,0,INDEX(Decrements!$G$6:$G$58,Census!$G8+U$5-18)/INDEX(Decrements!$G$6:$G$58,Census!$G8-17)*(INDEX(Decrements!$D$6:$D$58,Census!$G8+U$5-18)+IF(U$5=$B8,INDEX(Decrements!$F$6:$F$58,Census!$G8+U$5-18),0)+INDEX(Decrements!$E$6:$E$58,Census!$G8+U$5-18)*IF((Census!$F8+U$5)&gt;=Assumptions!$B$11,1,0))*MIN(15/26*Census!$D8*(1+Assumptions!$B$9)^U$5*(INT((Census!$F8+U$5))+IF((Census!$F8+U$5)-INT((Census!$F8+U$5))&gt;0.5,1,0)),Assumptions!$B$10))</f>
        <v>15647.772402611306</v>
      </c>
      <c r="V8" s="30">
        <f>IF(V$5&gt;$B8,0,INDEX(Decrements!$G$6:$G$58,Census!$G8+V$5-18)/INDEX(Decrements!$G$6:$G$58,Census!$G8-17)*(INDEX(Decrements!$D$6:$D$58,Census!$G8+V$5-18)+IF(V$5=$B8,INDEX(Decrements!$F$6:$F$58,Census!$G8+V$5-18),0)+INDEX(Decrements!$E$6:$E$58,Census!$G8+V$5-18)*IF((Census!$F8+V$5)&gt;=Assumptions!$B$11,1,0))*MIN(15/26*Census!$D8*(1+Assumptions!$B$9)^V$5*(INT((Census!$F8+V$5))+IF((Census!$F8+V$5)-INT((Census!$F8+V$5))&gt;0.5,1,0)),Assumptions!$B$10))</f>
        <v>15892.218432355952</v>
      </c>
      <c r="W8" s="30">
        <f>IF(W$5&gt;$B8,0,INDEX(Decrements!$G$6:$G$58,Census!$G8+W$5-18)/INDEX(Decrements!$G$6:$G$58,Census!$G8-17)*(INDEX(Decrements!$D$6:$D$58,Census!$G8+W$5-18)+IF(W$5=$B8,INDEX(Decrements!$F$6:$F$58,Census!$G8+W$5-18),0)+INDEX(Decrements!$E$6:$E$58,Census!$G8+W$5-18)*IF((Census!$F8+W$5)&gt;=Assumptions!$B$11,1,0))*MIN(15/26*Census!$D8*(1+Assumptions!$B$9)^W$5*(INT((Census!$F8+W$5))+IF((Census!$F8+W$5)-INT((Census!$F8+W$5))&gt;0.5,1,0)),Assumptions!$B$10))</f>
        <v>1002340.4356170596</v>
      </c>
      <c r="X8" s="30">
        <f>IF(X$5&gt;$B8,0,INDEX(Decrements!$G$6:$G$58,Census!$G8+X$5-18)/INDEX(Decrements!$G$6:$G$58,Census!$G8-17)*(INDEX(Decrements!$D$6:$D$58,Census!$G8+X$5-18)+IF(X$5=$B8,INDEX(Decrements!$F$6:$F$58,Census!$G8+X$5-18),0)+INDEX(Decrements!$E$6:$E$58,Census!$G8+X$5-18)*IF((Census!$F8+X$5)&gt;=Assumptions!$B$11,1,0))*MIN(15/26*Census!$D8*(1+Assumptions!$B$9)^X$5*(INT((Census!$F8+X$5))+IF((Census!$F8+X$5)-INT((Census!$F8+X$5))&gt;0.5,1,0)),Assumptions!$B$10))</f>
        <v>0</v>
      </c>
      <c r="Y8" s="30">
        <f>IF(Y$5&gt;$B8,0,INDEX(Decrements!$G$6:$G$58,Census!$G8+Y$5-18)/INDEX(Decrements!$G$6:$G$58,Census!$G8-17)*(INDEX(Decrements!$D$6:$D$58,Census!$G8+Y$5-18)+IF(Y$5=$B8,INDEX(Decrements!$F$6:$F$58,Census!$G8+Y$5-18),0)+INDEX(Decrements!$E$6:$E$58,Census!$G8+Y$5-18)*IF((Census!$F8+Y$5)&gt;=Assumptions!$B$11,1,0))*MIN(15/26*Census!$D8*(1+Assumptions!$B$9)^Y$5*(INT((Census!$F8+Y$5))+IF((Census!$F8+Y$5)-INT((Census!$F8+Y$5))&gt;0.5,1,0)),Assumptions!$B$10))</f>
        <v>0</v>
      </c>
      <c r="Z8" s="30">
        <f>IF(Z$5&gt;$B8,0,INDEX(Decrements!$G$6:$G$58,Census!$G8+Z$5-18)/INDEX(Decrements!$G$6:$G$58,Census!$G8-17)*(INDEX(Decrements!$D$6:$D$58,Census!$G8+Z$5-18)+IF(Z$5=$B8,INDEX(Decrements!$F$6:$F$58,Census!$G8+Z$5-18),0)+INDEX(Decrements!$E$6:$E$58,Census!$G8+Z$5-18)*IF((Census!$F8+Z$5)&gt;=Assumptions!$B$11,1,0))*MIN(15/26*Census!$D8*(1+Assumptions!$B$9)^Z$5*(INT((Census!$F8+Z$5))+IF((Census!$F8+Z$5)-INT((Census!$F8+Z$5))&gt;0.5,1,0)),Assumptions!$B$10))</f>
        <v>0</v>
      </c>
      <c r="AA8" s="30">
        <f>IF(AA$5&gt;$B8,0,INDEX(Decrements!$G$6:$G$58,Census!$G8+AA$5-18)/INDEX(Decrements!$G$6:$G$58,Census!$G8-17)*(INDEX(Decrements!$D$6:$D$58,Census!$G8+AA$5-18)+IF(AA$5=$B8,INDEX(Decrements!$F$6:$F$58,Census!$G8+AA$5-18),0)+INDEX(Decrements!$E$6:$E$58,Census!$G8+AA$5-18)*IF((Census!$F8+AA$5)&gt;=Assumptions!$B$11,1,0))*MIN(15/26*Census!$D8*(1+Assumptions!$B$9)^AA$5*(INT((Census!$F8+AA$5))+IF((Census!$F8+AA$5)-INT((Census!$F8+AA$5))&gt;0.5,1,0)),Assumptions!$B$10))</f>
        <v>0</v>
      </c>
      <c r="AB8" s="30">
        <f>IF(AB$5&gt;$B8,0,INDEX(Decrements!$G$6:$G$58,Census!$G8+AB$5-18)/INDEX(Decrements!$G$6:$G$58,Census!$G8-17)*(INDEX(Decrements!$D$6:$D$58,Census!$G8+AB$5-18)+IF(AB$5=$B8,INDEX(Decrements!$F$6:$F$58,Census!$G8+AB$5-18),0)+INDEX(Decrements!$E$6:$E$58,Census!$G8+AB$5-18)*IF((Census!$F8+AB$5)&gt;=Assumptions!$B$11,1,0))*MIN(15/26*Census!$D8*(1+Assumptions!$B$9)^AB$5*(INT((Census!$F8+AB$5))+IF((Census!$F8+AB$5)-INT((Census!$F8+AB$5))&gt;0.5,1,0)),Assumptions!$B$10))</f>
        <v>0</v>
      </c>
      <c r="AC8" s="30">
        <f>IF(AC$5&gt;$B8,0,INDEX(Decrements!$G$6:$G$58,Census!$G8+AC$5-18)/INDEX(Decrements!$G$6:$G$58,Census!$G8-17)*(INDEX(Decrements!$D$6:$D$58,Census!$G8+AC$5-18)+IF(AC$5=$B8,INDEX(Decrements!$F$6:$F$58,Census!$G8+AC$5-18),0)+INDEX(Decrements!$E$6:$E$58,Census!$G8+AC$5-18)*IF((Census!$F8+AC$5)&gt;=Assumptions!$B$11,1,0))*MIN(15/26*Census!$D8*(1+Assumptions!$B$9)^AC$5*(INT((Census!$F8+AC$5))+IF((Census!$F8+AC$5)-INT((Census!$F8+AC$5))&gt;0.5,1,0)),Assumptions!$B$10))</f>
        <v>0</v>
      </c>
      <c r="AD8" s="30">
        <f>IF(AD$5&gt;$B8,0,INDEX(Decrements!$G$6:$G$58,Census!$G8+AD$5-18)/INDEX(Decrements!$G$6:$G$58,Census!$G8-17)*(INDEX(Decrements!$D$6:$D$58,Census!$G8+AD$5-18)+IF(AD$5=$B8,INDEX(Decrements!$F$6:$F$58,Census!$G8+AD$5-18),0)+INDEX(Decrements!$E$6:$E$58,Census!$G8+AD$5-18)*IF((Census!$F8+AD$5)&gt;=Assumptions!$B$11,1,0))*MIN(15/26*Census!$D8*(1+Assumptions!$B$9)^AD$5*(INT((Census!$F8+AD$5))+IF((Census!$F8+AD$5)-INT((Census!$F8+AD$5))&gt;0.5,1,0)),Assumptions!$B$10))</f>
        <v>0</v>
      </c>
      <c r="AE8" s="30">
        <f>IF(AE$5&gt;$B8,0,INDEX(Decrements!$G$6:$G$58,Census!$G8+AE$5-18)/INDEX(Decrements!$G$6:$G$58,Census!$G8-17)*(INDEX(Decrements!$D$6:$D$58,Census!$G8+AE$5-18)+IF(AE$5=$B8,INDEX(Decrements!$F$6:$F$58,Census!$G8+AE$5-18),0)+INDEX(Decrements!$E$6:$E$58,Census!$G8+AE$5-18)*IF((Census!$F8+AE$5)&gt;=Assumptions!$B$11,1,0))*MIN(15/26*Census!$D8*(1+Assumptions!$B$9)^AE$5*(INT((Census!$F8+AE$5))+IF((Census!$F8+AE$5)-INT((Census!$F8+AE$5))&gt;0.5,1,0)),Assumptions!$B$10))</f>
        <v>0</v>
      </c>
      <c r="AF8" s="30">
        <f>IF(AF$5&gt;$B8,0,INDEX(Decrements!$G$6:$G$58,Census!$G8+AF$5-18)/INDEX(Decrements!$G$6:$G$58,Census!$G8-17)*(INDEX(Decrements!$D$6:$D$58,Census!$G8+AF$5-18)+IF(AF$5=$B8,INDEX(Decrements!$F$6:$F$58,Census!$G8+AF$5-18),0)+INDEX(Decrements!$E$6:$E$58,Census!$G8+AF$5-18)*IF((Census!$F8+AF$5)&gt;=Assumptions!$B$11,1,0))*MIN(15/26*Census!$D8*(1+Assumptions!$B$9)^AF$5*(INT((Census!$F8+AF$5))+IF((Census!$F8+AF$5)-INT((Census!$F8+AF$5))&gt;0.5,1,0)),Assumptions!$B$10))</f>
        <v>0</v>
      </c>
      <c r="AG8" s="30">
        <f>IF(AG$5&gt;$B8,0,INDEX(Decrements!$G$6:$G$58,Census!$G8+AG$5-18)/INDEX(Decrements!$G$6:$G$58,Census!$G8-17)*(INDEX(Decrements!$D$6:$D$58,Census!$G8+AG$5-18)+IF(AG$5=$B8,INDEX(Decrements!$F$6:$F$58,Census!$G8+AG$5-18),0)+INDEX(Decrements!$E$6:$E$58,Census!$G8+AG$5-18)*IF((Census!$F8+AG$5)&gt;=Assumptions!$B$11,1,0))*MIN(15/26*Census!$D8*(1+Assumptions!$B$9)^AG$5*(INT((Census!$F8+AG$5))+IF((Census!$F8+AG$5)-INT((Census!$F8+AG$5))&gt;0.5,1,0)),Assumptions!$B$10))</f>
        <v>0</v>
      </c>
      <c r="AH8" s="30">
        <f>IF(AH$5&gt;$B8,0,INDEX(Decrements!$G$6:$G$58,Census!$G8+AH$5-18)/INDEX(Decrements!$G$6:$G$58,Census!$G8-17)*(INDEX(Decrements!$D$6:$D$58,Census!$G8+AH$5-18)+IF(AH$5=$B8,INDEX(Decrements!$F$6:$F$58,Census!$G8+AH$5-18),0)+INDEX(Decrements!$E$6:$E$58,Census!$G8+AH$5-18)*IF((Census!$F8+AH$5)&gt;=Assumptions!$B$11,1,0))*MIN(15/26*Census!$D8*(1+Assumptions!$B$9)^AH$5*(INT((Census!$F8+AH$5))+IF((Census!$F8+AH$5)-INT((Census!$F8+AH$5))&gt;0.5,1,0)),Assumptions!$B$10))</f>
        <v>0</v>
      </c>
      <c r="AI8" s="30">
        <f>IF(AI$5&gt;$B8,0,INDEX(Decrements!$G$6:$G$58,Census!$G8+AI$5-18)/INDEX(Decrements!$G$6:$G$58,Census!$G8-17)*(INDEX(Decrements!$D$6:$D$58,Census!$G8+AI$5-18)+IF(AI$5=$B8,INDEX(Decrements!$F$6:$F$58,Census!$G8+AI$5-18),0)+INDEX(Decrements!$E$6:$E$58,Census!$G8+AI$5-18)*IF((Census!$F8+AI$5)&gt;=Assumptions!$B$11,1,0))*MIN(15/26*Census!$D8*(1+Assumptions!$B$9)^AI$5*(INT((Census!$F8+AI$5))+IF((Census!$F8+AI$5)-INT((Census!$F8+AI$5))&gt;0.5,1,0)),Assumptions!$B$10))</f>
        <v>0</v>
      </c>
      <c r="AJ8" s="30">
        <f>IF(AJ$5&gt;$B8,0,INDEX(Decrements!$G$6:$G$58,Census!$G8+AJ$5-18)/INDEX(Decrements!$G$6:$G$58,Census!$G8-17)*(INDEX(Decrements!$D$6:$D$58,Census!$G8+AJ$5-18)+IF(AJ$5=$B8,INDEX(Decrements!$F$6:$F$58,Census!$G8+AJ$5-18),0)+INDEX(Decrements!$E$6:$E$58,Census!$G8+AJ$5-18)*IF((Census!$F8+AJ$5)&gt;=Assumptions!$B$11,1,0))*MIN(15/26*Census!$D8*(1+Assumptions!$B$9)^AJ$5*(INT((Census!$F8+AJ$5))+IF((Census!$F8+AJ$5)-INT((Census!$F8+AJ$5))&gt;0.5,1,0)),Assumptions!$B$10))</f>
        <v>0</v>
      </c>
      <c r="AK8" s="30">
        <f>IF(AK$5&gt;$B8,0,INDEX(Decrements!$G$6:$G$58,Census!$G8+AK$5-18)/INDEX(Decrements!$G$6:$G$58,Census!$G8-17)*(INDEX(Decrements!$D$6:$D$58,Census!$G8+AK$5-18)+IF(AK$5=$B8,INDEX(Decrements!$F$6:$F$58,Census!$G8+AK$5-18),0)+INDEX(Decrements!$E$6:$E$58,Census!$G8+AK$5-18)*IF((Census!$F8+AK$5)&gt;=Assumptions!$B$11,1,0))*MIN(15/26*Census!$D8*(1+Assumptions!$B$9)^AK$5*(INT((Census!$F8+AK$5))+IF((Census!$F8+AK$5)-INT((Census!$F8+AK$5))&gt;0.5,1,0)),Assumptions!$B$10))</f>
        <v>0</v>
      </c>
      <c r="AL8" s="30">
        <f>IF(AL$5&gt;$B8,0,INDEX(Decrements!$G$6:$G$58,Census!$G8+AL$5-18)/INDEX(Decrements!$G$6:$G$58,Census!$G8-17)*(INDEX(Decrements!$D$6:$D$58,Census!$G8+AL$5-18)+IF(AL$5=$B8,INDEX(Decrements!$F$6:$F$58,Census!$G8+AL$5-18),0)+INDEX(Decrements!$E$6:$E$58,Census!$G8+AL$5-18)*IF((Census!$F8+AL$5)&gt;=Assumptions!$B$11,1,0))*MIN(15/26*Census!$D8*(1+Assumptions!$B$9)^AL$5*(INT((Census!$F8+AL$5))+IF((Census!$F8+AL$5)-INT((Census!$F8+AL$5))&gt;0.5,1,0)),Assumptions!$B$10))</f>
        <v>0</v>
      </c>
      <c r="AM8" s="30">
        <f>IF(AM$5&gt;$B8,0,INDEX(Decrements!$G$6:$G$58,Census!$G8+AM$5-18)/INDEX(Decrements!$G$6:$G$58,Census!$G8-17)*(INDEX(Decrements!$D$6:$D$58,Census!$G8+AM$5-18)+IF(AM$5=$B8,INDEX(Decrements!$F$6:$F$58,Census!$G8+AM$5-18),0)+INDEX(Decrements!$E$6:$E$58,Census!$G8+AM$5-18)*IF((Census!$F8+AM$5)&gt;=Assumptions!$B$11,1,0))*MIN(15/26*Census!$D8*(1+Assumptions!$B$9)^AM$5*(INT((Census!$F8+AM$5))+IF((Census!$F8+AM$5)-INT((Census!$F8+AM$5))&gt;0.5,1,0)),Assumptions!$B$10))</f>
        <v>0</v>
      </c>
      <c r="AN8" s="30">
        <f>IF(AN$5&gt;$B8,0,INDEX(Decrements!$G$6:$G$58,Census!$G8+AN$5-18)/INDEX(Decrements!$G$6:$G$58,Census!$G8-17)*(INDEX(Decrements!$D$6:$D$58,Census!$G8+AN$5-18)+IF(AN$5=$B8,INDEX(Decrements!$F$6:$F$58,Census!$G8+AN$5-18),0)+INDEX(Decrements!$E$6:$E$58,Census!$G8+AN$5-18)*IF((Census!$F8+AN$5)&gt;=Assumptions!$B$11,1,0))*MIN(15/26*Census!$D8*(1+Assumptions!$B$9)^AN$5*(INT((Census!$F8+AN$5))+IF((Census!$F8+AN$5)-INT((Census!$F8+AN$5))&gt;0.5,1,0)),Assumptions!$B$10))</f>
        <v>0</v>
      </c>
      <c r="AO8" s="30">
        <f>IF(AO$5&gt;$B8,0,INDEX(Decrements!$G$6:$G$58,Census!$G8+AO$5-18)/INDEX(Decrements!$G$6:$G$58,Census!$G8-17)*(INDEX(Decrements!$D$6:$D$58,Census!$G8+AO$5-18)+IF(AO$5=$B8,INDEX(Decrements!$F$6:$F$58,Census!$G8+AO$5-18),0)+INDEX(Decrements!$E$6:$E$58,Census!$G8+AO$5-18)*IF((Census!$F8+AO$5)&gt;=Assumptions!$B$11,1,0))*MIN(15/26*Census!$D8*(1+Assumptions!$B$9)^AO$5*(INT((Census!$F8+AO$5))+IF((Census!$F8+AO$5)-INT((Census!$F8+AO$5))&gt;0.5,1,0)),Assumptions!$B$10))</f>
        <v>0</v>
      </c>
      <c r="AP8" s="30">
        <f>IF(AP$5&gt;$B8,0,INDEX(Decrements!$G$6:$G$58,Census!$G8+AP$5-18)/INDEX(Decrements!$G$6:$G$58,Census!$G8-17)*(INDEX(Decrements!$D$6:$D$58,Census!$G8+AP$5-18)+IF(AP$5=$B8,INDEX(Decrements!$F$6:$F$58,Census!$G8+AP$5-18),0)+INDEX(Decrements!$E$6:$E$58,Census!$G8+AP$5-18)*IF((Census!$F8+AP$5)&gt;=Assumptions!$B$11,1,0))*MIN(15/26*Census!$D8*(1+Assumptions!$B$9)^AP$5*(INT((Census!$F8+AP$5))+IF((Census!$F8+AP$5)-INT((Census!$F8+AP$5))&gt;0.5,1,0)),Assumptions!$B$10))</f>
        <v>0</v>
      </c>
      <c r="AQ8" s="30">
        <f>IF(AQ$5&gt;$B8,0,INDEX(Decrements!$G$6:$G$58,Census!$G8+AQ$5-18)/INDEX(Decrements!$G$6:$G$58,Census!$G8-17)*(INDEX(Decrements!$D$6:$D$58,Census!$G8+AQ$5-18)+IF(AQ$5=$B8,INDEX(Decrements!$F$6:$F$58,Census!$G8+AQ$5-18),0)+INDEX(Decrements!$E$6:$E$58,Census!$G8+AQ$5-18)*IF((Census!$F8+AQ$5)&gt;=Assumptions!$B$11,1,0))*MIN(15/26*Census!$D8*(1+Assumptions!$B$9)^AQ$5*(INT((Census!$F8+AQ$5))+IF((Census!$F8+AQ$5)-INT((Census!$F8+AQ$5))&gt;0.5,1,0)),Assumptions!$B$10))</f>
        <v>0</v>
      </c>
      <c r="AR8" s="30">
        <f>IF(AR$5&gt;$B8,0,INDEX(Decrements!$G$6:$G$58,Census!$G8+AR$5-18)/INDEX(Decrements!$G$6:$G$58,Census!$G8-17)*(INDEX(Decrements!$D$6:$D$58,Census!$G8+AR$5-18)+IF(AR$5=$B8,INDEX(Decrements!$F$6:$F$58,Census!$G8+AR$5-18),0)+INDEX(Decrements!$E$6:$E$58,Census!$G8+AR$5-18)*IF((Census!$F8+AR$5)&gt;=Assumptions!$B$11,1,0))*MIN(15/26*Census!$D8*(1+Assumptions!$B$9)^AR$5*(INT((Census!$F8+AR$5))+IF((Census!$F8+AR$5)-INT((Census!$F8+AR$5))&gt;0.5,1,0)),Assumptions!$B$10))</f>
        <v>0</v>
      </c>
      <c r="AS8" s="30">
        <f>IF(AS$5&gt;$B8,0,INDEX(Decrements!$G$6:$G$58,Census!$G8+AS$5-18)/INDEX(Decrements!$G$6:$G$58,Census!$G8-17)*(INDEX(Decrements!$D$6:$D$58,Census!$G8+AS$5-18)+IF(AS$5=$B8,INDEX(Decrements!$F$6:$F$58,Census!$G8+AS$5-18),0)+INDEX(Decrements!$E$6:$E$58,Census!$G8+AS$5-18)*IF((Census!$F8+AS$5)&gt;=Assumptions!$B$11,1,0))*MIN(15/26*Census!$D8*(1+Assumptions!$B$9)^AS$5*(INT((Census!$F8+AS$5))+IF((Census!$F8+AS$5)-INT((Census!$F8+AS$5))&gt;0.5,1,0)),Assumptions!$B$10))</f>
        <v>0</v>
      </c>
      <c r="AT8" s="30">
        <f>IF(AT$5&gt;$B8,0,INDEX(Decrements!$G$6:$G$58,Census!$G8+AT$5-18)/INDEX(Decrements!$G$6:$G$58,Census!$G8-17)*(INDEX(Decrements!$D$6:$D$58,Census!$G8+AT$5-18)+IF(AT$5=$B8,INDEX(Decrements!$F$6:$F$58,Census!$G8+AT$5-18),0)+INDEX(Decrements!$E$6:$E$58,Census!$G8+AT$5-18)*IF((Census!$F8+AT$5)&gt;=Assumptions!$B$11,1,0))*MIN(15/26*Census!$D8*(1+Assumptions!$B$9)^AT$5*(INT((Census!$F8+AT$5))+IF((Census!$F8+AT$5)-INT((Census!$F8+AT$5))&gt;0.5,1,0)),Assumptions!$B$10))</f>
        <v>0</v>
      </c>
      <c r="AU8" s="30">
        <f>IF(AU$5&gt;$B8,0,INDEX(Decrements!$G$6:$G$58,Census!$G8+AU$5-18)/INDEX(Decrements!$G$6:$G$58,Census!$G8-17)*(INDEX(Decrements!$D$6:$D$58,Census!$G8+AU$5-18)+IF(AU$5=$B8,INDEX(Decrements!$F$6:$F$58,Census!$G8+AU$5-18),0)+INDEX(Decrements!$E$6:$E$58,Census!$G8+AU$5-18)*IF((Census!$F8+AU$5)&gt;=Assumptions!$B$11,1,0))*MIN(15/26*Census!$D8*(1+Assumptions!$B$9)^AU$5*(INT((Census!$F8+AU$5))+IF((Census!$F8+AU$5)-INT((Census!$F8+AU$5))&gt;0.5,1,0)),Assumptions!$B$10))</f>
        <v>0</v>
      </c>
    </row>
    <row r="9" spans="1:47" x14ac:dyDescent="0.3">
      <c r="A9" s="10" t="str">
        <f>Census!A9</f>
        <v>E004</v>
      </c>
      <c r="B9" s="29">
        <f>Census!H9</f>
        <v>21</v>
      </c>
      <c r="C9" s="30">
        <f>IF(C$5&gt;$B9,0,INDEX(Decrements!$G$6:$G$58,Census!$G9+C$5-18)/INDEX(Decrements!$G$6:$G$58,Census!$G9-17)*(INDEX(Decrements!$D$6:$D$58,Census!$G9+C$5-18)+IF(C$5=$B9,INDEX(Decrements!$F$6:$F$58,Census!$G9+C$5-18),0)+INDEX(Decrements!$E$6:$E$58,Census!$G9+C$5-18)*IF((Census!$F9+C$5)&gt;=Assumptions!$B$11,1,0))*MIN(15/26*Census!$D9*(1+Assumptions!$B$9)^C$5*(INT((Census!$F9+C$5))+IF((Census!$F9+C$5)-INT((Census!$F9+C$5))&gt;0.5,1,0)),Assumptions!$B$10))</f>
        <v>15646.329774211861</v>
      </c>
      <c r="D9" s="30">
        <f>IF(D$5&gt;$B9,0,INDEX(Decrements!$G$6:$G$58,Census!$G9+D$5-18)/INDEX(Decrements!$G$6:$G$58,Census!$G9-17)*(INDEX(Decrements!$D$6:$D$58,Census!$G9+D$5-18)+IF(D$5=$B9,INDEX(Decrements!$F$6:$F$58,Census!$G9+D$5-18),0)+INDEX(Decrements!$E$6:$E$58,Census!$G9+D$5-18)*IF((Census!$F9+D$5)&gt;=Assumptions!$B$11,1,0))*MIN(15/26*Census!$D9*(1+Assumptions!$B$9)^D$5*(INT((Census!$F9+D$5))+IF((Census!$F9+D$5)-INT((Census!$F9+D$5))&gt;0.5,1,0)),Assumptions!$B$10))</f>
        <v>11211.829358942225</v>
      </c>
      <c r="E9" s="30">
        <f>IF(E$5&gt;$B9,0,INDEX(Decrements!$G$6:$G$58,Census!$G9+E$5-18)/INDEX(Decrements!$G$6:$G$58,Census!$G9-17)*(INDEX(Decrements!$D$6:$D$58,Census!$G9+E$5-18)+IF(E$5=$B9,INDEX(Decrements!$F$6:$F$58,Census!$G9+E$5-18),0)+INDEX(Decrements!$E$6:$E$58,Census!$G9+E$5-18)*IF((Census!$F9+E$5)&gt;=Assumptions!$B$11,1,0))*MIN(15/26*Census!$D9*(1+Assumptions!$B$9)^E$5*(INT((Census!$F9+E$5))+IF((Census!$F9+E$5)-INT((Census!$F9+E$5))&gt;0.5,1,0)),Assumptions!$B$10))</f>
        <v>12946.50493080575</v>
      </c>
      <c r="F9" s="30">
        <f>IF(F$5&gt;$B9,0,INDEX(Decrements!$G$6:$G$58,Census!$G9+F$5-18)/INDEX(Decrements!$G$6:$G$58,Census!$G9-17)*(INDEX(Decrements!$D$6:$D$58,Census!$G9+F$5-18)+IF(F$5=$B9,INDEX(Decrements!$F$6:$F$58,Census!$G9+F$5-18),0)+INDEX(Decrements!$E$6:$E$58,Census!$G9+F$5-18)*IF((Census!$F9+F$5)&gt;=Assumptions!$B$11,1,0))*MIN(15/26*Census!$D9*(1+Assumptions!$B$9)^F$5*(INT((Census!$F9+F$5))+IF((Census!$F9+F$5)-INT((Census!$F9+F$5))&gt;0.5,1,0)),Assumptions!$B$10))</f>
        <v>14766.138392487237</v>
      </c>
      <c r="G9" s="30">
        <f>IF(G$5&gt;$B9,0,INDEX(Decrements!$G$6:$G$58,Census!$G9+G$5-18)/INDEX(Decrements!$G$6:$G$58,Census!$G9-17)*(INDEX(Decrements!$D$6:$D$58,Census!$G9+G$5-18)+IF(G$5=$B9,INDEX(Decrements!$F$6:$F$58,Census!$G9+G$5-18),0)+INDEX(Decrements!$E$6:$E$58,Census!$G9+G$5-18)*IF((Census!$F9+G$5)&gt;=Assumptions!$B$11,1,0))*MIN(15/26*Census!$D9*(1+Assumptions!$B$9)^G$5*(INT((Census!$F9+G$5))+IF((Census!$F9+G$5)-INT((Census!$F9+G$5))&gt;0.5,1,0)),Assumptions!$B$10))</f>
        <v>16674.502628394086</v>
      </c>
      <c r="H9" s="30">
        <f>IF(H$5&gt;$B9,0,INDEX(Decrements!$G$6:$G$58,Census!$G9+H$5-18)/INDEX(Decrements!$G$6:$G$58,Census!$G9-17)*(INDEX(Decrements!$D$6:$D$58,Census!$G9+H$5-18)+IF(H$5=$B9,INDEX(Decrements!$F$6:$F$58,Census!$G9+H$5-18),0)+INDEX(Decrements!$E$6:$E$58,Census!$G9+H$5-18)*IF((Census!$F9+H$5)&gt;=Assumptions!$B$11,1,0))*MIN(15/26*Census!$D9*(1+Assumptions!$B$9)^H$5*(INT((Census!$F9+H$5))+IF((Census!$F9+H$5)-INT((Census!$F9+H$5))&gt;0.5,1,0)),Assumptions!$B$10))</f>
        <v>18675.589521622231</v>
      </c>
      <c r="I9" s="30">
        <f>IF(I$5&gt;$B9,0,INDEX(Decrements!$G$6:$G$58,Census!$G9+I$5-18)/INDEX(Decrements!$G$6:$G$58,Census!$G9-17)*(INDEX(Decrements!$D$6:$D$58,Census!$G9+I$5-18)+IF(I$5=$B9,INDEX(Decrements!$F$6:$F$58,Census!$G9+I$5-18),0)+INDEX(Decrements!$E$6:$E$58,Census!$G9+I$5-18)*IF((Census!$F9+I$5)&gt;=Assumptions!$B$11,1,0))*MIN(15/26*Census!$D9*(1+Assumptions!$B$9)^I$5*(INT((Census!$F9+I$5))+IF((Census!$F9+I$5)-INT((Census!$F9+I$5))&gt;0.5,1,0)),Assumptions!$B$10))</f>
        <v>12773.218247443419</v>
      </c>
      <c r="J9" s="30">
        <f>IF(J$5&gt;$B9,0,INDEX(Decrements!$G$6:$G$58,Census!$G9+J$5-18)/INDEX(Decrements!$G$6:$G$58,Census!$G9-17)*(INDEX(Decrements!$D$6:$D$58,Census!$G9+J$5-18)+IF(J$5=$B9,INDEX(Decrements!$F$6:$F$58,Census!$G9+J$5-18),0)+INDEX(Decrements!$E$6:$E$58,Census!$G9+J$5-18)*IF((Census!$F9+J$5)&gt;=Assumptions!$B$11,1,0))*MIN(15/26*Census!$D9*(1+Assumptions!$B$9)^J$5*(INT((Census!$F9+J$5))+IF((Census!$F9+J$5)-INT((Census!$F9+J$5))&gt;0.5,1,0)),Assumptions!$B$10))</f>
        <v>14449.592140597984</v>
      </c>
      <c r="K9" s="30">
        <f>IF(K$5&gt;$B9,0,INDEX(Decrements!$G$6:$G$58,Census!$G9+K$5-18)/INDEX(Decrements!$G$6:$G$58,Census!$G9-17)*(INDEX(Decrements!$D$6:$D$58,Census!$G9+K$5-18)+IF(K$5=$B9,INDEX(Decrements!$F$6:$F$58,Census!$G9+K$5-18),0)+INDEX(Decrements!$E$6:$E$58,Census!$G9+K$5-18)*IF((Census!$F9+K$5)&gt;=Assumptions!$B$11,1,0))*MIN(15/26*Census!$D9*(1+Assumptions!$B$9)^K$5*(INT((Census!$F9+K$5))+IF((Census!$F9+K$5)-INT((Census!$F9+K$5))&gt;0.5,1,0)),Assumptions!$B$10))</f>
        <v>16267.21427463458</v>
      </c>
      <c r="L9" s="30">
        <f>IF(L$5&gt;$B9,0,INDEX(Decrements!$G$6:$G$58,Census!$G9+L$5-18)/INDEX(Decrements!$G$6:$G$58,Census!$G9-17)*(INDEX(Decrements!$D$6:$D$58,Census!$G9+L$5-18)+IF(L$5=$B9,INDEX(Decrements!$F$6:$F$58,Census!$G9+L$5-18),0)+INDEX(Decrements!$E$6:$E$58,Census!$G9+L$5-18)*IF((Census!$F9+L$5)&gt;=Assumptions!$B$11,1,0))*MIN(15/26*Census!$D9*(1+Assumptions!$B$9)^L$5*(INT((Census!$F9+L$5))+IF((Census!$F9+L$5)-INT((Census!$F9+L$5))&gt;0.5,1,0)),Assumptions!$B$10))</f>
        <v>18237.708949919452</v>
      </c>
      <c r="M9" s="30">
        <f>IF(M$5&gt;$B9,0,INDEX(Decrements!$G$6:$G$58,Census!$G9+M$5-18)/INDEX(Decrements!$G$6:$G$58,Census!$G9-17)*(INDEX(Decrements!$D$6:$D$58,Census!$G9+M$5-18)+IF(M$5=$B9,INDEX(Decrements!$F$6:$F$58,Census!$G9+M$5-18),0)+INDEX(Decrements!$E$6:$E$58,Census!$G9+M$5-18)*IF((Census!$F9+M$5)&gt;=Assumptions!$B$11,1,0))*MIN(15/26*Census!$D9*(1+Assumptions!$B$9)^M$5*(INT((Census!$F9+M$5))+IF((Census!$F9+M$5)-INT((Census!$F9+M$5))&gt;0.5,1,0)),Assumptions!$B$10))</f>
        <v>20373.815916830918</v>
      </c>
      <c r="N9" s="30">
        <f>IF(N$5&gt;$B9,0,INDEX(Decrements!$G$6:$G$58,Census!$G9+N$5-18)/INDEX(Decrements!$G$6:$G$58,Census!$G9-17)*(INDEX(Decrements!$D$6:$D$58,Census!$G9+N$5-18)+IF(N$5=$B9,INDEX(Decrements!$F$6:$F$58,Census!$G9+N$5-18),0)+INDEX(Decrements!$E$6:$E$58,Census!$G9+N$5-18)*IF((Census!$F9+N$5)&gt;=Assumptions!$B$11,1,0))*MIN(15/26*Census!$D9*(1+Assumptions!$B$9)^N$5*(INT((Census!$F9+N$5))+IF((Census!$F9+N$5)-INT((Census!$F9+N$5))&gt;0.5,1,0)),Assumptions!$B$10))</f>
        <v>15786.178135709097</v>
      </c>
      <c r="O9" s="30">
        <f>IF(O$5&gt;$B9,0,INDEX(Decrements!$G$6:$G$58,Census!$G9+O$5-18)/INDEX(Decrements!$G$6:$G$58,Census!$G9-17)*(INDEX(Decrements!$D$6:$D$58,Census!$G9+O$5-18)+IF(O$5=$B9,INDEX(Decrements!$F$6:$F$58,Census!$G9+O$5-18),0)+INDEX(Decrements!$E$6:$E$58,Census!$G9+O$5-18)*IF((Census!$F9+O$5)&gt;=Assumptions!$B$11,1,0))*MIN(15/26*Census!$D9*(1+Assumptions!$B$9)^O$5*(INT((Census!$F9+O$5))+IF((Census!$F9+O$5)-INT((Census!$F9+O$5))&gt;0.5,1,0)),Assumptions!$B$10))</f>
        <v>17771.519939982612</v>
      </c>
      <c r="P9" s="30">
        <f>IF(P$5&gt;$B9,0,INDEX(Decrements!$G$6:$G$58,Census!$G9+P$5-18)/INDEX(Decrements!$G$6:$G$58,Census!$G9-17)*(INDEX(Decrements!$D$6:$D$58,Census!$G9+P$5-18)+IF(P$5=$B9,INDEX(Decrements!$F$6:$F$58,Census!$G9+P$5-18),0)+INDEX(Decrements!$E$6:$E$58,Census!$G9+P$5-18)*IF((Census!$F9+P$5)&gt;=Assumptions!$B$11,1,0))*MIN(15/26*Census!$D9*(1+Assumptions!$B$9)^P$5*(INT((Census!$F9+P$5))+IF((Census!$F9+P$5)-INT((Census!$F9+P$5))&gt;0.5,1,0)),Assumptions!$B$10))</f>
        <v>19964.595432066857</v>
      </c>
      <c r="Q9" s="30">
        <f>IF(Q$5&gt;$B9,0,INDEX(Decrements!$G$6:$G$58,Census!$G9+Q$5-18)/INDEX(Decrements!$G$6:$G$58,Census!$G9-17)*(INDEX(Decrements!$D$6:$D$58,Census!$G9+Q$5-18)+IF(Q$5=$B9,INDEX(Decrements!$F$6:$F$58,Census!$G9+Q$5-18),0)+INDEX(Decrements!$E$6:$E$58,Census!$G9+Q$5-18)*IF((Census!$F9+Q$5)&gt;=Assumptions!$B$11,1,0))*MIN(15/26*Census!$D9*(1+Assumptions!$B$9)^Q$5*(INT((Census!$F9+Q$5))+IF((Census!$F9+Q$5)-INT((Census!$F9+Q$5))&gt;0.5,1,0)),Assumptions!$B$10))</f>
        <v>22388.321308896597</v>
      </c>
      <c r="R9" s="30">
        <f>IF(R$5&gt;$B9,0,INDEX(Decrements!$G$6:$G$58,Census!$G9+R$5-18)/INDEX(Decrements!$G$6:$G$58,Census!$G9-17)*(INDEX(Decrements!$D$6:$D$58,Census!$G9+R$5-18)+IF(R$5=$B9,INDEX(Decrements!$F$6:$F$58,Census!$G9+R$5-18),0)+INDEX(Decrements!$E$6:$E$58,Census!$G9+R$5-18)*IF((Census!$F9+R$5)&gt;=Assumptions!$B$11,1,0))*MIN(15/26*Census!$D9*(1+Assumptions!$B$9)^R$5*(INT((Census!$F9+R$5))+IF((Census!$F9+R$5)-INT((Census!$F9+R$5))&gt;0.5,1,0)),Assumptions!$B$10))</f>
        <v>25068.486762389446</v>
      </c>
      <c r="S9" s="30">
        <f>IF(S$5&gt;$B9,0,INDEX(Decrements!$G$6:$G$58,Census!$G9+S$5-18)/INDEX(Decrements!$G$6:$G$58,Census!$G9-17)*(INDEX(Decrements!$D$6:$D$58,Census!$G9+S$5-18)+IF(S$5=$B9,INDEX(Decrements!$F$6:$F$58,Census!$G9+S$5-18),0)+INDEX(Decrements!$E$6:$E$58,Census!$G9+S$5-18)*IF((Census!$F9+S$5)&gt;=Assumptions!$B$11,1,0))*MIN(15/26*Census!$D9*(1+Assumptions!$B$9)^S$5*(INT((Census!$F9+S$5))+IF((Census!$F9+S$5)-INT((Census!$F9+S$5))&gt;0.5,1,0)),Assumptions!$B$10))</f>
        <v>15238.09938259788</v>
      </c>
      <c r="T9" s="30">
        <f>IF(T$5&gt;$B9,0,INDEX(Decrements!$G$6:$G$58,Census!$G9+T$5-18)/INDEX(Decrements!$G$6:$G$58,Census!$G9-17)*(INDEX(Decrements!$D$6:$D$58,Census!$G9+T$5-18)+IF(T$5=$B9,INDEX(Decrements!$F$6:$F$58,Census!$G9+T$5-18),0)+INDEX(Decrements!$E$6:$E$58,Census!$G9+T$5-18)*IF((Census!$F9+T$5)&gt;=Assumptions!$B$11,1,0))*MIN(15/26*Census!$D9*(1+Assumptions!$B$9)^T$5*(INT((Census!$F9+T$5))+IF((Census!$F9+T$5)-INT((Census!$F9+T$5))&gt;0.5,1,0)),Assumptions!$B$10))</f>
        <v>15430.22557286387</v>
      </c>
      <c r="U9" s="30">
        <f>IF(U$5&gt;$B9,0,INDEX(Decrements!$G$6:$G$58,Census!$G9+U$5-18)/INDEX(Decrements!$G$6:$G$58,Census!$G9-17)*(INDEX(Decrements!$D$6:$D$58,Census!$G9+U$5-18)+IF(U$5=$B9,INDEX(Decrements!$F$6:$F$58,Census!$G9+U$5-18),0)+INDEX(Decrements!$E$6:$E$58,Census!$G9+U$5-18)*IF((Census!$F9+U$5)&gt;=Assumptions!$B$11,1,0))*MIN(15/26*Census!$D9*(1+Assumptions!$B$9)^U$5*(INT((Census!$F9+U$5))+IF((Census!$F9+U$5)-INT((Census!$F9+U$5))&gt;0.5,1,0)),Assumptions!$B$10))</f>
        <v>15647.772402611306</v>
      </c>
      <c r="V9" s="30">
        <f>IF(V$5&gt;$B9,0,INDEX(Decrements!$G$6:$G$58,Census!$G9+V$5-18)/INDEX(Decrements!$G$6:$G$58,Census!$G9-17)*(INDEX(Decrements!$D$6:$D$58,Census!$G9+V$5-18)+IF(V$5=$B9,INDEX(Decrements!$F$6:$F$58,Census!$G9+V$5-18),0)+INDEX(Decrements!$E$6:$E$58,Census!$G9+V$5-18)*IF((Census!$F9+V$5)&gt;=Assumptions!$B$11,1,0))*MIN(15/26*Census!$D9*(1+Assumptions!$B$9)^V$5*(INT((Census!$F9+V$5))+IF((Census!$F9+V$5)-INT((Census!$F9+V$5))&gt;0.5,1,0)),Assumptions!$B$10))</f>
        <v>15892.218432355952</v>
      </c>
      <c r="W9" s="30">
        <f>IF(W$5&gt;$B9,0,INDEX(Decrements!$G$6:$G$58,Census!$G9+W$5-18)/INDEX(Decrements!$G$6:$G$58,Census!$G9-17)*(INDEX(Decrements!$D$6:$D$58,Census!$G9+W$5-18)+IF(W$5=$B9,INDEX(Decrements!$F$6:$F$58,Census!$G9+W$5-18),0)+INDEX(Decrements!$E$6:$E$58,Census!$G9+W$5-18)*IF((Census!$F9+W$5)&gt;=Assumptions!$B$11,1,0))*MIN(15/26*Census!$D9*(1+Assumptions!$B$9)^W$5*(INT((Census!$F9+W$5))+IF((Census!$F9+W$5)-INT((Census!$F9+W$5))&gt;0.5,1,0)),Assumptions!$B$10))</f>
        <v>1002340.4356170596</v>
      </c>
      <c r="X9" s="30">
        <f>IF(X$5&gt;$B9,0,INDEX(Decrements!$G$6:$G$58,Census!$G9+X$5-18)/INDEX(Decrements!$G$6:$G$58,Census!$G9-17)*(INDEX(Decrements!$D$6:$D$58,Census!$G9+X$5-18)+IF(X$5=$B9,INDEX(Decrements!$F$6:$F$58,Census!$G9+X$5-18),0)+INDEX(Decrements!$E$6:$E$58,Census!$G9+X$5-18)*IF((Census!$F9+X$5)&gt;=Assumptions!$B$11,1,0))*MIN(15/26*Census!$D9*(1+Assumptions!$B$9)^X$5*(INT((Census!$F9+X$5))+IF((Census!$F9+X$5)-INT((Census!$F9+X$5))&gt;0.5,1,0)),Assumptions!$B$10))</f>
        <v>0</v>
      </c>
      <c r="Y9" s="30">
        <f>IF(Y$5&gt;$B9,0,INDEX(Decrements!$G$6:$G$58,Census!$G9+Y$5-18)/INDEX(Decrements!$G$6:$G$58,Census!$G9-17)*(INDEX(Decrements!$D$6:$D$58,Census!$G9+Y$5-18)+IF(Y$5=$B9,INDEX(Decrements!$F$6:$F$58,Census!$G9+Y$5-18),0)+INDEX(Decrements!$E$6:$E$58,Census!$G9+Y$5-18)*IF((Census!$F9+Y$5)&gt;=Assumptions!$B$11,1,0))*MIN(15/26*Census!$D9*(1+Assumptions!$B$9)^Y$5*(INT((Census!$F9+Y$5))+IF((Census!$F9+Y$5)-INT((Census!$F9+Y$5))&gt;0.5,1,0)),Assumptions!$B$10))</f>
        <v>0</v>
      </c>
      <c r="Z9" s="30">
        <f>IF(Z$5&gt;$B9,0,INDEX(Decrements!$G$6:$G$58,Census!$G9+Z$5-18)/INDEX(Decrements!$G$6:$G$58,Census!$G9-17)*(INDEX(Decrements!$D$6:$D$58,Census!$G9+Z$5-18)+IF(Z$5=$B9,INDEX(Decrements!$F$6:$F$58,Census!$G9+Z$5-18),0)+INDEX(Decrements!$E$6:$E$58,Census!$G9+Z$5-18)*IF((Census!$F9+Z$5)&gt;=Assumptions!$B$11,1,0))*MIN(15/26*Census!$D9*(1+Assumptions!$B$9)^Z$5*(INT((Census!$F9+Z$5))+IF((Census!$F9+Z$5)-INT((Census!$F9+Z$5))&gt;0.5,1,0)),Assumptions!$B$10))</f>
        <v>0</v>
      </c>
      <c r="AA9" s="30">
        <f>IF(AA$5&gt;$B9,0,INDEX(Decrements!$G$6:$G$58,Census!$G9+AA$5-18)/INDEX(Decrements!$G$6:$G$58,Census!$G9-17)*(INDEX(Decrements!$D$6:$D$58,Census!$G9+AA$5-18)+IF(AA$5=$B9,INDEX(Decrements!$F$6:$F$58,Census!$G9+AA$5-18),0)+INDEX(Decrements!$E$6:$E$58,Census!$G9+AA$5-18)*IF((Census!$F9+AA$5)&gt;=Assumptions!$B$11,1,0))*MIN(15/26*Census!$D9*(1+Assumptions!$B$9)^AA$5*(INT((Census!$F9+AA$5))+IF((Census!$F9+AA$5)-INT((Census!$F9+AA$5))&gt;0.5,1,0)),Assumptions!$B$10))</f>
        <v>0</v>
      </c>
      <c r="AB9" s="30">
        <f>IF(AB$5&gt;$B9,0,INDEX(Decrements!$G$6:$G$58,Census!$G9+AB$5-18)/INDEX(Decrements!$G$6:$G$58,Census!$G9-17)*(INDEX(Decrements!$D$6:$D$58,Census!$G9+AB$5-18)+IF(AB$5=$B9,INDEX(Decrements!$F$6:$F$58,Census!$G9+AB$5-18),0)+INDEX(Decrements!$E$6:$E$58,Census!$G9+AB$5-18)*IF((Census!$F9+AB$5)&gt;=Assumptions!$B$11,1,0))*MIN(15/26*Census!$D9*(1+Assumptions!$B$9)^AB$5*(INT((Census!$F9+AB$5))+IF((Census!$F9+AB$5)-INT((Census!$F9+AB$5))&gt;0.5,1,0)),Assumptions!$B$10))</f>
        <v>0</v>
      </c>
      <c r="AC9" s="30">
        <f>IF(AC$5&gt;$B9,0,INDEX(Decrements!$G$6:$G$58,Census!$G9+AC$5-18)/INDEX(Decrements!$G$6:$G$58,Census!$G9-17)*(INDEX(Decrements!$D$6:$D$58,Census!$G9+AC$5-18)+IF(AC$5=$B9,INDEX(Decrements!$F$6:$F$58,Census!$G9+AC$5-18),0)+INDEX(Decrements!$E$6:$E$58,Census!$G9+AC$5-18)*IF((Census!$F9+AC$5)&gt;=Assumptions!$B$11,1,0))*MIN(15/26*Census!$D9*(1+Assumptions!$B$9)^AC$5*(INT((Census!$F9+AC$5))+IF((Census!$F9+AC$5)-INT((Census!$F9+AC$5))&gt;0.5,1,0)),Assumptions!$B$10))</f>
        <v>0</v>
      </c>
      <c r="AD9" s="30">
        <f>IF(AD$5&gt;$B9,0,INDEX(Decrements!$G$6:$G$58,Census!$G9+AD$5-18)/INDEX(Decrements!$G$6:$G$58,Census!$G9-17)*(INDEX(Decrements!$D$6:$D$58,Census!$G9+AD$5-18)+IF(AD$5=$B9,INDEX(Decrements!$F$6:$F$58,Census!$G9+AD$5-18),0)+INDEX(Decrements!$E$6:$E$58,Census!$G9+AD$5-18)*IF((Census!$F9+AD$5)&gt;=Assumptions!$B$11,1,0))*MIN(15/26*Census!$D9*(1+Assumptions!$B$9)^AD$5*(INT((Census!$F9+AD$5))+IF((Census!$F9+AD$5)-INT((Census!$F9+AD$5))&gt;0.5,1,0)),Assumptions!$B$10))</f>
        <v>0</v>
      </c>
      <c r="AE9" s="30">
        <f>IF(AE$5&gt;$B9,0,INDEX(Decrements!$G$6:$G$58,Census!$G9+AE$5-18)/INDEX(Decrements!$G$6:$G$58,Census!$G9-17)*(INDEX(Decrements!$D$6:$D$58,Census!$G9+AE$5-18)+IF(AE$5=$B9,INDEX(Decrements!$F$6:$F$58,Census!$G9+AE$5-18),0)+INDEX(Decrements!$E$6:$E$58,Census!$G9+AE$5-18)*IF((Census!$F9+AE$5)&gt;=Assumptions!$B$11,1,0))*MIN(15/26*Census!$D9*(1+Assumptions!$B$9)^AE$5*(INT((Census!$F9+AE$5))+IF((Census!$F9+AE$5)-INT((Census!$F9+AE$5))&gt;0.5,1,0)),Assumptions!$B$10))</f>
        <v>0</v>
      </c>
      <c r="AF9" s="30">
        <f>IF(AF$5&gt;$B9,0,INDEX(Decrements!$G$6:$G$58,Census!$G9+AF$5-18)/INDEX(Decrements!$G$6:$G$58,Census!$G9-17)*(INDEX(Decrements!$D$6:$D$58,Census!$G9+AF$5-18)+IF(AF$5=$B9,INDEX(Decrements!$F$6:$F$58,Census!$G9+AF$5-18),0)+INDEX(Decrements!$E$6:$E$58,Census!$G9+AF$5-18)*IF((Census!$F9+AF$5)&gt;=Assumptions!$B$11,1,0))*MIN(15/26*Census!$D9*(1+Assumptions!$B$9)^AF$5*(INT((Census!$F9+AF$5))+IF((Census!$F9+AF$5)-INT((Census!$F9+AF$5))&gt;0.5,1,0)),Assumptions!$B$10))</f>
        <v>0</v>
      </c>
      <c r="AG9" s="30">
        <f>IF(AG$5&gt;$B9,0,INDEX(Decrements!$G$6:$G$58,Census!$G9+AG$5-18)/INDEX(Decrements!$G$6:$G$58,Census!$G9-17)*(INDEX(Decrements!$D$6:$D$58,Census!$G9+AG$5-18)+IF(AG$5=$B9,INDEX(Decrements!$F$6:$F$58,Census!$G9+AG$5-18),0)+INDEX(Decrements!$E$6:$E$58,Census!$G9+AG$5-18)*IF((Census!$F9+AG$5)&gt;=Assumptions!$B$11,1,0))*MIN(15/26*Census!$D9*(1+Assumptions!$B$9)^AG$5*(INT((Census!$F9+AG$5))+IF((Census!$F9+AG$5)-INT((Census!$F9+AG$5))&gt;0.5,1,0)),Assumptions!$B$10))</f>
        <v>0</v>
      </c>
      <c r="AH9" s="30">
        <f>IF(AH$5&gt;$B9,0,INDEX(Decrements!$G$6:$G$58,Census!$G9+AH$5-18)/INDEX(Decrements!$G$6:$G$58,Census!$G9-17)*(INDEX(Decrements!$D$6:$D$58,Census!$G9+AH$5-18)+IF(AH$5=$B9,INDEX(Decrements!$F$6:$F$58,Census!$G9+AH$5-18),0)+INDEX(Decrements!$E$6:$E$58,Census!$G9+AH$5-18)*IF((Census!$F9+AH$5)&gt;=Assumptions!$B$11,1,0))*MIN(15/26*Census!$D9*(1+Assumptions!$B$9)^AH$5*(INT((Census!$F9+AH$5))+IF((Census!$F9+AH$5)-INT((Census!$F9+AH$5))&gt;0.5,1,0)),Assumptions!$B$10))</f>
        <v>0</v>
      </c>
      <c r="AI9" s="30">
        <f>IF(AI$5&gt;$B9,0,INDEX(Decrements!$G$6:$G$58,Census!$G9+AI$5-18)/INDEX(Decrements!$G$6:$G$58,Census!$G9-17)*(INDEX(Decrements!$D$6:$D$58,Census!$G9+AI$5-18)+IF(AI$5=$B9,INDEX(Decrements!$F$6:$F$58,Census!$G9+AI$5-18),0)+INDEX(Decrements!$E$6:$E$58,Census!$G9+AI$5-18)*IF((Census!$F9+AI$5)&gt;=Assumptions!$B$11,1,0))*MIN(15/26*Census!$D9*(1+Assumptions!$B$9)^AI$5*(INT((Census!$F9+AI$5))+IF((Census!$F9+AI$5)-INT((Census!$F9+AI$5))&gt;0.5,1,0)),Assumptions!$B$10))</f>
        <v>0</v>
      </c>
      <c r="AJ9" s="30">
        <f>IF(AJ$5&gt;$B9,0,INDEX(Decrements!$G$6:$G$58,Census!$G9+AJ$5-18)/INDEX(Decrements!$G$6:$G$58,Census!$G9-17)*(INDEX(Decrements!$D$6:$D$58,Census!$G9+AJ$5-18)+IF(AJ$5=$B9,INDEX(Decrements!$F$6:$F$58,Census!$G9+AJ$5-18),0)+INDEX(Decrements!$E$6:$E$58,Census!$G9+AJ$5-18)*IF((Census!$F9+AJ$5)&gt;=Assumptions!$B$11,1,0))*MIN(15/26*Census!$D9*(1+Assumptions!$B$9)^AJ$5*(INT((Census!$F9+AJ$5))+IF((Census!$F9+AJ$5)-INT((Census!$F9+AJ$5))&gt;0.5,1,0)),Assumptions!$B$10))</f>
        <v>0</v>
      </c>
      <c r="AK9" s="30">
        <f>IF(AK$5&gt;$B9,0,INDEX(Decrements!$G$6:$G$58,Census!$G9+AK$5-18)/INDEX(Decrements!$G$6:$G$58,Census!$G9-17)*(INDEX(Decrements!$D$6:$D$58,Census!$G9+AK$5-18)+IF(AK$5=$B9,INDEX(Decrements!$F$6:$F$58,Census!$G9+AK$5-18),0)+INDEX(Decrements!$E$6:$E$58,Census!$G9+AK$5-18)*IF((Census!$F9+AK$5)&gt;=Assumptions!$B$11,1,0))*MIN(15/26*Census!$D9*(1+Assumptions!$B$9)^AK$5*(INT((Census!$F9+AK$5))+IF((Census!$F9+AK$5)-INT((Census!$F9+AK$5))&gt;0.5,1,0)),Assumptions!$B$10))</f>
        <v>0</v>
      </c>
      <c r="AL9" s="30">
        <f>IF(AL$5&gt;$B9,0,INDEX(Decrements!$G$6:$G$58,Census!$G9+AL$5-18)/INDEX(Decrements!$G$6:$G$58,Census!$G9-17)*(INDEX(Decrements!$D$6:$D$58,Census!$G9+AL$5-18)+IF(AL$5=$B9,INDEX(Decrements!$F$6:$F$58,Census!$G9+AL$5-18),0)+INDEX(Decrements!$E$6:$E$58,Census!$G9+AL$5-18)*IF((Census!$F9+AL$5)&gt;=Assumptions!$B$11,1,0))*MIN(15/26*Census!$D9*(1+Assumptions!$B$9)^AL$5*(INT((Census!$F9+AL$5))+IF((Census!$F9+AL$5)-INT((Census!$F9+AL$5))&gt;0.5,1,0)),Assumptions!$B$10))</f>
        <v>0</v>
      </c>
      <c r="AM9" s="30">
        <f>IF(AM$5&gt;$B9,0,INDEX(Decrements!$G$6:$G$58,Census!$G9+AM$5-18)/INDEX(Decrements!$G$6:$G$58,Census!$G9-17)*(INDEX(Decrements!$D$6:$D$58,Census!$G9+AM$5-18)+IF(AM$5=$B9,INDEX(Decrements!$F$6:$F$58,Census!$G9+AM$5-18),0)+INDEX(Decrements!$E$6:$E$58,Census!$G9+AM$5-18)*IF((Census!$F9+AM$5)&gt;=Assumptions!$B$11,1,0))*MIN(15/26*Census!$D9*(1+Assumptions!$B$9)^AM$5*(INT((Census!$F9+AM$5))+IF((Census!$F9+AM$5)-INT((Census!$F9+AM$5))&gt;0.5,1,0)),Assumptions!$B$10))</f>
        <v>0</v>
      </c>
      <c r="AN9" s="30">
        <f>IF(AN$5&gt;$B9,0,INDEX(Decrements!$G$6:$G$58,Census!$G9+AN$5-18)/INDEX(Decrements!$G$6:$G$58,Census!$G9-17)*(INDEX(Decrements!$D$6:$D$58,Census!$G9+AN$5-18)+IF(AN$5=$B9,INDEX(Decrements!$F$6:$F$58,Census!$G9+AN$5-18),0)+INDEX(Decrements!$E$6:$E$58,Census!$G9+AN$5-18)*IF((Census!$F9+AN$5)&gt;=Assumptions!$B$11,1,0))*MIN(15/26*Census!$D9*(1+Assumptions!$B$9)^AN$5*(INT((Census!$F9+AN$5))+IF((Census!$F9+AN$5)-INT((Census!$F9+AN$5))&gt;0.5,1,0)),Assumptions!$B$10))</f>
        <v>0</v>
      </c>
      <c r="AO9" s="30">
        <f>IF(AO$5&gt;$B9,0,INDEX(Decrements!$G$6:$G$58,Census!$G9+AO$5-18)/INDEX(Decrements!$G$6:$G$58,Census!$G9-17)*(INDEX(Decrements!$D$6:$D$58,Census!$G9+AO$5-18)+IF(AO$5=$B9,INDEX(Decrements!$F$6:$F$58,Census!$G9+AO$5-18),0)+INDEX(Decrements!$E$6:$E$58,Census!$G9+AO$5-18)*IF((Census!$F9+AO$5)&gt;=Assumptions!$B$11,1,0))*MIN(15/26*Census!$D9*(1+Assumptions!$B$9)^AO$5*(INT((Census!$F9+AO$5))+IF((Census!$F9+AO$5)-INT((Census!$F9+AO$5))&gt;0.5,1,0)),Assumptions!$B$10))</f>
        <v>0</v>
      </c>
      <c r="AP9" s="30">
        <f>IF(AP$5&gt;$B9,0,INDEX(Decrements!$G$6:$G$58,Census!$G9+AP$5-18)/INDEX(Decrements!$G$6:$G$58,Census!$G9-17)*(INDEX(Decrements!$D$6:$D$58,Census!$G9+AP$5-18)+IF(AP$5=$B9,INDEX(Decrements!$F$6:$F$58,Census!$G9+AP$5-18),0)+INDEX(Decrements!$E$6:$E$58,Census!$G9+AP$5-18)*IF((Census!$F9+AP$5)&gt;=Assumptions!$B$11,1,0))*MIN(15/26*Census!$D9*(1+Assumptions!$B$9)^AP$5*(INT((Census!$F9+AP$5))+IF((Census!$F9+AP$5)-INT((Census!$F9+AP$5))&gt;0.5,1,0)),Assumptions!$B$10))</f>
        <v>0</v>
      </c>
      <c r="AQ9" s="30">
        <f>IF(AQ$5&gt;$B9,0,INDEX(Decrements!$G$6:$G$58,Census!$G9+AQ$5-18)/INDEX(Decrements!$G$6:$G$58,Census!$G9-17)*(INDEX(Decrements!$D$6:$D$58,Census!$G9+AQ$5-18)+IF(AQ$5=$B9,INDEX(Decrements!$F$6:$F$58,Census!$G9+AQ$5-18),0)+INDEX(Decrements!$E$6:$E$58,Census!$G9+AQ$5-18)*IF((Census!$F9+AQ$5)&gt;=Assumptions!$B$11,1,0))*MIN(15/26*Census!$D9*(1+Assumptions!$B$9)^AQ$5*(INT((Census!$F9+AQ$5))+IF((Census!$F9+AQ$5)-INT((Census!$F9+AQ$5))&gt;0.5,1,0)),Assumptions!$B$10))</f>
        <v>0</v>
      </c>
      <c r="AR9" s="30">
        <f>IF(AR$5&gt;$B9,0,INDEX(Decrements!$G$6:$G$58,Census!$G9+AR$5-18)/INDEX(Decrements!$G$6:$G$58,Census!$G9-17)*(INDEX(Decrements!$D$6:$D$58,Census!$G9+AR$5-18)+IF(AR$5=$B9,INDEX(Decrements!$F$6:$F$58,Census!$G9+AR$5-18),0)+INDEX(Decrements!$E$6:$E$58,Census!$G9+AR$5-18)*IF((Census!$F9+AR$5)&gt;=Assumptions!$B$11,1,0))*MIN(15/26*Census!$D9*(1+Assumptions!$B$9)^AR$5*(INT((Census!$F9+AR$5))+IF((Census!$F9+AR$5)-INT((Census!$F9+AR$5))&gt;0.5,1,0)),Assumptions!$B$10))</f>
        <v>0</v>
      </c>
      <c r="AS9" s="30">
        <f>IF(AS$5&gt;$B9,0,INDEX(Decrements!$G$6:$G$58,Census!$G9+AS$5-18)/INDEX(Decrements!$G$6:$G$58,Census!$G9-17)*(INDEX(Decrements!$D$6:$D$58,Census!$G9+AS$5-18)+IF(AS$5=$B9,INDEX(Decrements!$F$6:$F$58,Census!$G9+AS$5-18),0)+INDEX(Decrements!$E$6:$E$58,Census!$G9+AS$5-18)*IF((Census!$F9+AS$5)&gt;=Assumptions!$B$11,1,0))*MIN(15/26*Census!$D9*(1+Assumptions!$B$9)^AS$5*(INT((Census!$F9+AS$5))+IF((Census!$F9+AS$5)-INT((Census!$F9+AS$5))&gt;0.5,1,0)),Assumptions!$B$10))</f>
        <v>0</v>
      </c>
      <c r="AT9" s="30">
        <f>IF(AT$5&gt;$B9,0,INDEX(Decrements!$G$6:$G$58,Census!$G9+AT$5-18)/INDEX(Decrements!$G$6:$G$58,Census!$G9-17)*(INDEX(Decrements!$D$6:$D$58,Census!$G9+AT$5-18)+IF(AT$5=$B9,INDEX(Decrements!$F$6:$F$58,Census!$G9+AT$5-18),0)+INDEX(Decrements!$E$6:$E$58,Census!$G9+AT$5-18)*IF((Census!$F9+AT$5)&gt;=Assumptions!$B$11,1,0))*MIN(15/26*Census!$D9*(1+Assumptions!$B$9)^AT$5*(INT((Census!$F9+AT$5))+IF((Census!$F9+AT$5)-INT((Census!$F9+AT$5))&gt;0.5,1,0)),Assumptions!$B$10))</f>
        <v>0</v>
      </c>
      <c r="AU9" s="30">
        <f>IF(AU$5&gt;$B9,0,INDEX(Decrements!$G$6:$G$58,Census!$G9+AU$5-18)/INDEX(Decrements!$G$6:$G$58,Census!$G9-17)*(INDEX(Decrements!$D$6:$D$58,Census!$G9+AU$5-18)+IF(AU$5=$B9,INDEX(Decrements!$F$6:$F$58,Census!$G9+AU$5-18),0)+INDEX(Decrements!$E$6:$E$58,Census!$G9+AU$5-18)*IF((Census!$F9+AU$5)&gt;=Assumptions!$B$11,1,0))*MIN(15/26*Census!$D9*(1+Assumptions!$B$9)^AU$5*(INT((Census!$F9+AU$5))+IF((Census!$F9+AU$5)-INT((Census!$F9+AU$5))&gt;0.5,1,0)),Assumptions!$B$10))</f>
        <v>0</v>
      </c>
    </row>
    <row r="10" spans="1:47" x14ac:dyDescent="0.3">
      <c r="A10" s="10" t="str">
        <f>Census!A10</f>
        <v>E005</v>
      </c>
      <c r="B10" s="29">
        <f>Census!H10</f>
        <v>25</v>
      </c>
      <c r="C10" s="30">
        <f>IF(C$5&gt;$B10,0,INDEX(Decrements!$G$6:$G$58,Census!$G10+C$5-18)/INDEX(Decrements!$G$6:$G$58,Census!$G10-17)*(INDEX(Decrements!$D$6:$D$58,Census!$G10+C$5-18)+IF(C$5=$B10,INDEX(Decrements!$F$6:$F$58,Census!$G10+C$5-18),0)+INDEX(Decrements!$E$6:$E$58,Census!$G10+C$5-18)*IF((Census!$F10+C$5)&gt;=Assumptions!$B$11,1,0))*MIN(15/26*Census!$D10*(1+Assumptions!$B$9)^C$5*(INT((Census!$F10+C$5))+IF((Census!$F10+C$5)-INT((Census!$F10+C$5))&gt;0.5,1,0)),Assumptions!$B$10))</f>
        <v>24702.469204132405</v>
      </c>
      <c r="D10" s="30">
        <f>IF(D$5&gt;$B10,0,INDEX(Decrements!$G$6:$G$58,Census!$G10+D$5-18)/INDEX(Decrements!$G$6:$G$58,Census!$G10-17)*(INDEX(Decrements!$D$6:$D$58,Census!$G10+D$5-18)+IF(D$5=$B10,INDEX(Decrements!$F$6:$F$58,Census!$G10+D$5-18),0)+INDEX(Decrements!$E$6:$E$58,Census!$G10+D$5-18)*IF((Census!$F10+D$5)&gt;=Assumptions!$B$11,1,0))*MIN(15/26*Census!$D10*(1+Assumptions!$B$9)^D$5*(INT((Census!$F10+D$5))+IF((Census!$F10+D$5)-INT((Census!$F10+D$5))&gt;0.5,1,0)),Assumptions!$B$10))</f>
        <v>26990.170357353298</v>
      </c>
      <c r="E10" s="30">
        <f>IF(E$5&gt;$B10,0,INDEX(Decrements!$G$6:$G$58,Census!$G10+E$5-18)/INDEX(Decrements!$G$6:$G$58,Census!$G10-17)*(INDEX(Decrements!$D$6:$D$58,Census!$G10+E$5-18)+IF(E$5=$B10,INDEX(Decrements!$F$6:$F$58,Census!$G10+E$5-18),0)+INDEX(Decrements!$E$6:$E$58,Census!$G10+E$5-18)*IF((Census!$F10+E$5)&gt;=Assumptions!$B$11,1,0))*MIN(15/26*Census!$D10*(1+Assumptions!$B$9)^E$5*(INT((Census!$F10+E$5))+IF((Census!$F10+E$5)-INT((Census!$F10+E$5))&gt;0.5,1,0)),Assumptions!$B$10))</f>
        <v>29246.236463513458</v>
      </c>
      <c r="F10" s="30">
        <f>IF(F$5&gt;$B10,0,INDEX(Decrements!$G$6:$G$58,Census!$G10+F$5-18)/INDEX(Decrements!$G$6:$G$58,Census!$G10-17)*(INDEX(Decrements!$D$6:$D$58,Census!$G10+F$5-18)+IF(F$5=$B10,INDEX(Decrements!$F$6:$F$58,Census!$G10+F$5-18),0)+INDEX(Decrements!$E$6:$E$58,Census!$G10+F$5-18)*IF((Census!$F10+F$5)&gt;=Assumptions!$B$11,1,0))*MIN(15/26*Census!$D10*(1+Assumptions!$B$9)^F$5*(INT((Census!$F10+F$5))+IF((Census!$F10+F$5)-INT((Census!$F10+F$5))&gt;0.5,1,0)),Assumptions!$B$10))</f>
        <v>31471.061512115877</v>
      </c>
      <c r="G10" s="30">
        <f>IF(G$5&gt;$B10,0,INDEX(Decrements!$G$6:$G$58,Census!$G10+G$5-18)/INDEX(Decrements!$G$6:$G$58,Census!$G10-17)*(INDEX(Decrements!$D$6:$D$58,Census!$G10+G$5-18)+IF(G$5=$B10,INDEX(Decrements!$F$6:$F$58,Census!$G10+G$5-18),0)+INDEX(Decrements!$E$6:$E$58,Census!$G10+G$5-18)*IF((Census!$F10+G$5)&gt;=Assumptions!$B$11,1,0))*MIN(15/26*Census!$D10*(1+Assumptions!$B$9)^G$5*(INT((Census!$F10+G$5))+IF((Census!$F10+G$5)-INT((Census!$F10+G$5))&gt;0.5,1,0)),Assumptions!$B$10))</f>
        <v>33665.04196375305</v>
      </c>
      <c r="H10" s="30">
        <f>IF(H$5&gt;$B10,0,INDEX(Decrements!$G$6:$G$58,Census!$G10+H$5-18)/INDEX(Decrements!$G$6:$G$58,Census!$G10-17)*(INDEX(Decrements!$D$6:$D$58,Census!$G10+H$5-18)+IF(H$5=$B10,INDEX(Decrements!$F$6:$F$58,Census!$G10+H$5-18),0)+INDEX(Decrements!$E$6:$E$58,Census!$G10+H$5-18)*IF((Census!$F10+H$5)&gt;=Assumptions!$B$11,1,0))*MIN(15/26*Census!$D10*(1+Assumptions!$B$9)^H$5*(INT((Census!$F10+H$5))+IF((Census!$F10+H$5)-INT((Census!$F10+H$5))&gt;0.5,1,0)),Assumptions!$B$10))</f>
        <v>22615.929221065591</v>
      </c>
      <c r="I10" s="30">
        <f>IF(I$5&gt;$B10,0,INDEX(Decrements!$G$6:$G$58,Census!$G10+I$5-18)/INDEX(Decrements!$G$6:$G$58,Census!$G10-17)*(INDEX(Decrements!$D$6:$D$58,Census!$G10+I$5-18)+IF(I$5=$B10,INDEX(Decrements!$F$6:$F$58,Census!$G10+I$5-18),0)+INDEX(Decrements!$E$6:$E$58,Census!$G10+I$5-18)*IF((Census!$F10+I$5)&gt;=Assumptions!$B$11,1,0))*MIN(15/26*Census!$D10*(1+Assumptions!$B$9)^I$5*(INT((Census!$F10+I$5))+IF((Census!$F10+I$5)-INT((Census!$F10+I$5))&gt;0.5,1,0)),Assumptions!$B$10))</f>
        <v>24760.915566870812</v>
      </c>
      <c r="J10" s="30">
        <f>IF(J$5&gt;$B10,0,INDEX(Decrements!$G$6:$G$58,Census!$G10+J$5-18)/INDEX(Decrements!$G$6:$G$58,Census!$G10-17)*(INDEX(Decrements!$D$6:$D$58,Census!$G10+J$5-18)+IF(J$5=$B10,INDEX(Decrements!$F$6:$F$58,Census!$G10+J$5-18),0)+INDEX(Decrements!$E$6:$E$58,Census!$G10+J$5-18)*IF((Census!$F10+J$5)&gt;=Assumptions!$B$11,1,0))*MIN(15/26*Census!$D10*(1+Assumptions!$B$9)^J$5*(INT((Census!$F10+J$5))+IF((Census!$F10+J$5)-INT((Census!$F10+J$5))&gt;0.5,1,0)),Assumptions!$B$10))</f>
        <v>27005.519788304588</v>
      </c>
      <c r="K10" s="30">
        <f>IF(K$5&gt;$B10,0,INDEX(Decrements!$G$6:$G$58,Census!$G10+K$5-18)/INDEX(Decrements!$G$6:$G$58,Census!$G10-17)*(INDEX(Decrements!$D$6:$D$58,Census!$G10+K$5-18)+IF(K$5=$B10,INDEX(Decrements!$F$6:$F$58,Census!$G10+K$5-18),0)+INDEX(Decrements!$E$6:$E$58,Census!$G10+K$5-18)*IF((Census!$F10+K$5)&gt;=Assumptions!$B$11,1,0))*MIN(15/26*Census!$D10*(1+Assumptions!$B$9)^K$5*(INT((Census!$F10+K$5))+IF((Census!$F10+K$5)-INT((Census!$F10+K$5))&gt;0.5,1,0)),Assumptions!$B$10))</f>
        <v>29354.142178403177</v>
      </c>
      <c r="L10" s="30">
        <f>IF(L$5&gt;$B10,0,INDEX(Decrements!$G$6:$G$58,Census!$G10+L$5-18)/INDEX(Decrements!$G$6:$G$58,Census!$G10-17)*(INDEX(Decrements!$D$6:$D$58,Census!$G10+L$5-18)+IF(L$5=$B10,INDEX(Decrements!$F$6:$F$58,Census!$G10+L$5-18),0)+INDEX(Decrements!$E$6:$E$58,Census!$G10+L$5-18)*IF((Census!$F10+L$5)&gt;=Assumptions!$B$11,1,0))*MIN(15/26*Census!$D10*(1+Assumptions!$B$9)^L$5*(INT((Census!$F10+L$5))+IF((Census!$F10+L$5)-INT((Census!$F10+L$5))&gt;0.5,1,0)),Assumptions!$B$10))</f>
        <v>31811.442274069643</v>
      </c>
      <c r="M10" s="30">
        <f>IF(M$5&gt;$B10,0,INDEX(Decrements!$G$6:$G$58,Census!$G10+M$5-18)/INDEX(Decrements!$G$6:$G$58,Census!$G10-17)*(INDEX(Decrements!$D$6:$D$58,Census!$G10+M$5-18)+IF(M$5=$B10,INDEX(Decrements!$F$6:$F$58,Census!$G10+M$5-18),0)+INDEX(Decrements!$E$6:$E$58,Census!$G10+M$5-18)*IF((Census!$F10+M$5)&gt;=Assumptions!$B$11,1,0))*MIN(15/26*Census!$D10*(1+Assumptions!$B$9)^M$5*(INT((Census!$F10+M$5))+IF((Census!$F10+M$5)-INT((Census!$F10+M$5))&gt;0.5,1,0)),Assumptions!$B$10))</f>
        <v>21140.909205974796</v>
      </c>
      <c r="N10" s="30">
        <f>IF(N$5&gt;$B10,0,INDEX(Decrements!$G$6:$G$58,Census!$G10+N$5-18)/INDEX(Decrements!$G$6:$G$58,Census!$G10-17)*(INDEX(Decrements!$D$6:$D$58,Census!$G10+N$5-18)+IF(N$5=$B10,INDEX(Decrements!$F$6:$F$58,Census!$G10+N$5-18),0)+INDEX(Decrements!$E$6:$E$58,Census!$G10+N$5-18)*IF((Census!$F10+N$5)&gt;=Assumptions!$B$11,1,0))*MIN(15/26*Census!$D10*(1+Assumptions!$B$9)^N$5*(INT((Census!$F10+N$5))+IF((Census!$F10+N$5)-INT((Census!$F10+N$5))&gt;0.5,1,0)),Assumptions!$B$10))</f>
        <v>23317.583075014671</v>
      </c>
      <c r="O10" s="30">
        <f>IF(O$5&gt;$B10,0,INDEX(Decrements!$G$6:$G$58,Census!$G10+O$5-18)/INDEX(Decrements!$G$6:$G$58,Census!$G10-17)*(INDEX(Decrements!$D$6:$D$58,Census!$G10+O$5-18)+IF(O$5=$B10,INDEX(Decrements!$F$6:$F$58,Census!$G10+O$5-18),0)+INDEX(Decrements!$E$6:$E$58,Census!$G10+O$5-18)*IF((Census!$F10+O$5)&gt;=Assumptions!$B$11,1,0))*MIN(15/26*Census!$D10*(1+Assumptions!$B$9)^O$5*(INT((Census!$F10+O$5))+IF((Census!$F10+O$5)-INT((Census!$F10+O$5))&gt;0.5,1,0)),Assumptions!$B$10))</f>
        <v>25667.365446120984</v>
      </c>
      <c r="P10" s="30">
        <f>IF(P$5&gt;$B10,0,INDEX(Decrements!$G$6:$G$58,Census!$G10+P$5-18)/INDEX(Decrements!$G$6:$G$58,Census!$G10-17)*(INDEX(Decrements!$D$6:$D$58,Census!$G10+P$5-18)+IF(P$5=$B10,INDEX(Decrements!$F$6:$F$58,Census!$G10+P$5-18),0)+INDEX(Decrements!$E$6:$E$58,Census!$G10+P$5-18)*IF((Census!$F10+P$5)&gt;=Assumptions!$B$11,1,0))*MIN(15/26*Census!$D10*(1+Assumptions!$B$9)^P$5*(INT((Census!$F10+P$5))+IF((Census!$F10+P$5)-INT((Census!$F10+P$5))&gt;0.5,1,0)),Assumptions!$B$10))</f>
        <v>28204.267106052925</v>
      </c>
      <c r="Q10" s="30">
        <f>IF(Q$5&gt;$B10,0,INDEX(Decrements!$G$6:$G$58,Census!$G10+Q$5-18)/INDEX(Decrements!$G$6:$G$58,Census!$G10-17)*(INDEX(Decrements!$D$6:$D$58,Census!$G10+Q$5-18)+IF(Q$5=$B10,INDEX(Decrements!$F$6:$F$58,Census!$G10+Q$5-18),0)+INDEX(Decrements!$E$6:$E$58,Census!$G10+Q$5-18)*IF((Census!$F10+Q$5)&gt;=Assumptions!$B$11,1,0))*MIN(15/26*Census!$D10*(1+Assumptions!$B$9)^Q$5*(INT((Census!$F10+Q$5))+IF((Census!$F10+Q$5)-INT((Census!$F10+Q$5))&gt;0.5,1,0)),Assumptions!$B$10))</f>
        <v>28755.426517380263</v>
      </c>
      <c r="R10" s="30">
        <f>IF(R$5&gt;$B10,0,INDEX(Decrements!$G$6:$G$58,Census!$G10+R$5-18)/INDEX(Decrements!$G$6:$G$58,Census!$G10-17)*(INDEX(Decrements!$D$6:$D$58,Census!$G10+R$5-18)+IF(R$5=$B10,INDEX(Decrements!$F$6:$F$58,Census!$G10+R$5-18),0)+INDEX(Decrements!$E$6:$E$58,Census!$G10+R$5-18)*IF((Census!$F10+R$5)&gt;=Assumptions!$B$11,1,0))*MIN(15/26*Census!$D10*(1+Assumptions!$B$9)^R$5*(INT((Census!$F10+R$5))+IF((Census!$F10+R$5)-INT((Census!$F10+R$5))&gt;0.5,1,0)),Assumptions!$B$10))</f>
        <v>19483.954010982579</v>
      </c>
      <c r="S10" s="30">
        <f>IF(S$5&gt;$B10,0,INDEX(Decrements!$G$6:$G$58,Census!$G10+S$5-18)/INDEX(Decrements!$G$6:$G$58,Census!$G10-17)*(INDEX(Decrements!$D$6:$D$58,Census!$G10+S$5-18)+IF(S$5=$B10,INDEX(Decrements!$F$6:$F$58,Census!$G10+S$5-18),0)+INDEX(Decrements!$E$6:$E$58,Census!$G10+S$5-18)*IF((Census!$F10+S$5)&gt;=Assumptions!$B$11,1,0))*MIN(15/26*Census!$D10*(1+Assumptions!$B$9)^S$5*(INT((Census!$F10+S$5))+IF((Census!$F10+S$5)-INT((Census!$F10+S$5))&gt;0.5,1,0)),Assumptions!$B$10))</f>
        <v>19240.653495201372</v>
      </c>
      <c r="T10" s="30">
        <f>IF(T$5&gt;$B10,0,INDEX(Decrements!$G$6:$G$58,Census!$G10+T$5-18)/INDEX(Decrements!$G$6:$G$58,Census!$G10-17)*(INDEX(Decrements!$D$6:$D$58,Census!$G10+T$5-18)+IF(T$5=$B10,INDEX(Decrements!$F$6:$F$58,Census!$G10+T$5-18),0)+INDEX(Decrements!$E$6:$E$58,Census!$G10+T$5-18)*IF((Census!$F10+T$5)&gt;=Assumptions!$B$11,1,0))*MIN(15/26*Census!$D10*(1+Assumptions!$B$9)^T$5*(INT((Census!$F10+T$5))+IF((Census!$F10+T$5)-INT((Census!$F10+T$5))&gt;0.5,1,0)),Assumptions!$B$10))</f>
        <v>19013.217182066732</v>
      </c>
      <c r="U10" s="30">
        <f>IF(U$5&gt;$B10,0,INDEX(Decrements!$G$6:$G$58,Census!$G10+U$5-18)/INDEX(Decrements!$G$6:$G$58,Census!$G10-17)*(INDEX(Decrements!$D$6:$D$58,Census!$G10+U$5-18)+IF(U$5=$B10,INDEX(Decrements!$F$6:$F$58,Census!$G10+U$5-18),0)+INDEX(Decrements!$E$6:$E$58,Census!$G10+U$5-18)*IF((Census!$F10+U$5)&gt;=Assumptions!$B$11,1,0))*MIN(15/26*Census!$D10*(1+Assumptions!$B$9)^U$5*(INT((Census!$F10+U$5))+IF((Census!$F10+U$5)-INT((Census!$F10+U$5))&gt;0.5,1,0)),Assumptions!$B$10))</f>
        <v>18801.979361621612</v>
      </c>
      <c r="V10" s="30">
        <f>IF(V$5&gt;$B10,0,INDEX(Decrements!$G$6:$G$58,Census!$G10+V$5-18)/INDEX(Decrements!$G$6:$G$58,Census!$G10-17)*(INDEX(Decrements!$D$6:$D$58,Census!$G10+V$5-18)+IF(V$5=$B10,INDEX(Decrements!$F$6:$F$58,Census!$G10+V$5-18),0)+INDEX(Decrements!$E$6:$E$58,Census!$G10+V$5-18)*IF((Census!$F10+V$5)&gt;=Assumptions!$B$11,1,0))*MIN(15/26*Census!$D10*(1+Assumptions!$B$9)^V$5*(INT((Census!$F10+V$5))+IF((Census!$F10+V$5)-INT((Census!$F10+V$5))&gt;0.5,1,0)),Assumptions!$B$10))</f>
        <v>18607.285355447297</v>
      </c>
      <c r="W10" s="30">
        <f>IF(W$5&gt;$B10,0,INDEX(Decrements!$G$6:$G$58,Census!$G10+W$5-18)/INDEX(Decrements!$G$6:$G$58,Census!$G10-17)*(INDEX(Decrements!$D$6:$D$58,Census!$G10+W$5-18)+IF(W$5=$B10,INDEX(Decrements!$F$6:$F$58,Census!$G10+W$5-18),0)+INDEX(Decrements!$E$6:$E$58,Census!$G10+W$5-18)*IF((Census!$F10+W$5)&gt;=Assumptions!$B$11,1,0))*MIN(15/26*Census!$D10*(1+Assumptions!$B$9)^W$5*(INT((Census!$F10+W$5))+IF((Census!$F10+W$5)-INT((Census!$F10+W$5))&gt;0.5,1,0)),Assumptions!$B$10))</f>
        <v>10869.226877358456</v>
      </c>
      <c r="X10" s="30">
        <f>IF(X$5&gt;$B10,0,INDEX(Decrements!$G$6:$G$58,Census!$G10+X$5-18)/INDEX(Decrements!$G$6:$G$58,Census!$G10-17)*(INDEX(Decrements!$D$6:$D$58,Census!$G10+X$5-18)+IF(X$5=$B10,INDEX(Decrements!$F$6:$F$58,Census!$G10+X$5-18),0)+INDEX(Decrements!$E$6:$E$58,Census!$G10+X$5-18)*IF((Census!$F10+X$5)&gt;=Assumptions!$B$11,1,0))*MIN(15/26*Census!$D10*(1+Assumptions!$B$9)^X$5*(INT((Census!$F10+X$5))+IF((Census!$F10+X$5)-INT((Census!$F10+X$5))&gt;0.5,1,0)),Assumptions!$B$10))</f>
        <v>11006.26910937516</v>
      </c>
      <c r="Y10" s="30">
        <f>IF(Y$5&gt;$B10,0,INDEX(Decrements!$G$6:$G$58,Census!$G10+Y$5-18)/INDEX(Decrements!$G$6:$G$58,Census!$G10-17)*(INDEX(Decrements!$D$6:$D$58,Census!$G10+Y$5-18)+IF(Y$5=$B10,INDEX(Decrements!$F$6:$F$58,Census!$G10+Y$5-18),0)+INDEX(Decrements!$E$6:$E$58,Census!$G10+Y$5-18)*IF((Census!$F10+Y$5)&gt;=Assumptions!$B$11,1,0))*MIN(15/26*Census!$D10*(1+Assumptions!$B$9)^Y$5*(INT((Census!$F10+Y$5))+IF((Census!$F10+Y$5)-INT((Census!$F10+Y$5))&gt;0.5,1,0)),Assumptions!$B$10))</f>
        <v>11161.443701009295</v>
      </c>
      <c r="Z10" s="30">
        <f>IF(Z$5&gt;$B10,0,INDEX(Decrements!$G$6:$G$58,Census!$G10+Z$5-18)/INDEX(Decrements!$G$6:$G$58,Census!$G10-17)*(INDEX(Decrements!$D$6:$D$58,Census!$G10+Z$5-18)+IF(Z$5=$B10,INDEX(Decrements!$F$6:$F$58,Census!$G10+Z$5-18),0)+INDEX(Decrements!$E$6:$E$58,Census!$G10+Z$5-18)*IF((Census!$F10+Z$5)&gt;=Assumptions!$B$11,1,0))*MIN(15/26*Census!$D10*(1+Assumptions!$B$9)^Z$5*(INT((Census!$F10+Z$5))+IF((Census!$F10+Z$5)-INT((Census!$F10+Z$5))&gt;0.5,1,0)),Assumptions!$B$10))</f>
        <v>11335.805298860425</v>
      </c>
      <c r="AA10" s="30">
        <f>IF(AA$5&gt;$B10,0,INDEX(Decrements!$G$6:$G$58,Census!$G10+AA$5-18)/INDEX(Decrements!$G$6:$G$58,Census!$G10-17)*(INDEX(Decrements!$D$6:$D$58,Census!$G10+AA$5-18)+IF(AA$5=$B10,INDEX(Decrements!$F$6:$F$58,Census!$G10+AA$5-18),0)+INDEX(Decrements!$E$6:$E$58,Census!$G10+AA$5-18)*IF((Census!$F10+AA$5)&gt;=Assumptions!$B$11,1,0))*MIN(15/26*Census!$D10*(1+Assumptions!$B$9)^AA$5*(INT((Census!$F10+AA$5))+IF((Census!$F10+AA$5)-INT((Census!$F10+AA$5))&gt;0.5,1,0)),Assumptions!$B$10))</f>
        <v>714962.23574404465</v>
      </c>
      <c r="AB10" s="30">
        <f>IF(AB$5&gt;$B10,0,INDEX(Decrements!$G$6:$G$58,Census!$G10+AB$5-18)/INDEX(Decrements!$G$6:$G$58,Census!$G10-17)*(INDEX(Decrements!$D$6:$D$58,Census!$G10+AB$5-18)+IF(AB$5=$B10,INDEX(Decrements!$F$6:$F$58,Census!$G10+AB$5-18),0)+INDEX(Decrements!$E$6:$E$58,Census!$G10+AB$5-18)*IF((Census!$F10+AB$5)&gt;=Assumptions!$B$11,1,0))*MIN(15/26*Census!$D10*(1+Assumptions!$B$9)^AB$5*(INT((Census!$F10+AB$5))+IF((Census!$F10+AB$5)-INT((Census!$F10+AB$5))&gt;0.5,1,0)),Assumptions!$B$10))</f>
        <v>0</v>
      </c>
      <c r="AC10" s="30">
        <f>IF(AC$5&gt;$B10,0,INDEX(Decrements!$G$6:$G$58,Census!$G10+AC$5-18)/INDEX(Decrements!$G$6:$G$58,Census!$G10-17)*(INDEX(Decrements!$D$6:$D$58,Census!$G10+AC$5-18)+IF(AC$5=$B10,INDEX(Decrements!$F$6:$F$58,Census!$G10+AC$5-18),0)+INDEX(Decrements!$E$6:$E$58,Census!$G10+AC$5-18)*IF((Census!$F10+AC$5)&gt;=Assumptions!$B$11,1,0))*MIN(15/26*Census!$D10*(1+Assumptions!$B$9)^AC$5*(INT((Census!$F10+AC$5))+IF((Census!$F10+AC$5)-INT((Census!$F10+AC$5))&gt;0.5,1,0)),Assumptions!$B$10))</f>
        <v>0</v>
      </c>
      <c r="AD10" s="30">
        <f>IF(AD$5&gt;$B10,0,INDEX(Decrements!$G$6:$G$58,Census!$G10+AD$5-18)/INDEX(Decrements!$G$6:$G$58,Census!$G10-17)*(INDEX(Decrements!$D$6:$D$58,Census!$G10+AD$5-18)+IF(AD$5=$B10,INDEX(Decrements!$F$6:$F$58,Census!$G10+AD$5-18),0)+INDEX(Decrements!$E$6:$E$58,Census!$G10+AD$5-18)*IF((Census!$F10+AD$5)&gt;=Assumptions!$B$11,1,0))*MIN(15/26*Census!$D10*(1+Assumptions!$B$9)^AD$5*(INT((Census!$F10+AD$5))+IF((Census!$F10+AD$5)-INT((Census!$F10+AD$5))&gt;0.5,1,0)),Assumptions!$B$10))</f>
        <v>0</v>
      </c>
      <c r="AE10" s="30">
        <f>IF(AE$5&gt;$B10,0,INDEX(Decrements!$G$6:$G$58,Census!$G10+AE$5-18)/INDEX(Decrements!$G$6:$G$58,Census!$G10-17)*(INDEX(Decrements!$D$6:$D$58,Census!$G10+AE$5-18)+IF(AE$5=$B10,INDEX(Decrements!$F$6:$F$58,Census!$G10+AE$5-18),0)+INDEX(Decrements!$E$6:$E$58,Census!$G10+AE$5-18)*IF((Census!$F10+AE$5)&gt;=Assumptions!$B$11,1,0))*MIN(15/26*Census!$D10*(1+Assumptions!$B$9)^AE$5*(INT((Census!$F10+AE$5))+IF((Census!$F10+AE$5)-INT((Census!$F10+AE$5))&gt;0.5,1,0)),Assumptions!$B$10))</f>
        <v>0</v>
      </c>
      <c r="AF10" s="30">
        <f>IF(AF$5&gt;$B10,0,INDEX(Decrements!$G$6:$G$58,Census!$G10+AF$5-18)/INDEX(Decrements!$G$6:$G$58,Census!$G10-17)*(INDEX(Decrements!$D$6:$D$58,Census!$G10+AF$5-18)+IF(AF$5=$B10,INDEX(Decrements!$F$6:$F$58,Census!$G10+AF$5-18),0)+INDEX(Decrements!$E$6:$E$58,Census!$G10+AF$5-18)*IF((Census!$F10+AF$5)&gt;=Assumptions!$B$11,1,0))*MIN(15/26*Census!$D10*(1+Assumptions!$B$9)^AF$5*(INT((Census!$F10+AF$5))+IF((Census!$F10+AF$5)-INT((Census!$F10+AF$5))&gt;0.5,1,0)),Assumptions!$B$10))</f>
        <v>0</v>
      </c>
      <c r="AG10" s="30">
        <f>IF(AG$5&gt;$B10,0,INDEX(Decrements!$G$6:$G$58,Census!$G10+AG$5-18)/INDEX(Decrements!$G$6:$G$58,Census!$G10-17)*(INDEX(Decrements!$D$6:$D$58,Census!$G10+AG$5-18)+IF(AG$5=$B10,INDEX(Decrements!$F$6:$F$58,Census!$G10+AG$5-18),0)+INDEX(Decrements!$E$6:$E$58,Census!$G10+AG$5-18)*IF((Census!$F10+AG$5)&gt;=Assumptions!$B$11,1,0))*MIN(15/26*Census!$D10*(1+Assumptions!$B$9)^AG$5*(INT((Census!$F10+AG$5))+IF((Census!$F10+AG$5)-INT((Census!$F10+AG$5))&gt;0.5,1,0)),Assumptions!$B$10))</f>
        <v>0</v>
      </c>
      <c r="AH10" s="30">
        <f>IF(AH$5&gt;$B10,0,INDEX(Decrements!$G$6:$G$58,Census!$G10+AH$5-18)/INDEX(Decrements!$G$6:$G$58,Census!$G10-17)*(INDEX(Decrements!$D$6:$D$58,Census!$G10+AH$5-18)+IF(AH$5=$B10,INDEX(Decrements!$F$6:$F$58,Census!$G10+AH$5-18),0)+INDEX(Decrements!$E$6:$E$58,Census!$G10+AH$5-18)*IF((Census!$F10+AH$5)&gt;=Assumptions!$B$11,1,0))*MIN(15/26*Census!$D10*(1+Assumptions!$B$9)^AH$5*(INT((Census!$F10+AH$5))+IF((Census!$F10+AH$5)-INT((Census!$F10+AH$5))&gt;0.5,1,0)),Assumptions!$B$10))</f>
        <v>0</v>
      </c>
      <c r="AI10" s="30">
        <f>IF(AI$5&gt;$B10,0,INDEX(Decrements!$G$6:$G$58,Census!$G10+AI$5-18)/INDEX(Decrements!$G$6:$G$58,Census!$G10-17)*(INDEX(Decrements!$D$6:$D$58,Census!$G10+AI$5-18)+IF(AI$5=$B10,INDEX(Decrements!$F$6:$F$58,Census!$G10+AI$5-18),0)+INDEX(Decrements!$E$6:$E$58,Census!$G10+AI$5-18)*IF((Census!$F10+AI$5)&gt;=Assumptions!$B$11,1,0))*MIN(15/26*Census!$D10*(1+Assumptions!$B$9)^AI$5*(INT((Census!$F10+AI$5))+IF((Census!$F10+AI$5)-INT((Census!$F10+AI$5))&gt;0.5,1,0)),Assumptions!$B$10))</f>
        <v>0</v>
      </c>
      <c r="AJ10" s="30">
        <f>IF(AJ$5&gt;$B10,0,INDEX(Decrements!$G$6:$G$58,Census!$G10+AJ$5-18)/INDEX(Decrements!$G$6:$G$58,Census!$G10-17)*(INDEX(Decrements!$D$6:$D$58,Census!$G10+AJ$5-18)+IF(AJ$5=$B10,INDEX(Decrements!$F$6:$F$58,Census!$G10+AJ$5-18),0)+INDEX(Decrements!$E$6:$E$58,Census!$G10+AJ$5-18)*IF((Census!$F10+AJ$5)&gt;=Assumptions!$B$11,1,0))*MIN(15/26*Census!$D10*(1+Assumptions!$B$9)^AJ$5*(INT((Census!$F10+AJ$5))+IF((Census!$F10+AJ$5)-INT((Census!$F10+AJ$5))&gt;0.5,1,0)),Assumptions!$B$10))</f>
        <v>0</v>
      </c>
      <c r="AK10" s="30">
        <f>IF(AK$5&gt;$B10,0,INDEX(Decrements!$G$6:$G$58,Census!$G10+AK$5-18)/INDEX(Decrements!$G$6:$G$58,Census!$G10-17)*(INDEX(Decrements!$D$6:$D$58,Census!$G10+AK$5-18)+IF(AK$5=$B10,INDEX(Decrements!$F$6:$F$58,Census!$G10+AK$5-18),0)+INDEX(Decrements!$E$6:$E$58,Census!$G10+AK$5-18)*IF((Census!$F10+AK$5)&gt;=Assumptions!$B$11,1,0))*MIN(15/26*Census!$D10*(1+Assumptions!$B$9)^AK$5*(INT((Census!$F10+AK$5))+IF((Census!$F10+AK$5)-INT((Census!$F10+AK$5))&gt;0.5,1,0)),Assumptions!$B$10))</f>
        <v>0</v>
      </c>
      <c r="AL10" s="30">
        <f>IF(AL$5&gt;$B10,0,INDEX(Decrements!$G$6:$G$58,Census!$G10+AL$5-18)/INDEX(Decrements!$G$6:$G$58,Census!$G10-17)*(INDEX(Decrements!$D$6:$D$58,Census!$G10+AL$5-18)+IF(AL$5=$B10,INDEX(Decrements!$F$6:$F$58,Census!$G10+AL$5-18),0)+INDEX(Decrements!$E$6:$E$58,Census!$G10+AL$5-18)*IF((Census!$F10+AL$5)&gt;=Assumptions!$B$11,1,0))*MIN(15/26*Census!$D10*(1+Assumptions!$B$9)^AL$5*(INT((Census!$F10+AL$5))+IF((Census!$F10+AL$5)-INT((Census!$F10+AL$5))&gt;0.5,1,0)),Assumptions!$B$10))</f>
        <v>0</v>
      </c>
      <c r="AM10" s="30">
        <f>IF(AM$5&gt;$B10,0,INDEX(Decrements!$G$6:$G$58,Census!$G10+AM$5-18)/INDEX(Decrements!$G$6:$G$58,Census!$G10-17)*(INDEX(Decrements!$D$6:$D$58,Census!$G10+AM$5-18)+IF(AM$5=$B10,INDEX(Decrements!$F$6:$F$58,Census!$G10+AM$5-18),0)+INDEX(Decrements!$E$6:$E$58,Census!$G10+AM$5-18)*IF((Census!$F10+AM$5)&gt;=Assumptions!$B$11,1,0))*MIN(15/26*Census!$D10*(1+Assumptions!$B$9)^AM$5*(INT((Census!$F10+AM$5))+IF((Census!$F10+AM$5)-INT((Census!$F10+AM$5))&gt;0.5,1,0)),Assumptions!$B$10))</f>
        <v>0</v>
      </c>
      <c r="AN10" s="30">
        <f>IF(AN$5&gt;$B10,0,INDEX(Decrements!$G$6:$G$58,Census!$G10+AN$5-18)/INDEX(Decrements!$G$6:$G$58,Census!$G10-17)*(INDEX(Decrements!$D$6:$D$58,Census!$G10+AN$5-18)+IF(AN$5=$B10,INDEX(Decrements!$F$6:$F$58,Census!$G10+AN$5-18),0)+INDEX(Decrements!$E$6:$E$58,Census!$G10+AN$5-18)*IF((Census!$F10+AN$5)&gt;=Assumptions!$B$11,1,0))*MIN(15/26*Census!$D10*(1+Assumptions!$B$9)^AN$5*(INT((Census!$F10+AN$5))+IF((Census!$F10+AN$5)-INT((Census!$F10+AN$5))&gt;0.5,1,0)),Assumptions!$B$10))</f>
        <v>0</v>
      </c>
      <c r="AO10" s="30">
        <f>IF(AO$5&gt;$B10,0,INDEX(Decrements!$G$6:$G$58,Census!$G10+AO$5-18)/INDEX(Decrements!$G$6:$G$58,Census!$G10-17)*(INDEX(Decrements!$D$6:$D$58,Census!$G10+AO$5-18)+IF(AO$5=$B10,INDEX(Decrements!$F$6:$F$58,Census!$G10+AO$5-18),0)+INDEX(Decrements!$E$6:$E$58,Census!$G10+AO$5-18)*IF((Census!$F10+AO$5)&gt;=Assumptions!$B$11,1,0))*MIN(15/26*Census!$D10*(1+Assumptions!$B$9)^AO$5*(INT((Census!$F10+AO$5))+IF((Census!$F10+AO$5)-INT((Census!$F10+AO$5))&gt;0.5,1,0)),Assumptions!$B$10))</f>
        <v>0</v>
      </c>
      <c r="AP10" s="30">
        <f>IF(AP$5&gt;$B10,0,INDEX(Decrements!$G$6:$G$58,Census!$G10+AP$5-18)/INDEX(Decrements!$G$6:$G$58,Census!$G10-17)*(INDEX(Decrements!$D$6:$D$58,Census!$G10+AP$5-18)+IF(AP$5=$B10,INDEX(Decrements!$F$6:$F$58,Census!$G10+AP$5-18),0)+INDEX(Decrements!$E$6:$E$58,Census!$G10+AP$5-18)*IF((Census!$F10+AP$5)&gt;=Assumptions!$B$11,1,0))*MIN(15/26*Census!$D10*(1+Assumptions!$B$9)^AP$5*(INT((Census!$F10+AP$5))+IF((Census!$F10+AP$5)-INT((Census!$F10+AP$5))&gt;0.5,1,0)),Assumptions!$B$10))</f>
        <v>0</v>
      </c>
      <c r="AQ10" s="30">
        <f>IF(AQ$5&gt;$B10,0,INDEX(Decrements!$G$6:$G$58,Census!$G10+AQ$5-18)/INDEX(Decrements!$G$6:$G$58,Census!$G10-17)*(INDEX(Decrements!$D$6:$D$58,Census!$G10+AQ$5-18)+IF(AQ$5=$B10,INDEX(Decrements!$F$6:$F$58,Census!$G10+AQ$5-18),0)+INDEX(Decrements!$E$6:$E$58,Census!$G10+AQ$5-18)*IF((Census!$F10+AQ$5)&gt;=Assumptions!$B$11,1,0))*MIN(15/26*Census!$D10*(1+Assumptions!$B$9)^AQ$5*(INT((Census!$F10+AQ$5))+IF((Census!$F10+AQ$5)-INT((Census!$F10+AQ$5))&gt;0.5,1,0)),Assumptions!$B$10))</f>
        <v>0</v>
      </c>
      <c r="AR10" s="30">
        <f>IF(AR$5&gt;$B10,0,INDEX(Decrements!$G$6:$G$58,Census!$G10+AR$5-18)/INDEX(Decrements!$G$6:$G$58,Census!$G10-17)*(INDEX(Decrements!$D$6:$D$58,Census!$G10+AR$5-18)+IF(AR$5=$B10,INDEX(Decrements!$F$6:$F$58,Census!$G10+AR$5-18),0)+INDEX(Decrements!$E$6:$E$58,Census!$G10+AR$5-18)*IF((Census!$F10+AR$5)&gt;=Assumptions!$B$11,1,0))*MIN(15/26*Census!$D10*(1+Assumptions!$B$9)^AR$5*(INT((Census!$F10+AR$5))+IF((Census!$F10+AR$5)-INT((Census!$F10+AR$5))&gt;0.5,1,0)),Assumptions!$B$10))</f>
        <v>0</v>
      </c>
      <c r="AS10" s="30">
        <f>IF(AS$5&gt;$B10,0,INDEX(Decrements!$G$6:$G$58,Census!$G10+AS$5-18)/INDEX(Decrements!$G$6:$G$58,Census!$G10-17)*(INDEX(Decrements!$D$6:$D$58,Census!$G10+AS$5-18)+IF(AS$5=$B10,INDEX(Decrements!$F$6:$F$58,Census!$G10+AS$5-18),0)+INDEX(Decrements!$E$6:$E$58,Census!$G10+AS$5-18)*IF((Census!$F10+AS$5)&gt;=Assumptions!$B$11,1,0))*MIN(15/26*Census!$D10*(1+Assumptions!$B$9)^AS$5*(INT((Census!$F10+AS$5))+IF((Census!$F10+AS$5)-INT((Census!$F10+AS$5))&gt;0.5,1,0)),Assumptions!$B$10))</f>
        <v>0</v>
      </c>
      <c r="AT10" s="30">
        <f>IF(AT$5&gt;$B10,0,INDEX(Decrements!$G$6:$G$58,Census!$G10+AT$5-18)/INDEX(Decrements!$G$6:$G$58,Census!$G10-17)*(INDEX(Decrements!$D$6:$D$58,Census!$G10+AT$5-18)+IF(AT$5=$B10,INDEX(Decrements!$F$6:$F$58,Census!$G10+AT$5-18),0)+INDEX(Decrements!$E$6:$E$58,Census!$G10+AT$5-18)*IF((Census!$F10+AT$5)&gt;=Assumptions!$B$11,1,0))*MIN(15/26*Census!$D10*(1+Assumptions!$B$9)^AT$5*(INT((Census!$F10+AT$5))+IF((Census!$F10+AT$5)-INT((Census!$F10+AT$5))&gt;0.5,1,0)),Assumptions!$B$10))</f>
        <v>0</v>
      </c>
      <c r="AU10" s="30">
        <f>IF(AU$5&gt;$B10,0,INDEX(Decrements!$G$6:$G$58,Census!$G10+AU$5-18)/INDEX(Decrements!$G$6:$G$58,Census!$G10-17)*(INDEX(Decrements!$D$6:$D$58,Census!$G10+AU$5-18)+IF(AU$5=$B10,INDEX(Decrements!$F$6:$F$58,Census!$G10+AU$5-18),0)+INDEX(Decrements!$E$6:$E$58,Census!$G10+AU$5-18)*IF((Census!$F10+AU$5)&gt;=Assumptions!$B$11,1,0))*MIN(15/26*Census!$D10*(1+Assumptions!$B$9)^AU$5*(INT((Census!$F10+AU$5))+IF((Census!$F10+AU$5)-INT((Census!$F10+AU$5))&gt;0.5,1,0)),Assumptions!$B$10))</f>
        <v>0</v>
      </c>
    </row>
    <row r="11" spans="1:47" x14ac:dyDescent="0.3">
      <c r="A11" s="10" t="str">
        <f>Census!A11</f>
        <v>E006</v>
      </c>
      <c r="B11" s="29">
        <f>Census!H11</f>
        <v>24</v>
      </c>
      <c r="C11" s="30">
        <f>IF(C$5&gt;$B11,0,INDEX(Decrements!$G$6:$G$58,Census!$G11+C$5-18)/INDEX(Decrements!$G$6:$G$58,Census!$G11-17)*(INDEX(Decrements!$D$6:$D$58,Census!$G11+C$5-18)+IF(C$5=$B11,INDEX(Decrements!$F$6:$F$58,Census!$G11+C$5-18),0)+INDEX(Decrements!$E$6:$E$58,Census!$G11+C$5-18)*IF((Census!$F11+C$5)&gt;=Assumptions!$B$11,1,0))*MIN(15/26*Census!$D11*(1+Assumptions!$B$9)^C$5*(INT((Census!$F11+C$5))+IF((Census!$F11+C$5)-INT((Census!$F11+C$5))&gt;0.5,1,0)),Assumptions!$B$10))</f>
        <v>25778.402547949456</v>
      </c>
      <c r="D11" s="30">
        <f>IF(D$5&gt;$B11,0,INDEX(Decrements!$G$6:$G$58,Census!$G11+D$5-18)/INDEX(Decrements!$G$6:$G$58,Census!$G11-17)*(INDEX(Decrements!$D$6:$D$58,Census!$G11+D$5-18)+IF(D$5=$B11,INDEX(Decrements!$F$6:$F$58,Census!$G11+D$5-18),0)+INDEX(Decrements!$E$6:$E$58,Census!$G11+D$5-18)*IF((Census!$F11+D$5)&gt;=Assumptions!$B$11,1,0))*MIN(15/26*Census!$D11*(1+Assumptions!$B$9)^D$5*(INT((Census!$F11+D$5))+IF((Census!$F11+D$5)-INT((Census!$F11+D$5))&gt;0.5,1,0)),Assumptions!$B$10))</f>
        <v>28165.955369745552</v>
      </c>
      <c r="E11" s="30">
        <f>IF(E$5&gt;$B11,0,INDEX(Decrements!$G$6:$G$58,Census!$G11+E$5-18)/INDEX(Decrements!$G$6:$G$58,Census!$G11-17)*(INDEX(Decrements!$D$6:$D$58,Census!$G11+E$5-18)+IF(E$5=$B11,INDEX(Decrements!$F$6:$F$58,Census!$G11+E$5-18),0)+INDEX(Decrements!$E$6:$E$58,Census!$G11+E$5-18)*IF((Census!$F11+E$5)&gt;=Assumptions!$B$11,1,0))*MIN(15/26*Census!$D11*(1+Assumptions!$B$9)^E$5*(INT((Census!$F11+E$5))+IF((Census!$F11+E$5)-INT((Census!$F11+E$5))&gt;0.5,1,0)),Assumptions!$B$10))</f>
        <v>30520.549336711225</v>
      </c>
      <c r="F11" s="30">
        <f>IF(F$5&gt;$B11,0,INDEX(Decrements!$G$6:$G$58,Census!$G11+F$5-18)/INDEX(Decrements!$G$6:$G$58,Census!$G11-17)*(INDEX(Decrements!$D$6:$D$58,Census!$G11+F$5-18)+IF(F$5=$B11,INDEX(Decrements!$F$6:$F$58,Census!$G11+F$5-18),0)+INDEX(Decrements!$E$6:$E$58,Census!$G11+F$5-18)*IF((Census!$F11+F$5)&gt;=Assumptions!$B$11,1,0))*MIN(15/26*Census!$D11*(1+Assumptions!$B$9)^F$5*(INT((Census!$F11+F$5))+IF((Census!$F11+F$5)-INT((Census!$F11+F$5))&gt;0.5,1,0)),Assumptions!$B$10))</f>
        <v>32842.600489215482</v>
      </c>
      <c r="G11" s="30">
        <f>IF(G$5&gt;$B11,0,INDEX(Decrements!$G$6:$G$58,Census!$G11+G$5-18)/INDEX(Decrements!$G$6:$G$58,Census!$G11-17)*(INDEX(Decrements!$D$6:$D$58,Census!$G11+G$5-18)+IF(G$5=$B11,INDEX(Decrements!$F$6:$F$58,Census!$G11+G$5-18),0)+INDEX(Decrements!$E$6:$E$58,Census!$G11+G$5-18)*IF((Census!$F11+G$5)&gt;=Assumptions!$B$11,1,0))*MIN(15/26*Census!$D11*(1+Assumptions!$B$9)^G$5*(INT((Census!$F11+G$5))+IF((Census!$F11+G$5)-INT((Census!$F11+G$5))&gt;0.5,1,0)),Assumptions!$B$10))</f>
        <v>22176.564786261133</v>
      </c>
      <c r="H11" s="30">
        <f>IF(H$5&gt;$B11,0,INDEX(Decrements!$G$6:$G$58,Census!$G11+H$5-18)/INDEX(Decrements!$G$6:$G$58,Census!$G11-17)*(INDEX(Decrements!$D$6:$D$58,Census!$G11+H$5-18)+IF(H$5=$B11,INDEX(Decrements!$F$6:$F$58,Census!$G11+H$5-18),0)+INDEX(Decrements!$E$6:$E$58,Census!$G11+H$5-18)*IF((Census!$F11+H$5)&gt;=Assumptions!$B$11,1,0))*MIN(15/26*Census!$D11*(1+Assumptions!$B$9)^H$5*(INT((Census!$F11+H$5))+IF((Census!$F11+H$5)-INT((Census!$F11+H$5))&gt;0.5,1,0)),Assumptions!$B$10))</f>
        <v>24388.272350736777</v>
      </c>
      <c r="I11" s="30">
        <f>IF(I$5&gt;$B11,0,INDEX(Decrements!$G$6:$G$58,Census!$G11+I$5-18)/INDEX(Decrements!$G$6:$G$58,Census!$G11-17)*(INDEX(Decrements!$D$6:$D$58,Census!$G11+I$5-18)+IF(I$5=$B11,INDEX(Decrements!$F$6:$F$58,Census!$G11+I$5-18),0)+INDEX(Decrements!$E$6:$E$58,Census!$G11+I$5-18)*IF((Census!$F11+I$5)&gt;=Assumptions!$B$11,1,0))*MIN(15/26*Census!$D11*(1+Assumptions!$B$9)^I$5*(INT((Census!$F11+I$5))+IF((Census!$F11+I$5)-INT((Census!$F11+I$5))&gt;0.5,1,0)),Assumptions!$B$10))</f>
        <v>26703.406235504135</v>
      </c>
      <c r="J11" s="30">
        <f>IF(J$5&gt;$B11,0,INDEX(Decrements!$G$6:$G$58,Census!$G11+J$5-18)/INDEX(Decrements!$G$6:$G$58,Census!$G11-17)*(INDEX(Decrements!$D$6:$D$58,Census!$G11+J$5-18)+IF(J$5=$B11,INDEX(Decrements!$F$6:$F$58,Census!$G11+J$5-18),0)+INDEX(Decrements!$E$6:$E$58,Census!$G11+J$5-18)*IF((Census!$F11+J$5)&gt;=Assumptions!$B$11,1,0))*MIN(15/26*Census!$D11*(1+Assumptions!$B$9)^J$5*(INT((Census!$F11+J$5))+IF((Census!$F11+J$5)-INT((Census!$F11+J$5))&gt;0.5,1,0)),Assumptions!$B$10))</f>
        <v>29126.538212406012</v>
      </c>
      <c r="K11" s="30">
        <f>IF(K$5&gt;$B11,0,INDEX(Decrements!$G$6:$G$58,Census!$G11+K$5-18)/INDEX(Decrements!$G$6:$G$58,Census!$G11-17)*(INDEX(Decrements!$D$6:$D$58,Census!$G11+K$5-18)+IF(K$5=$B11,INDEX(Decrements!$F$6:$F$58,Census!$G11+K$5-18),0)+INDEX(Decrements!$E$6:$E$58,Census!$G11+K$5-18)*IF((Census!$F11+K$5)&gt;=Assumptions!$B$11,1,0))*MIN(15/26*Census!$D11*(1+Assumptions!$B$9)^K$5*(INT((Census!$F11+K$5))+IF((Census!$F11+K$5)-INT((Census!$F11+K$5))&gt;0.5,1,0)),Assumptions!$B$10))</f>
        <v>31662.50887002813</v>
      </c>
      <c r="L11" s="30">
        <f>IF(L$5&gt;$B11,0,INDEX(Decrements!$G$6:$G$58,Census!$G11+L$5-18)/INDEX(Decrements!$G$6:$G$58,Census!$G11-17)*(INDEX(Decrements!$D$6:$D$58,Census!$G11+L$5-18)+IF(L$5=$B11,INDEX(Decrements!$F$6:$F$58,Census!$G11+L$5-18),0)+INDEX(Decrements!$E$6:$E$58,Census!$G11+L$5-18)*IF((Census!$F11+L$5)&gt;=Assumptions!$B$11,1,0))*MIN(15/26*Census!$D11*(1+Assumptions!$B$9)^L$5*(INT((Census!$F11+L$5))+IF((Census!$F11+L$5)-INT((Census!$F11+L$5))&gt;0.5,1,0)),Assumptions!$B$10))</f>
        <v>21100.382444769133</v>
      </c>
      <c r="M11" s="30">
        <f>IF(M$5&gt;$B11,0,INDEX(Decrements!$G$6:$G$58,Census!$G11+M$5-18)/INDEX(Decrements!$G$6:$G$58,Census!$G11-17)*(INDEX(Decrements!$D$6:$D$58,Census!$G11+M$5-18)+IF(M$5=$B11,INDEX(Decrements!$F$6:$F$58,Census!$G11+M$5-18),0)+INDEX(Decrements!$E$6:$E$58,Census!$G11+M$5-18)*IF((Census!$F11+M$5)&gt;=Assumptions!$B$11,1,0))*MIN(15/26*Census!$D11*(1+Assumptions!$B$9)^M$5*(INT((Census!$F11+M$5))+IF((Census!$F11+M$5)-INT((Census!$F11+M$5))&gt;0.5,1,0)),Assumptions!$B$10))</f>
        <v>23331.211696488353</v>
      </c>
      <c r="N11" s="30">
        <f>IF(N$5&gt;$B11,0,INDEX(Decrements!$G$6:$G$58,Census!$G11+N$5-18)/INDEX(Decrements!$G$6:$G$58,Census!$G11-17)*(INDEX(Decrements!$D$6:$D$58,Census!$G11+N$5-18)+IF(N$5=$B11,INDEX(Decrements!$F$6:$F$58,Census!$G11+N$5-18),0)+INDEX(Decrements!$E$6:$E$58,Census!$G11+N$5-18)*IF((Census!$F11+N$5)&gt;=Assumptions!$B$11,1,0))*MIN(15/26*Census!$D11*(1+Assumptions!$B$9)^N$5*(INT((Census!$F11+N$5))+IF((Census!$F11+N$5)-INT((Census!$F11+N$5))&gt;0.5,1,0)),Assumptions!$B$10))</f>
        <v>25740.736481380809</v>
      </c>
      <c r="O11" s="30">
        <f>IF(O$5&gt;$B11,0,INDEX(Decrements!$G$6:$G$58,Census!$G11+O$5-18)/INDEX(Decrements!$G$6:$G$58,Census!$G11-17)*(INDEX(Decrements!$D$6:$D$58,Census!$G11+O$5-18)+IF(O$5=$B11,INDEX(Decrements!$F$6:$F$58,Census!$G11+O$5-18),0)+INDEX(Decrements!$E$6:$E$58,Census!$G11+O$5-18)*IF((Census!$F11+O$5)&gt;=Assumptions!$B$11,1,0))*MIN(15/26*Census!$D11*(1+Assumptions!$B$9)^O$5*(INT((Census!$F11+O$5))+IF((Census!$F11+O$5)-INT((Census!$F11+O$5))&gt;0.5,1,0)),Assumptions!$B$10))</f>
        <v>28343.450809588434</v>
      </c>
      <c r="P11" s="30">
        <f>IF(P$5&gt;$B11,0,INDEX(Decrements!$G$6:$G$58,Census!$G11+P$5-18)/INDEX(Decrements!$G$6:$G$58,Census!$G11-17)*(INDEX(Decrements!$D$6:$D$58,Census!$G11+P$5-18)+IF(P$5=$B11,INDEX(Decrements!$F$6:$F$58,Census!$G11+P$5-18),0)+INDEX(Decrements!$E$6:$E$58,Census!$G11+P$5-18)*IF((Census!$F11+P$5)&gt;=Assumptions!$B$11,1,0))*MIN(15/26*Census!$D11*(1+Assumptions!$B$9)^P$5*(INT((Census!$F11+P$5))+IF((Census!$F11+P$5)-INT((Census!$F11+P$5))&gt;0.5,1,0)),Assumptions!$B$10))</f>
        <v>31155.235477317488</v>
      </c>
      <c r="Q11" s="30">
        <f>IF(Q$5&gt;$B11,0,INDEX(Decrements!$G$6:$G$58,Census!$G11+Q$5-18)/INDEX(Decrements!$G$6:$G$58,Census!$G11-17)*(INDEX(Decrements!$D$6:$D$58,Census!$G11+Q$5-18)+IF(Q$5=$B11,INDEX(Decrements!$F$6:$F$58,Census!$G11+Q$5-18),0)+INDEX(Decrements!$E$6:$E$58,Census!$G11+Q$5-18)*IF((Census!$F11+Q$5)&gt;=Assumptions!$B$11,1,0))*MIN(15/26*Census!$D11*(1+Assumptions!$B$9)^Q$5*(INT((Census!$F11+Q$5))+IF((Census!$F11+Q$5)-INT((Census!$F11+Q$5))&gt;0.5,1,0)),Assumptions!$B$10))</f>
        <v>21199.181434790728</v>
      </c>
      <c r="R11" s="30">
        <f>IF(R$5&gt;$B11,0,INDEX(Decrements!$G$6:$G$58,Census!$G11+R$5-18)/INDEX(Decrements!$G$6:$G$58,Census!$G11-17)*(INDEX(Decrements!$D$6:$D$58,Census!$G11+R$5-18)+IF(R$5=$B11,INDEX(Decrements!$F$6:$F$58,Census!$G11+R$5-18),0)+INDEX(Decrements!$E$6:$E$58,Census!$G11+R$5-18)*IF((Census!$F11+R$5)&gt;=Assumptions!$B$11,1,0))*MIN(15/26*Census!$D11*(1+Assumptions!$B$9)^R$5*(INT((Census!$F11+R$5))+IF((Census!$F11+R$5)-INT((Census!$F11+R$5))&gt;0.5,1,0)),Assumptions!$B$10))</f>
        <v>20934.462488404555</v>
      </c>
      <c r="S11" s="30">
        <f>IF(S$5&gt;$B11,0,INDEX(Decrements!$G$6:$G$58,Census!$G11+S$5-18)/INDEX(Decrements!$G$6:$G$58,Census!$G11-17)*(INDEX(Decrements!$D$6:$D$58,Census!$G11+S$5-18)+IF(S$5=$B11,INDEX(Decrements!$F$6:$F$58,Census!$G11+S$5-18),0)+INDEX(Decrements!$E$6:$E$58,Census!$G11+S$5-18)*IF((Census!$F11+S$5)&gt;=Assumptions!$B$11,1,0))*MIN(15/26*Census!$D11*(1+Assumptions!$B$9)^S$5*(INT((Census!$F11+S$5))+IF((Census!$F11+S$5)-INT((Census!$F11+S$5))&gt;0.5,1,0)),Assumptions!$B$10))</f>
        <v>20687.004315167062</v>
      </c>
      <c r="T11" s="30">
        <f>IF(T$5&gt;$B11,0,INDEX(Decrements!$G$6:$G$58,Census!$G11+T$5-18)/INDEX(Decrements!$G$6:$G$58,Census!$G11-17)*(INDEX(Decrements!$D$6:$D$58,Census!$G11+T$5-18)+IF(T$5=$B11,INDEX(Decrements!$F$6:$F$58,Census!$G11+T$5-18),0)+INDEX(Decrements!$E$6:$E$58,Census!$G11+T$5-18)*IF((Census!$F11+T$5)&gt;=Assumptions!$B$11,1,0))*MIN(15/26*Census!$D11*(1+Assumptions!$B$9)^T$5*(INT((Census!$F11+T$5))+IF((Census!$F11+T$5)-INT((Census!$F11+T$5))&gt;0.5,1,0)),Assumptions!$B$10))</f>
        <v>20457.170633616504</v>
      </c>
      <c r="U11" s="30">
        <f>IF(U$5&gt;$B11,0,INDEX(Decrements!$G$6:$G$58,Census!$G11+U$5-18)/INDEX(Decrements!$G$6:$G$58,Census!$G11-17)*(INDEX(Decrements!$D$6:$D$58,Census!$G11+U$5-18)+IF(U$5=$B11,INDEX(Decrements!$F$6:$F$58,Census!$G11+U$5-18),0)+INDEX(Decrements!$E$6:$E$58,Census!$G11+U$5-18)*IF((Census!$F11+U$5)&gt;=Assumptions!$B$11,1,0))*MIN(15/26*Census!$D11*(1+Assumptions!$B$9)^U$5*(INT((Census!$F11+U$5))+IF((Census!$F11+U$5)-INT((Census!$F11+U$5))&gt;0.5,1,0)),Assumptions!$B$10))</f>
        <v>20245.33716496691</v>
      </c>
      <c r="V11" s="30">
        <f>IF(V$5&gt;$B11,0,INDEX(Decrements!$G$6:$G$58,Census!$G11+V$5-18)/INDEX(Decrements!$G$6:$G$58,Census!$G11-17)*(INDEX(Decrements!$D$6:$D$58,Census!$G11+V$5-18)+IF(V$5=$B11,INDEX(Decrements!$F$6:$F$58,Census!$G11+V$5-18),0)+INDEX(Decrements!$E$6:$E$58,Census!$G11+V$5-18)*IF((Census!$F11+V$5)&gt;=Assumptions!$B$11,1,0))*MIN(15/26*Census!$D11*(1+Assumptions!$B$9)^V$5*(INT((Census!$F11+V$5))+IF((Census!$F11+V$5)-INT((Census!$F11+V$5))&gt;0.5,1,0)),Assumptions!$B$10))</f>
        <v>11826.075574759876</v>
      </c>
      <c r="W11" s="30">
        <f>IF(W$5&gt;$B11,0,INDEX(Decrements!$G$6:$G$58,Census!$G11+W$5-18)/INDEX(Decrements!$G$6:$G$58,Census!$G11-17)*(INDEX(Decrements!$D$6:$D$58,Census!$G11+W$5-18)+IF(W$5=$B11,INDEX(Decrements!$F$6:$F$58,Census!$G11+W$5-18),0)+INDEX(Decrements!$E$6:$E$58,Census!$G11+W$5-18)*IF((Census!$F11+W$5)&gt;=Assumptions!$B$11,1,0))*MIN(15/26*Census!$D11*(1+Assumptions!$B$9)^W$5*(INT((Census!$F11+W$5))+IF((Census!$F11+W$5)-INT((Census!$F11+W$5))&gt;0.5,1,0)),Assumptions!$B$10))</f>
        <v>11975.182020972652</v>
      </c>
      <c r="X11" s="30">
        <f>IF(X$5&gt;$B11,0,INDEX(Decrements!$G$6:$G$58,Census!$G11+X$5-18)/INDEX(Decrements!$G$6:$G$58,Census!$G11-17)*(INDEX(Decrements!$D$6:$D$58,Census!$G11+X$5-18)+IF(X$5=$B11,INDEX(Decrements!$F$6:$F$58,Census!$G11+X$5-18),0)+INDEX(Decrements!$E$6:$E$58,Census!$G11+X$5-18)*IF((Census!$F11+X$5)&gt;=Assumptions!$B$11,1,0))*MIN(15/26*Census!$D11*(1+Assumptions!$B$9)^X$5*(INT((Census!$F11+X$5))+IF((Census!$F11+X$5)-INT((Census!$F11+X$5))&gt;0.5,1,0)),Assumptions!$B$10))</f>
        <v>12144.017069560188</v>
      </c>
      <c r="Y11" s="30">
        <f>IF(Y$5&gt;$B11,0,INDEX(Decrements!$G$6:$G$58,Census!$G11+Y$5-18)/INDEX(Decrements!$G$6:$G$58,Census!$G11-17)*(INDEX(Decrements!$D$6:$D$58,Census!$G11+Y$5-18)+IF(Y$5=$B11,INDEX(Decrements!$F$6:$F$58,Census!$G11+Y$5-18),0)+INDEX(Decrements!$E$6:$E$58,Census!$G11+Y$5-18)*IF((Census!$F11+Y$5)&gt;=Assumptions!$B$11,1,0))*MIN(15/26*Census!$D11*(1+Assumptions!$B$9)^Y$5*(INT((Census!$F11+Y$5))+IF((Census!$F11+Y$5)-INT((Census!$F11+Y$5))&gt;0.5,1,0)),Assumptions!$B$10))</f>
        <v>12333.728210636717</v>
      </c>
      <c r="Z11" s="30">
        <f>IF(Z$5&gt;$B11,0,INDEX(Decrements!$G$6:$G$58,Census!$G11+Z$5-18)/INDEX(Decrements!$G$6:$G$58,Census!$G11-17)*(INDEX(Decrements!$D$6:$D$58,Census!$G11+Z$5-18)+IF(Z$5=$B11,INDEX(Decrements!$F$6:$F$58,Census!$G11+Z$5-18),0)+INDEX(Decrements!$E$6:$E$58,Census!$G11+Z$5-18)*IF((Census!$F11+Z$5)&gt;=Assumptions!$B$11,1,0))*MIN(15/26*Census!$D11*(1+Assumptions!$B$9)^Z$5*(INT((Census!$F11+Z$5))+IF((Census!$F11+Z$5)-INT((Census!$F11+Z$5))&gt;0.5,1,0)),Assumptions!$B$10))</f>
        <v>777902.377824247</v>
      </c>
      <c r="AA11" s="30">
        <f>IF(AA$5&gt;$B11,0,INDEX(Decrements!$G$6:$G$58,Census!$G11+AA$5-18)/INDEX(Decrements!$G$6:$G$58,Census!$G11-17)*(INDEX(Decrements!$D$6:$D$58,Census!$G11+AA$5-18)+IF(AA$5=$B11,INDEX(Decrements!$F$6:$F$58,Census!$G11+AA$5-18),0)+INDEX(Decrements!$E$6:$E$58,Census!$G11+AA$5-18)*IF((Census!$F11+AA$5)&gt;=Assumptions!$B$11,1,0))*MIN(15/26*Census!$D11*(1+Assumptions!$B$9)^AA$5*(INT((Census!$F11+AA$5))+IF((Census!$F11+AA$5)-INT((Census!$F11+AA$5))&gt;0.5,1,0)),Assumptions!$B$10))</f>
        <v>0</v>
      </c>
      <c r="AB11" s="30">
        <f>IF(AB$5&gt;$B11,0,INDEX(Decrements!$G$6:$G$58,Census!$G11+AB$5-18)/INDEX(Decrements!$G$6:$G$58,Census!$G11-17)*(INDEX(Decrements!$D$6:$D$58,Census!$G11+AB$5-18)+IF(AB$5=$B11,INDEX(Decrements!$F$6:$F$58,Census!$G11+AB$5-18),0)+INDEX(Decrements!$E$6:$E$58,Census!$G11+AB$5-18)*IF((Census!$F11+AB$5)&gt;=Assumptions!$B$11,1,0))*MIN(15/26*Census!$D11*(1+Assumptions!$B$9)^AB$5*(INT((Census!$F11+AB$5))+IF((Census!$F11+AB$5)-INT((Census!$F11+AB$5))&gt;0.5,1,0)),Assumptions!$B$10))</f>
        <v>0</v>
      </c>
      <c r="AC11" s="30">
        <f>IF(AC$5&gt;$B11,0,INDEX(Decrements!$G$6:$G$58,Census!$G11+AC$5-18)/INDEX(Decrements!$G$6:$G$58,Census!$G11-17)*(INDEX(Decrements!$D$6:$D$58,Census!$G11+AC$5-18)+IF(AC$5=$B11,INDEX(Decrements!$F$6:$F$58,Census!$G11+AC$5-18),0)+INDEX(Decrements!$E$6:$E$58,Census!$G11+AC$5-18)*IF((Census!$F11+AC$5)&gt;=Assumptions!$B$11,1,0))*MIN(15/26*Census!$D11*(1+Assumptions!$B$9)^AC$5*(INT((Census!$F11+AC$5))+IF((Census!$F11+AC$5)-INT((Census!$F11+AC$5))&gt;0.5,1,0)),Assumptions!$B$10))</f>
        <v>0</v>
      </c>
      <c r="AD11" s="30">
        <f>IF(AD$5&gt;$B11,0,INDEX(Decrements!$G$6:$G$58,Census!$G11+AD$5-18)/INDEX(Decrements!$G$6:$G$58,Census!$G11-17)*(INDEX(Decrements!$D$6:$D$58,Census!$G11+AD$5-18)+IF(AD$5=$B11,INDEX(Decrements!$F$6:$F$58,Census!$G11+AD$5-18),0)+INDEX(Decrements!$E$6:$E$58,Census!$G11+AD$5-18)*IF((Census!$F11+AD$5)&gt;=Assumptions!$B$11,1,0))*MIN(15/26*Census!$D11*(1+Assumptions!$B$9)^AD$5*(INT((Census!$F11+AD$5))+IF((Census!$F11+AD$5)-INT((Census!$F11+AD$5))&gt;0.5,1,0)),Assumptions!$B$10))</f>
        <v>0</v>
      </c>
      <c r="AE11" s="30">
        <f>IF(AE$5&gt;$B11,0,INDEX(Decrements!$G$6:$G$58,Census!$G11+AE$5-18)/INDEX(Decrements!$G$6:$G$58,Census!$G11-17)*(INDEX(Decrements!$D$6:$D$58,Census!$G11+AE$5-18)+IF(AE$5=$B11,INDEX(Decrements!$F$6:$F$58,Census!$G11+AE$5-18),0)+INDEX(Decrements!$E$6:$E$58,Census!$G11+AE$5-18)*IF((Census!$F11+AE$5)&gt;=Assumptions!$B$11,1,0))*MIN(15/26*Census!$D11*(1+Assumptions!$B$9)^AE$5*(INT((Census!$F11+AE$5))+IF((Census!$F11+AE$5)-INT((Census!$F11+AE$5))&gt;0.5,1,0)),Assumptions!$B$10))</f>
        <v>0</v>
      </c>
      <c r="AF11" s="30">
        <f>IF(AF$5&gt;$B11,0,INDEX(Decrements!$G$6:$G$58,Census!$G11+AF$5-18)/INDEX(Decrements!$G$6:$G$58,Census!$G11-17)*(INDEX(Decrements!$D$6:$D$58,Census!$G11+AF$5-18)+IF(AF$5=$B11,INDEX(Decrements!$F$6:$F$58,Census!$G11+AF$5-18),0)+INDEX(Decrements!$E$6:$E$58,Census!$G11+AF$5-18)*IF((Census!$F11+AF$5)&gt;=Assumptions!$B$11,1,0))*MIN(15/26*Census!$D11*(1+Assumptions!$B$9)^AF$5*(INT((Census!$F11+AF$5))+IF((Census!$F11+AF$5)-INT((Census!$F11+AF$5))&gt;0.5,1,0)),Assumptions!$B$10))</f>
        <v>0</v>
      </c>
      <c r="AG11" s="30">
        <f>IF(AG$5&gt;$B11,0,INDEX(Decrements!$G$6:$G$58,Census!$G11+AG$5-18)/INDEX(Decrements!$G$6:$G$58,Census!$G11-17)*(INDEX(Decrements!$D$6:$D$58,Census!$G11+AG$5-18)+IF(AG$5=$B11,INDEX(Decrements!$F$6:$F$58,Census!$G11+AG$5-18),0)+INDEX(Decrements!$E$6:$E$58,Census!$G11+AG$5-18)*IF((Census!$F11+AG$5)&gt;=Assumptions!$B$11,1,0))*MIN(15/26*Census!$D11*(1+Assumptions!$B$9)^AG$5*(INT((Census!$F11+AG$5))+IF((Census!$F11+AG$5)-INT((Census!$F11+AG$5))&gt;0.5,1,0)),Assumptions!$B$10))</f>
        <v>0</v>
      </c>
      <c r="AH11" s="30">
        <f>IF(AH$5&gt;$B11,0,INDEX(Decrements!$G$6:$G$58,Census!$G11+AH$5-18)/INDEX(Decrements!$G$6:$G$58,Census!$G11-17)*(INDEX(Decrements!$D$6:$D$58,Census!$G11+AH$5-18)+IF(AH$5=$B11,INDEX(Decrements!$F$6:$F$58,Census!$G11+AH$5-18),0)+INDEX(Decrements!$E$6:$E$58,Census!$G11+AH$5-18)*IF((Census!$F11+AH$5)&gt;=Assumptions!$B$11,1,0))*MIN(15/26*Census!$D11*(1+Assumptions!$B$9)^AH$5*(INT((Census!$F11+AH$5))+IF((Census!$F11+AH$5)-INT((Census!$F11+AH$5))&gt;0.5,1,0)),Assumptions!$B$10))</f>
        <v>0</v>
      </c>
      <c r="AI11" s="30">
        <f>IF(AI$5&gt;$B11,0,INDEX(Decrements!$G$6:$G$58,Census!$G11+AI$5-18)/INDEX(Decrements!$G$6:$G$58,Census!$G11-17)*(INDEX(Decrements!$D$6:$D$58,Census!$G11+AI$5-18)+IF(AI$5=$B11,INDEX(Decrements!$F$6:$F$58,Census!$G11+AI$5-18),0)+INDEX(Decrements!$E$6:$E$58,Census!$G11+AI$5-18)*IF((Census!$F11+AI$5)&gt;=Assumptions!$B$11,1,0))*MIN(15/26*Census!$D11*(1+Assumptions!$B$9)^AI$5*(INT((Census!$F11+AI$5))+IF((Census!$F11+AI$5)-INT((Census!$F11+AI$5))&gt;0.5,1,0)),Assumptions!$B$10))</f>
        <v>0</v>
      </c>
      <c r="AJ11" s="30">
        <f>IF(AJ$5&gt;$B11,0,INDEX(Decrements!$G$6:$G$58,Census!$G11+AJ$5-18)/INDEX(Decrements!$G$6:$G$58,Census!$G11-17)*(INDEX(Decrements!$D$6:$D$58,Census!$G11+AJ$5-18)+IF(AJ$5=$B11,INDEX(Decrements!$F$6:$F$58,Census!$G11+AJ$5-18),0)+INDEX(Decrements!$E$6:$E$58,Census!$G11+AJ$5-18)*IF((Census!$F11+AJ$5)&gt;=Assumptions!$B$11,1,0))*MIN(15/26*Census!$D11*(1+Assumptions!$B$9)^AJ$5*(INT((Census!$F11+AJ$5))+IF((Census!$F11+AJ$5)-INT((Census!$F11+AJ$5))&gt;0.5,1,0)),Assumptions!$B$10))</f>
        <v>0</v>
      </c>
      <c r="AK11" s="30">
        <f>IF(AK$5&gt;$B11,0,INDEX(Decrements!$G$6:$G$58,Census!$G11+AK$5-18)/INDEX(Decrements!$G$6:$G$58,Census!$G11-17)*(INDEX(Decrements!$D$6:$D$58,Census!$G11+AK$5-18)+IF(AK$5=$B11,INDEX(Decrements!$F$6:$F$58,Census!$G11+AK$5-18),0)+INDEX(Decrements!$E$6:$E$58,Census!$G11+AK$5-18)*IF((Census!$F11+AK$5)&gt;=Assumptions!$B$11,1,0))*MIN(15/26*Census!$D11*(1+Assumptions!$B$9)^AK$5*(INT((Census!$F11+AK$5))+IF((Census!$F11+AK$5)-INT((Census!$F11+AK$5))&gt;0.5,1,0)),Assumptions!$B$10))</f>
        <v>0</v>
      </c>
      <c r="AL11" s="30">
        <f>IF(AL$5&gt;$B11,0,INDEX(Decrements!$G$6:$G$58,Census!$G11+AL$5-18)/INDEX(Decrements!$G$6:$G$58,Census!$G11-17)*(INDEX(Decrements!$D$6:$D$58,Census!$G11+AL$5-18)+IF(AL$5=$B11,INDEX(Decrements!$F$6:$F$58,Census!$G11+AL$5-18),0)+INDEX(Decrements!$E$6:$E$58,Census!$G11+AL$5-18)*IF((Census!$F11+AL$5)&gt;=Assumptions!$B$11,1,0))*MIN(15/26*Census!$D11*(1+Assumptions!$B$9)^AL$5*(INT((Census!$F11+AL$5))+IF((Census!$F11+AL$5)-INT((Census!$F11+AL$5))&gt;0.5,1,0)),Assumptions!$B$10))</f>
        <v>0</v>
      </c>
      <c r="AM11" s="30">
        <f>IF(AM$5&gt;$B11,0,INDEX(Decrements!$G$6:$G$58,Census!$G11+AM$5-18)/INDEX(Decrements!$G$6:$G$58,Census!$G11-17)*(INDEX(Decrements!$D$6:$D$58,Census!$G11+AM$5-18)+IF(AM$5=$B11,INDEX(Decrements!$F$6:$F$58,Census!$G11+AM$5-18),0)+INDEX(Decrements!$E$6:$E$58,Census!$G11+AM$5-18)*IF((Census!$F11+AM$5)&gt;=Assumptions!$B$11,1,0))*MIN(15/26*Census!$D11*(1+Assumptions!$B$9)^AM$5*(INT((Census!$F11+AM$5))+IF((Census!$F11+AM$5)-INT((Census!$F11+AM$5))&gt;0.5,1,0)),Assumptions!$B$10))</f>
        <v>0</v>
      </c>
      <c r="AN11" s="30">
        <f>IF(AN$5&gt;$B11,0,INDEX(Decrements!$G$6:$G$58,Census!$G11+AN$5-18)/INDEX(Decrements!$G$6:$G$58,Census!$G11-17)*(INDEX(Decrements!$D$6:$D$58,Census!$G11+AN$5-18)+IF(AN$5=$B11,INDEX(Decrements!$F$6:$F$58,Census!$G11+AN$5-18),0)+INDEX(Decrements!$E$6:$E$58,Census!$G11+AN$5-18)*IF((Census!$F11+AN$5)&gt;=Assumptions!$B$11,1,0))*MIN(15/26*Census!$D11*(1+Assumptions!$B$9)^AN$5*(INT((Census!$F11+AN$5))+IF((Census!$F11+AN$5)-INT((Census!$F11+AN$5))&gt;0.5,1,0)),Assumptions!$B$10))</f>
        <v>0</v>
      </c>
      <c r="AO11" s="30">
        <f>IF(AO$5&gt;$B11,0,INDEX(Decrements!$G$6:$G$58,Census!$G11+AO$5-18)/INDEX(Decrements!$G$6:$G$58,Census!$G11-17)*(INDEX(Decrements!$D$6:$D$58,Census!$G11+AO$5-18)+IF(AO$5=$B11,INDEX(Decrements!$F$6:$F$58,Census!$G11+AO$5-18),0)+INDEX(Decrements!$E$6:$E$58,Census!$G11+AO$5-18)*IF((Census!$F11+AO$5)&gt;=Assumptions!$B$11,1,0))*MIN(15/26*Census!$D11*(1+Assumptions!$B$9)^AO$5*(INT((Census!$F11+AO$5))+IF((Census!$F11+AO$5)-INT((Census!$F11+AO$5))&gt;0.5,1,0)),Assumptions!$B$10))</f>
        <v>0</v>
      </c>
      <c r="AP11" s="30">
        <f>IF(AP$5&gt;$B11,0,INDEX(Decrements!$G$6:$G$58,Census!$G11+AP$5-18)/INDEX(Decrements!$G$6:$G$58,Census!$G11-17)*(INDEX(Decrements!$D$6:$D$58,Census!$G11+AP$5-18)+IF(AP$5=$B11,INDEX(Decrements!$F$6:$F$58,Census!$G11+AP$5-18),0)+INDEX(Decrements!$E$6:$E$58,Census!$G11+AP$5-18)*IF((Census!$F11+AP$5)&gt;=Assumptions!$B$11,1,0))*MIN(15/26*Census!$D11*(1+Assumptions!$B$9)^AP$5*(INT((Census!$F11+AP$5))+IF((Census!$F11+AP$5)-INT((Census!$F11+AP$5))&gt;0.5,1,0)),Assumptions!$B$10))</f>
        <v>0</v>
      </c>
      <c r="AQ11" s="30">
        <f>IF(AQ$5&gt;$B11,0,INDEX(Decrements!$G$6:$G$58,Census!$G11+AQ$5-18)/INDEX(Decrements!$G$6:$G$58,Census!$G11-17)*(INDEX(Decrements!$D$6:$D$58,Census!$G11+AQ$5-18)+IF(AQ$5=$B11,INDEX(Decrements!$F$6:$F$58,Census!$G11+AQ$5-18),0)+INDEX(Decrements!$E$6:$E$58,Census!$G11+AQ$5-18)*IF((Census!$F11+AQ$5)&gt;=Assumptions!$B$11,1,0))*MIN(15/26*Census!$D11*(1+Assumptions!$B$9)^AQ$5*(INT((Census!$F11+AQ$5))+IF((Census!$F11+AQ$5)-INT((Census!$F11+AQ$5))&gt;0.5,1,0)),Assumptions!$B$10))</f>
        <v>0</v>
      </c>
      <c r="AR11" s="30">
        <f>IF(AR$5&gt;$B11,0,INDEX(Decrements!$G$6:$G$58,Census!$G11+AR$5-18)/INDEX(Decrements!$G$6:$G$58,Census!$G11-17)*(INDEX(Decrements!$D$6:$D$58,Census!$G11+AR$5-18)+IF(AR$5=$B11,INDEX(Decrements!$F$6:$F$58,Census!$G11+AR$5-18),0)+INDEX(Decrements!$E$6:$E$58,Census!$G11+AR$5-18)*IF((Census!$F11+AR$5)&gt;=Assumptions!$B$11,1,0))*MIN(15/26*Census!$D11*(1+Assumptions!$B$9)^AR$5*(INT((Census!$F11+AR$5))+IF((Census!$F11+AR$5)-INT((Census!$F11+AR$5))&gt;0.5,1,0)),Assumptions!$B$10))</f>
        <v>0</v>
      </c>
      <c r="AS11" s="30">
        <f>IF(AS$5&gt;$B11,0,INDEX(Decrements!$G$6:$G$58,Census!$G11+AS$5-18)/INDEX(Decrements!$G$6:$G$58,Census!$G11-17)*(INDEX(Decrements!$D$6:$D$58,Census!$G11+AS$5-18)+IF(AS$5=$B11,INDEX(Decrements!$F$6:$F$58,Census!$G11+AS$5-18),0)+INDEX(Decrements!$E$6:$E$58,Census!$G11+AS$5-18)*IF((Census!$F11+AS$5)&gt;=Assumptions!$B$11,1,0))*MIN(15/26*Census!$D11*(1+Assumptions!$B$9)^AS$5*(INT((Census!$F11+AS$5))+IF((Census!$F11+AS$5)-INT((Census!$F11+AS$5))&gt;0.5,1,0)),Assumptions!$B$10))</f>
        <v>0</v>
      </c>
      <c r="AT11" s="30">
        <f>IF(AT$5&gt;$B11,0,INDEX(Decrements!$G$6:$G$58,Census!$G11+AT$5-18)/INDEX(Decrements!$G$6:$G$58,Census!$G11-17)*(INDEX(Decrements!$D$6:$D$58,Census!$G11+AT$5-18)+IF(AT$5=$B11,INDEX(Decrements!$F$6:$F$58,Census!$G11+AT$5-18),0)+INDEX(Decrements!$E$6:$E$58,Census!$G11+AT$5-18)*IF((Census!$F11+AT$5)&gt;=Assumptions!$B$11,1,0))*MIN(15/26*Census!$D11*(1+Assumptions!$B$9)^AT$5*(INT((Census!$F11+AT$5))+IF((Census!$F11+AT$5)-INT((Census!$F11+AT$5))&gt;0.5,1,0)),Assumptions!$B$10))</f>
        <v>0</v>
      </c>
      <c r="AU11" s="30">
        <f>IF(AU$5&gt;$B11,0,INDEX(Decrements!$G$6:$G$58,Census!$G11+AU$5-18)/INDEX(Decrements!$G$6:$G$58,Census!$G11-17)*(INDEX(Decrements!$D$6:$D$58,Census!$G11+AU$5-18)+IF(AU$5=$B11,INDEX(Decrements!$F$6:$F$58,Census!$G11+AU$5-18),0)+INDEX(Decrements!$E$6:$E$58,Census!$G11+AU$5-18)*IF((Census!$F11+AU$5)&gt;=Assumptions!$B$11,1,0))*MIN(15/26*Census!$D11*(1+Assumptions!$B$9)^AU$5*(INT((Census!$F11+AU$5))+IF((Census!$F11+AU$5)-INT((Census!$F11+AU$5))&gt;0.5,1,0)),Assumptions!$B$10))</f>
        <v>0</v>
      </c>
    </row>
    <row r="12" spans="1:47" x14ac:dyDescent="0.3">
      <c r="A12" s="10" t="str">
        <f>Census!A12</f>
        <v>E007</v>
      </c>
      <c r="B12" s="29">
        <f>Census!H12</f>
        <v>25</v>
      </c>
      <c r="C12" s="30">
        <f>IF(C$5&gt;$B12,0,INDEX(Decrements!$G$6:$G$58,Census!$G12+C$5-18)/INDEX(Decrements!$G$6:$G$58,Census!$G12-17)*(INDEX(Decrements!$D$6:$D$58,Census!$G12+C$5-18)+IF(C$5=$B12,INDEX(Decrements!$F$6:$F$58,Census!$G12+C$5-18),0)+INDEX(Decrements!$E$6:$E$58,Census!$G12+C$5-18)*IF((Census!$F12+C$5)&gt;=Assumptions!$B$11,1,0))*MIN(15/26*Census!$D12*(1+Assumptions!$B$9)^C$5*(INT((Census!$F12+C$5))+IF((Census!$F12+C$5)-INT((Census!$F12+C$5))&gt;0.5,1,0)),Assumptions!$B$10))</f>
        <v>25105.774823791704</v>
      </c>
      <c r="D12" s="30">
        <f>IF(D$5&gt;$B12,0,INDEX(Decrements!$G$6:$G$58,Census!$G12+D$5-18)/INDEX(Decrements!$G$6:$G$58,Census!$G12-17)*(INDEX(Decrements!$D$6:$D$58,Census!$G12+D$5-18)+IF(D$5=$B12,INDEX(Decrements!$F$6:$F$58,Census!$G12+D$5-18),0)+INDEX(Decrements!$E$6:$E$58,Census!$G12+D$5-18)*IF((Census!$F12+D$5)&gt;=Assumptions!$B$11,1,0))*MIN(15/26*Census!$D12*(1+Assumptions!$B$9)^D$5*(INT((Census!$F12+D$5))+IF((Census!$F12+D$5)-INT((Census!$F12+D$5))&gt;0.5,1,0)),Assumptions!$B$10))</f>
        <v>27430.826199922336</v>
      </c>
      <c r="E12" s="30">
        <f>IF(E$5&gt;$B12,0,INDEX(Decrements!$G$6:$G$58,Census!$G12+E$5-18)/INDEX(Decrements!$G$6:$G$58,Census!$G12-17)*(INDEX(Decrements!$D$6:$D$58,Census!$G12+E$5-18)+IF(E$5=$B12,INDEX(Decrements!$F$6:$F$58,Census!$G12+E$5-18),0)+INDEX(Decrements!$E$6:$E$58,Census!$G12+E$5-18)*IF((Census!$F12+E$5)&gt;=Assumptions!$B$11,1,0))*MIN(15/26*Census!$D12*(1+Assumptions!$B$9)^E$5*(INT((Census!$F12+E$5))+IF((Census!$F12+E$5)-INT((Census!$F12+E$5))&gt;0.5,1,0)),Assumptions!$B$10))</f>
        <v>29723.726038427954</v>
      </c>
      <c r="F12" s="30">
        <f>IF(F$5&gt;$B12,0,INDEX(Decrements!$G$6:$G$58,Census!$G12+F$5-18)/INDEX(Decrements!$G$6:$G$58,Census!$G12-17)*(INDEX(Decrements!$D$6:$D$58,Census!$G12+F$5-18)+IF(F$5=$B12,INDEX(Decrements!$F$6:$F$58,Census!$G12+F$5-18),0)+INDEX(Decrements!$E$6:$E$58,Census!$G12+F$5-18)*IF((Census!$F12+F$5)&gt;=Assumptions!$B$11,1,0))*MIN(15/26*Census!$D12*(1+Assumptions!$B$9)^F$5*(INT((Census!$F12+F$5))+IF((Census!$F12+F$5)-INT((Census!$F12+F$5))&gt;0.5,1,0)),Assumptions!$B$10))</f>
        <v>31984.874761293275</v>
      </c>
      <c r="G12" s="30">
        <f>IF(G$5&gt;$B12,0,INDEX(Decrements!$G$6:$G$58,Census!$G12+G$5-18)/INDEX(Decrements!$G$6:$G$58,Census!$G12-17)*(INDEX(Decrements!$D$6:$D$58,Census!$G12+G$5-18)+IF(G$5=$B12,INDEX(Decrements!$F$6:$F$58,Census!$G12+G$5-18),0)+INDEX(Decrements!$E$6:$E$58,Census!$G12+G$5-18)*IF((Census!$F12+G$5)&gt;=Assumptions!$B$11,1,0))*MIN(15/26*Census!$D12*(1+Assumptions!$B$9)^G$5*(INT((Census!$F12+G$5))+IF((Census!$F12+G$5)-INT((Census!$F12+G$5))&gt;0.5,1,0)),Assumptions!$B$10))</f>
        <v>34214.675301936768</v>
      </c>
      <c r="H12" s="30">
        <f>IF(H$5&gt;$B12,0,INDEX(Decrements!$G$6:$G$58,Census!$G12+H$5-18)/INDEX(Decrements!$G$6:$G$58,Census!$G12-17)*(INDEX(Decrements!$D$6:$D$58,Census!$G12+H$5-18)+IF(H$5=$B12,INDEX(Decrements!$F$6:$F$58,Census!$G12+H$5-18),0)+INDEX(Decrements!$E$6:$E$58,Census!$G12+H$5-18)*IF((Census!$F12+H$5)&gt;=Assumptions!$B$11,1,0))*MIN(15/26*Census!$D12*(1+Assumptions!$B$9)^H$5*(INT((Census!$F12+H$5))+IF((Census!$F12+H$5)-INT((Census!$F12+H$5))&gt;0.5,1,0)),Assumptions!$B$10))</f>
        <v>22985.168881817684</v>
      </c>
      <c r="I12" s="30">
        <f>IF(I$5&gt;$B12,0,INDEX(Decrements!$G$6:$G$58,Census!$G12+I$5-18)/INDEX(Decrements!$G$6:$G$58,Census!$G12-17)*(INDEX(Decrements!$D$6:$D$58,Census!$G12+I$5-18)+IF(I$5=$B12,INDEX(Decrements!$F$6:$F$58,Census!$G12+I$5-18),0)+INDEX(Decrements!$E$6:$E$58,Census!$G12+I$5-18)*IF((Census!$F12+I$5)&gt;=Assumptions!$B$11,1,0))*MIN(15/26*Census!$D12*(1+Assumptions!$B$9)^I$5*(INT((Census!$F12+I$5))+IF((Census!$F12+I$5)-INT((Census!$F12+I$5))&gt;0.5,1,0)),Assumptions!$B$10))</f>
        <v>25165.175412860539</v>
      </c>
      <c r="J12" s="30">
        <f>IF(J$5&gt;$B12,0,INDEX(Decrements!$G$6:$G$58,Census!$G12+J$5-18)/INDEX(Decrements!$G$6:$G$58,Census!$G12-17)*(INDEX(Decrements!$D$6:$D$58,Census!$G12+J$5-18)+IF(J$5=$B12,INDEX(Decrements!$F$6:$F$58,Census!$G12+J$5-18),0)+INDEX(Decrements!$E$6:$E$58,Census!$G12+J$5-18)*IF((Census!$F12+J$5)&gt;=Assumptions!$B$11,1,0))*MIN(15/26*Census!$D12*(1+Assumptions!$B$9)^J$5*(INT((Census!$F12+J$5))+IF((Census!$F12+J$5)-INT((Census!$F12+J$5))&gt;0.5,1,0)),Assumptions!$B$10))</f>
        <v>27446.426233827926</v>
      </c>
      <c r="K12" s="30">
        <f>IF(K$5&gt;$B12,0,INDEX(Decrements!$G$6:$G$58,Census!$G12+K$5-18)/INDEX(Decrements!$G$6:$G$58,Census!$G12-17)*(INDEX(Decrements!$D$6:$D$58,Census!$G12+K$5-18)+IF(K$5=$B12,INDEX(Decrements!$F$6:$F$58,Census!$G12+K$5-18),0)+INDEX(Decrements!$E$6:$E$58,Census!$G12+K$5-18)*IF((Census!$F12+K$5)&gt;=Assumptions!$B$11,1,0))*MIN(15/26*Census!$D12*(1+Assumptions!$B$9)^K$5*(INT((Census!$F12+K$5))+IF((Census!$F12+K$5)-INT((Census!$F12+K$5))&gt;0.5,1,0)),Assumptions!$B$10))</f>
        <v>29833.393479275062</v>
      </c>
      <c r="L12" s="30">
        <f>IF(L$5&gt;$B12,0,INDEX(Decrements!$G$6:$G$58,Census!$G12+L$5-18)/INDEX(Decrements!$G$6:$G$58,Census!$G12-17)*(INDEX(Decrements!$D$6:$D$58,Census!$G12+L$5-18)+IF(L$5=$B12,INDEX(Decrements!$F$6:$F$58,Census!$G12+L$5-18),0)+INDEX(Decrements!$E$6:$E$58,Census!$G12+L$5-18)*IF((Census!$F12+L$5)&gt;=Assumptions!$B$11,1,0))*MIN(15/26*Census!$D12*(1+Assumptions!$B$9)^L$5*(INT((Census!$F12+L$5))+IF((Census!$F12+L$5)-INT((Census!$F12+L$5))&gt;0.5,1,0)),Assumptions!$B$10))</f>
        <v>32330.812760176894</v>
      </c>
      <c r="M12" s="30">
        <f>IF(M$5&gt;$B12,0,INDEX(Decrements!$G$6:$G$58,Census!$G12+M$5-18)/INDEX(Decrements!$G$6:$G$58,Census!$G12-17)*(INDEX(Decrements!$D$6:$D$58,Census!$G12+M$5-18)+IF(M$5=$B12,INDEX(Decrements!$F$6:$F$58,Census!$G12+M$5-18),0)+INDEX(Decrements!$E$6:$E$58,Census!$G12+M$5-18)*IF((Census!$F12+M$5)&gt;=Assumptions!$B$11,1,0))*MIN(15/26*Census!$D12*(1+Assumptions!$B$9)^M$5*(INT((Census!$F12+M$5))+IF((Census!$F12+M$5)-INT((Census!$F12+M$5))&gt;0.5,1,0)),Assumptions!$B$10))</f>
        <v>21486.06690729683</v>
      </c>
      <c r="N12" s="30">
        <f>IF(N$5&gt;$B12,0,INDEX(Decrements!$G$6:$G$58,Census!$G12+N$5-18)/INDEX(Decrements!$G$6:$G$58,Census!$G12-17)*(INDEX(Decrements!$D$6:$D$58,Census!$G12+N$5-18)+IF(N$5=$B12,INDEX(Decrements!$F$6:$F$58,Census!$G12+N$5-18),0)+INDEX(Decrements!$E$6:$E$58,Census!$G12+N$5-18)*IF((Census!$F12+N$5)&gt;=Assumptions!$B$11,1,0))*MIN(15/26*Census!$D12*(1+Assumptions!$B$9)^N$5*(INT((Census!$F12+N$5))+IF((Census!$F12+N$5)-INT((Census!$F12+N$5))&gt;0.5,1,0)),Assumptions!$B$10))</f>
        <v>23698.278308892459</v>
      </c>
      <c r="O12" s="30">
        <f>IF(O$5&gt;$B12,0,INDEX(Decrements!$G$6:$G$58,Census!$G12+O$5-18)/INDEX(Decrements!$G$6:$G$58,Census!$G12-17)*(INDEX(Decrements!$D$6:$D$58,Census!$G12+O$5-18)+IF(O$5=$B12,INDEX(Decrements!$F$6:$F$58,Census!$G12+O$5-18),0)+INDEX(Decrements!$E$6:$E$58,Census!$G12+O$5-18)*IF((Census!$F12+O$5)&gt;=Assumptions!$B$11,1,0))*MIN(15/26*Census!$D12*(1+Assumptions!$B$9)^O$5*(INT((Census!$F12+O$5))+IF((Census!$F12+O$5)-INT((Census!$F12+O$5))&gt;0.5,1,0)),Assumptions!$B$10))</f>
        <v>26086.424473812756</v>
      </c>
      <c r="P12" s="30">
        <f>IF(P$5&gt;$B12,0,INDEX(Decrements!$G$6:$G$58,Census!$G12+P$5-18)/INDEX(Decrements!$G$6:$G$58,Census!$G12-17)*(INDEX(Decrements!$D$6:$D$58,Census!$G12+P$5-18)+IF(P$5=$B12,INDEX(Decrements!$F$6:$F$58,Census!$G12+P$5-18),0)+INDEX(Decrements!$E$6:$E$58,Census!$G12+P$5-18)*IF((Census!$F12+P$5)&gt;=Assumptions!$B$11,1,0))*MIN(15/26*Census!$D12*(1+Assumptions!$B$9)^P$5*(INT((Census!$F12+P$5))+IF((Census!$F12+P$5)-INT((Census!$F12+P$5))&gt;0.5,1,0)),Assumptions!$B$10))</f>
        <v>28664.744936355826</v>
      </c>
      <c r="Q12" s="30">
        <f>IF(Q$5&gt;$B12,0,INDEX(Decrements!$G$6:$G$58,Census!$G12+Q$5-18)/INDEX(Decrements!$G$6:$G$58,Census!$G12-17)*(INDEX(Decrements!$D$6:$D$58,Census!$G12+Q$5-18)+IF(Q$5=$B12,INDEX(Decrements!$F$6:$F$58,Census!$G12+Q$5-18),0)+INDEX(Decrements!$E$6:$E$58,Census!$G12+Q$5-18)*IF((Census!$F12+Q$5)&gt;=Assumptions!$B$11,1,0))*MIN(15/26*Census!$D12*(1+Assumptions!$B$9)^Q$5*(INT((Census!$F12+Q$5))+IF((Census!$F12+Q$5)-INT((Census!$F12+Q$5))&gt;0.5,1,0)),Assumptions!$B$10))</f>
        <v>28755.426517380263</v>
      </c>
      <c r="R12" s="30">
        <f>IF(R$5&gt;$B12,0,INDEX(Decrements!$G$6:$G$58,Census!$G12+R$5-18)/INDEX(Decrements!$G$6:$G$58,Census!$G12-17)*(INDEX(Decrements!$D$6:$D$58,Census!$G12+R$5-18)+IF(R$5=$B12,INDEX(Decrements!$F$6:$F$58,Census!$G12+R$5-18),0)+INDEX(Decrements!$E$6:$E$58,Census!$G12+R$5-18)*IF((Census!$F12+R$5)&gt;=Assumptions!$B$11,1,0))*MIN(15/26*Census!$D12*(1+Assumptions!$B$9)^R$5*(INT((Census!$F12+R$5))+IF((Census!$F12+R$5)-INT((Census!$F12+R$5))&gt;0.5,1,0)),Assumptions!$B$10))</f>
        <v>19483.954010982579</v>
      </c>
      <c r="S12" s="30">
        <f>IF(S$5&gt;$B12,0,INDEX(Decrements!$G$6:$G$58,Census!$G12+S$5-18)/INDEX(Decrements!$G$6:$G$58,Census!$G12-17)*(INDEX(Decrements!$D$6:$D$58,Census!$G12+S$5-18)+IF(S$5=$B12,INDEX(Decrements!$F$6:$F$58,Census!$G12+S$5-18),0)+INDEX(Decrements!$E$6:$E$58,Census!$G12+S$5-18)*IF((Census!$F12+S$5)&gt;=Assumptions!$B$11,1,0))*MIN(15/26*Census!$D12*(1+Assumptions!$B$9)^S$5*(INT((Census!$F12+S$5))+IF((Census!$F12+S$5)-INT((Census!$F12+S$5))&gt;0.5,1,0)),Assumptions!$B$10))</f>
        <v>19240.653495201372</v>
      </c>
      <c r="T12" s="30">
        <f>IF(T$5&gt;$B12,0,INDEX(Decrements!$G$6:$G$58,Census!$G12+T$5-18)/INDEX(Decrements!$G$6:$G$58,Census!$G12-17)*(INDEX(Decrements!$D$6:$D$58,Census!$G12+T$5-18)+IF(T$5=$B12,INDEX(Decrements!$F$6:$F$58,Census!$G12+T$5-18),0)+INDEX(Decrements!$E$6:$E$58,Census!$G12+T$5-18)*IF((Census!$F12+T$5)&gt;=Assumptions!$B$11,1,0))*MIN(15/26*Census!$D12*(1+Assumptions!$B$9)^T$5*(INT((Census!$F12+T$5))+IF((Census!$F12+T$5)-INT((Census!$F12+T$5))&gt;0.5,1,0)),Assumptions!$B$10))</f>
        <v>19013.217182066732</v>
      </c>
      <c r="U12" s="30">
        <f>IF(U$5&gt;$B12,0,INDEX(Decrements!$G$6:$G$58,Census!$G12+U$5-18)/INDEX(Decrements!$G$6:$G$58,Census!$G12-17)*(INDEX(Decrements!$D$6:$D$58,Census!$G12+U$5-18)+IF(U$5=$B12,INDEX(Decrements!$F$6:$F$58,Census!$G12+U$5-18),0)+INDEX(Decrements!$E$6:$E$58,Census!$G12+U$5-18)*IF((Census!$F12+U$5)&gt;=Assumptions!$B$11,1,0))*MIN(15/26*Census!$D12*(1+Assumptions!$B$9)^U$5*(INT((Census!$F12+U$5))+IF((Census!$F12+U$5)-INT((Census!$F12+U$5))&gt;0.5,1,0)),Assumptions!$B$10))</f>
        <v>18801.979361621612</v>
      </c>
      <c r="V12" s="30">
        <f>IF(V$5&gt;$B12,0,INDEX(Decrements!$G$6:$G$58,Census!$G12+V$5-18)/INDEX(Decrements!$G$6:$G$58,Census!$G12-17)*(INDEX(Decrements!$D$6:$D$58,Census!$G12+V$5-18)+IF(V$5=$B12,INDEX(Decrements!$F$6:$F$58,Census!$G12+V$5-18),0)+INDEX(Decrements!$E$6:$E$58,Census!$G12+V$5-18)*IF((Census!$F12+V$5)&gt;=Assumptions!$B$11,1,0))*MIN(15/26*Census!$D12*(1+Assumptions!$B$9)^V$5*(INT((Census!$F12+V$5))+IF((Census!$F12+V$5)-INT((Census!$F12+V$5))&gt;0.5,1,0)),Assumptions!$B$10))</f>
        <v>18607.285355447297</v>
      </c>
      <c r="W12" s="30">
        <f>IF(W$5&gt;$B12,0,INDEX(Decrements!$G$6:$G$58,Census!$G12+W$5-18)/INDEX(Decrements!$G$6:$G$58,Census!$G12-17)*(INDEX(Decrements!$D$6:$D$58,Census!$G12+W$5-18)+IF(W$5=$B12,INDEX(Decrements!$F$6:$F$58,Census!$G12+W$5-18),0)+INDEX(Decrements!$E$6:$E$58,Census!$G12+W$5-18)*IF((Census!$F12+W$5)&gt;=Assumptions!$B$11,1,0))*MIN(15/26*Census!$D12*(1+Assumptions!$B$9)^W$5*(INT((Census!$F12+W$5))+IF((Census!$F12+W$5)-INT((Census!$F12+W$5))&gt;0.5,1,0)),Assumptions!$B$10))</f>
        <v>10869.226877358456</v>
      </c>
      <c r="X12" s="30">
        <f>IF(X$5&gt;$B12,0,INDEX(Decrements!$G$6:$G$58,Census!$G12+X$5-18)/INDEX(Decrements!$G$6:$G$58,Census!$G12-17)*(INDEX(Decrements!$D$6:$D$58,Census!$G12+X$5-18)+IF(X$5=$B12,INDEX(Decrements!$F$6:$F$58,Census!$G12+X$5-18),0)+INDEX(Decrements!$E$6:$E$58,Census!$G12+X$5-18)*IF((Census!$F12+X$5)&gt;=Assumptions!$B$11,1,0))*MIN(15/26*Census!$D12*(1+Assumptions!$B$9)^X$5*(INT((Census!$F12+X$5))+IF((Census!$F12+X$5)-INT((Census!$F12+X$5))&gt;0.5,1,0)),Assumptions!$B$10))</f>
        <v>11006.26910937516</v>
      </c>
      <c r="Y12" s="30">
        <f>IF(Y$5&gt;$B12,0,INDEX(Decrements!$G$6:$G$58,Census!$G12+Y$5-18)/INDEX(Decrements!$G$6:$G$58,Census!$G12-17)*(INDEX(Decrements!$D$6:$D$58,Census!$G12+Y$5-18)+IF(Y$5=$B12,INDEX(Decrements!$F$6:$F$58,Census!$G12+Y$5-18),0)+INDEX(Decrements!$E$6:$E$58,Census!$G12+Y$5-18)*IF((Census!$F12+Y$5)&gt;=Assumptions!$B$11,1,0))*MIN(15/26*Census!$D12*(1+Assumptions!$B$9)^Y$5*(INT((Census!$F12+Y$5))+IF((Census!$F12+Y$5)-INT((Census!$F12+Y$5))&gt;0.5,1,0)),Assumptions!$B$10))</f>
        <v>11161.443701009295</v>
      </c>
      <c r="Z12" s="30">
        <f>IF(Z$5&gt;$B12,0,INDEX(Decrements!$G$6:$G$58,Census!$G12+Z$5-18)/INDEX(Decrements!$G$6:$G$58,Census!$G12-17)*(INDEX(Decrements!$D$6:$D$58,Census!$G12+Z$5-18)+IF(Z$5=$B12,INDEX(Decrements!$F$6:$F$58,Census!$G12+Z$5-18),0)+INDEX(Decrements!$E$6:$E$58,Census!$G12+Z$5-18)*IF((Census!$F12+Z$5)&gt;=Assumptions!$B$11,1,0))*MIN(15/26*Census!$D12*(1+Assumptions!$B$9)^Z$5*(INT((Census!$F12+Z$5))+IF((Census!$F12+Z$5)-INT((Census!$F12+Z$5))&gt;0.5,1,0)),Assumptions!$B$10))</f>
        <v>11335.805298860425</v>
      </c>
      <c r="AA12" s="30">
        <f>IF(AA$5&gt;$B12,0,INDEX(Decrements!$G$6:$G$58,Census!$G12+AA$5-18)/INDEX(Decrements!$G$6:$G$58,Census!$G12-17)*(INDEX(Decrements!$D$6:$D$58,Census!$G12+AA$5-18)+IF(AA$5=$B12,INDEX(Decrements!$F$6:$F$58,Census!$G12+AA$5-18),0)+INDEX(Decrements!$E$6:$E$58,Census!$G12+AA$5-18)*IF((Census!$F12+AA$5)&gt;=Assumptions!$B$11,1,0))*MIN(15/26*Census!$D12*(1+Assumptions!$B$9)^AA$5*(INT((Census!$F12+AA$5))+IF((Census!$F12+AA$5)-INT((Census!$F12+AA$5))&gt;0.5,1,0)),Assumptions!$B$10))</f>
        <v>714962.23574404465</v>
      </c>
      <c r="AB12" s="30">
        <f>IF(AB$5&gt;$B12,0,INDEX(Decrements!$G$6:$G$58,Census!$G12+AB$5-18)/INDEX(Decrements!$G$6:$G$58,Census!$G12-17)*(INDEX(Decrements!$D$6:$D$58,Census!$G12+AB$5-18)+IF(AB$5=$B12,INDEX(Decrements!$F$6:$F$58,Census!$G12+AB$5-18),0)+INDEX(Decrements!$E$6:$E$58,Census!$G12+AB$5-18)*IF((Census!$F12+AB$5)&gt;=Assumptions!$B$11,1,0))*MIN(15/26*Census!$D12*(1+Assumptions!$B$9)^AB$5*(INT((Census!$F12+AB$5))+IF((Census!$F12+AB$5)-INT((Census!$F12+AB$5))&gt;0.5,1,0)),Assumptions!$B$10))</f>
        <v>0</v>
      </c>
      <c r="AC12" s="30">
        <f>IF(AC$5&gt;$B12,0,INDEX(Decrements!$G$6:$G$58,Census!$G12+AC$5-18)/INDEX(Decrements!$G$6:$G$58,Census!$G12-17)*(INDEX(Decrements!$D$6:$D$58,Census!$G12+AC$5-18)+IF(AC$5=$B12,INDEX(Decrements!$F$6:$F$58,Census!$G12+AC$5-18),0)+INDEX(Decrements!$E$6:$E$58,Census!$G12+AC$5-18)*IF((Census!$F12+AC$5)&gt;=Assumptions!$B$11,1,0))*MIN(15/26*Census!$D12*(1+Assumptions!$B$9)^AC$5*(INT((Census!$F12+AC$5))+IF((Census!$F12+AC$5)-INT((Census!$F12+AC$5))&gt;0.5,1,0)),Assumptions!$B$10))</f>
        <v>0</v>
      </c>
      <c r="AD12" s="30">
        <f>IF(AD$5&gt;$B12,0,INDEX(Decrements!$G$6:$G$58,Census!$G12+AD$5-18)/INDEX(Decrements!$G$6:$G$58,Census!$G12-17)*(INDEX(Decrements!$D$6:$D$58,Census!$G12+AD$5-18)+IF(AD$5=$B12,INDEX(Decrements!$F$6:$F$58,Census!$G12+AD$5-18),0)+INDEX(Decrements!$E$6:$E$58,Census!$G12+AD$5-18)*IF((Census!$F12+AD$5)&gt;=Assumptions!$B$11,1,0))*MIN(15/26*Census!$D12*(1+Assumptions!$B$9)^AD$5*(INT((Census!$F12+AD$5))+IF((Census!$F12+AD$5)-INT((Census!$F12+AD$5))&gt;0.5,1,0)),Assumptions!$B$10))</f>
        <v>0</v>
      </c>
      <c r="AE12" s="30">
        <f>IF(AE$5&gt;$B12,0,INDEX(Decrements!$G$6:$G$58,Census!$G12+AE$5-18)/INDEX(Decrements!$G$6:$G$58,Census!$G12-17)*(INDEX(Decrements!$D$6:$D$58,Census!$G12+AE$5-18)+IF(AE$5=$B12,INDEX(Decrements!$F$6:$F$58,Census!$G12+AE$5-18),0)+INDEX(Decrements!$E$6:$E$58,Census!$G12+AE$5-18)*IF((Census!$F12+AE$5)&gt;=Assumptions!$B$11,1,0))*MIN(15/26*Census!$D12*(1+Assumptions!$B$9)^AE$5*(INT((Census!$F12+AE$5))+IF((Census!$F12+AE$5)-INT((Census!$F12+AE$5))&gt;0.5,1,0)),Assumptions!$B$10))</f>
        <v>0</v>
      </c>
      <c r="AF12" s="30">
        <f>IF(AF$5&gt;$B12,0,INDEX(Decrements!$G$6:$G$58,Census!$G12+AF$5-18)/INDEX(Decrements!$G$6:$G$58,Census!$G12-17)*(INDEX(Decrements!$D$6:$D$58,Census!$G12+AF$5-18)+IF(AF$5=$B12,INDEX(Decrements!$F$6:$F$58,Census!$G12+AF$5-18),0)+INDEX(Decrements!$E$6:$E$58,Census!$G12+AF$5-18)*IF((Census!$F12+AF$5)&gt;=Assumptions!$B$11,1,0))*MIN(15/26*Census!$D12*(1+Assumptions!$B$9)^AF$5*(INT((Census!$F12+AF$5))+IF((Census!$F12+AF$5)-INT((Census!$F12+AF$5))&gt;0.5,1,0)),Assumptions!$B$10))</f>
        <v>0</v>
      </c>
      <c r="AG12" s="30">
        <f>IF(AG$5&gt;$B12,0,INDEX(Decrements!$G$6:$G$58,Census!$G12+AG$5-18)/INDEX(Decrements!$G$6:$G$58,Census!$G12-17)*(INDEX(Decrements!$D$6:$D$58,Census!$G12+AG$5-18)+IF(AG$5=$B12,INDEX(Decrements!$F$6:$F$58,Census!$G12+AG$5-18),0)+INDEX(Decrements!$E$6:$E$58,Census!$G12+AG$5-18)*IF((Census!$F12+AG$5)&gt;=Assumptions!$B$11,1,0))*MIN(15/26*Census!$D12*(1+Assumptions!$B$9)^AG$5*(INT((Census!$F12+AG$5))+IF((Census!$F12+AG$5)-INT((Census!$F12+AG$5))&gt;0.5,1,0)),Assumptions!$B$10))</f>
        <v>0</v>
      </c>
      <c r="AH12" s="30">
        <f>IF(AH$5&gt;$B12,0,INDEX(Decrements!$G$6:$G$58,Census!$G12+AH$5-18)/INDEX(Decrements!$G$6:$G$58,Census!$G12-17)*(INDEX(Decrements!$D$6:$D$58,Census!$G12+AH$5-18)+IF(AH$5=$B12,INDEX(Decrements!$F$6:$F$58,Census!$G12+AH$5-18),0)+INDEX(Decrements!$E$6:$E$58,Census!$G12+AH$5-18)*IF((Census!$F12+AH$5)&gt;=Assumptions!$B$11,1,0))*MIN(15/26*Census!$D12*(1+Assumptions!$B$9)^AH$5*(INT((Census!$F12+AH$5))+IF((Census!$F12+AH$5)-INT((Census!$F12+AH$5))&gt;0.5,1,0)),Assumptions!$B$10))</f>
        <v>0</v>
      </c>
      <c r="AI12" s="30">
        <f>IF(AI$5&gt;$B12,0,INDEX(Decrements!$G$6:$G$58,Census!$G12+AI$5-18)/INDEX(Decrements!$G$6:$G$58,Census!$G12-17)*(INDEX(Decrements!$D$6:$D$58,Census!$G12+AI$5-18)+IF(AI$5=$B12,INDEX(Decrements!$F$6:$F$58,Census!$G12+AI$5-18),0)+INDEX(Decrements!$E$6:$E$58,Census!$G12+AI$5-18)*IF((Census!$F12+AI$5)&gt;=Assumptions!$B$11,1,0))*MIN(15/26*Census!$D12*(1+Assumptions!$B$9)^AI$5*(INT((Census!$F12+AI$5))+IF((Census!$F12+AI$5)-INT((Census!$F12+AI$5))&gt;0.5,1,0)),Assumptions!$B$10))</f>
        <v>0</v>
      </c>
      <c r="AJ12" s="30">
        <f>IF(AJ$5&gt;$B12,0,INDEX(Decrements!$G$6:$G$58,Census!$G12+AJ$5-18)/INDEX(Decrements!$G$6:$G$58,Census!$G12-17)*(INDEX(Decrements!$D$6:$D$58,Census!$G12+AJ$5-18)+IF(AJ$5=$B12,INDEX(Decrements!$F$6:$F$58,Census!$G12+AJ$5-18),0)+INDEX(Decrements!$E$6:$E$58,Census!$G12+AJ$5-18)*IF((Census!$F12+AJ$5)&gt;=Assumptions!$B$11,1,0))*MIN(15/26*Census!$D12*(1+Assumptions!$B$9)^AJ$5*(INT((Census!$F12+AJ$5))+IF((Census!$F12+AJ$5)-INT((Census!$F12+AJ$5))&gt;0.5,1,0)),Assumptions!$B$10))</f>
        <v>0</v>
      </c>
      <c r="AK12" s="30">
        <f>IF(AK$5&gt;$B12,0,INDEX(Decrements!$G$6:$G$58,Census!$G12+AK$5-18)/INDEX(Decrements!$G$6:$G$58,Census!$G12-17)*(INDEX(Decrements!$D$6:$D$58,Census!$G12+AK$5-18)+IF(AK$5=$B12,INDEX(Decrements!$F$6:$F$58,Census!$G12+AK$5-18),0)+INDEX(Decrements!$E$6:$E$58,Census!$G12+AK$5-18)*IF((Census!$F12+AK$5)&gt;=Assumptions!$B$11,1,0))*MIN(15/26*Census!$D12*(1+Assumptions!$B$9)^AK$5*(INT((Census!$F12+AK$5))+IF((Census!$F12+AK$5)-INT((Census!$F12+AK$5))&gt;0.5,1,0)),Assumptions!$B$10))</f>
        <v>0</v>
      </c>
      <c r="AL12" s="30">
        <f>IF(AL$5&gt;$B12,0,INDEX(Decrements!$G$6:$G$58,Census!$G12+AL$5-18)/INDEX(Decrements!$G$6:$G$58,Census!$G12-17)*(INDEX(Decrements!$D$6:$D$58,Census!$G12+AL$5-18)+IF(AL$5=$B12,INDEX(Decrements!$F$6:$F$58,Census!$G12+AL$5-18),0)+INDEX(Decrements!$E$6:$E$58,Census!$G12+AL$5-18)*IF((Census!$F12+AL$5)&gt;=Assumptions!$B$11,1,0))*MIN(15/26*Census!$D12*(1+Assumptions!$B$9)^AL$5*(INT((Census!$F12+AL$5))+IF((Census!$F12+AL$5)-INT((Census!$F12+AL$5))&gt;0.5,1,0)),Assumptions!$B$10))</f>
        <v>0</v>
      </c>
      <c r="AM12" s="30">
        <f>IF(AM$5&gt;$B12,0,INDEX(Decrements!$G$6:$G$58,Census!$G12+AM$5-18)/INDEX(Decrements!$G$6:$G$58,Census!$G12-17)*(INDEX(Decrements!$D$6:$D$58,Census!$G12+AM$5-18)+IF(AM$5=$B12,INDEX(Decrements!$F$6:$F$58,Census!$G12+AM$5-18),0)+INDEX(Decrements!$E$6:$E$58,Census!$G12+AM$5-18)*IF((Census!$F12+AM$5)&gt;=Assumptions!$B$11,1,0))*MIN(15/26*Census!$D12*(1+Assumptions!$B$9)^AM$5*(INT((Census!$F12+AM$5))+IF((Census!$F12+AM$5)-INT((Census!$F12+AM$5))&gt;0.5,1,0)),Assumptions!$B$10))</f>
        <v>0</v>
      </c>
      <c r="AN12" s="30">
        <f>IF(AN$5&gt;$B12,0,INDEX(Decrements!$G$6:$G$58,Census!$G12+AN$5-18)/INDEX(Decrements!$G$6:$G$58,Census!$G12-17)*(INDEX(Decrements!$D$6:$D$58,Census!$G12+AN$5-18)+IF(AN$5=$B12,INDEX(Decrements!$F$6:$F$58,Census!$G12+AN$5-18),0)+INDEX(Decrements!$E$6:$E$58,Census!$G12+AN$5-18)*IF((Census!$F12+AN$5)&gt;=Assumptions!$B$11,1,0))*MIN(15/26*Census!$D12*(1+Assumptions!$B$9)^AN$5*(INT((Census!$F12+AN$5))+IF((Census!$F12+AN$5)-INT((Census!$F12+AN$5))&gt;0.5,1,0)),Assumptions!$B$10))</f>
        <v>0</v>
      </c>
      <c r="AO12" s="30">
        <f>IF(AO$5&gt;$B12,0,INDEX(Decrements!$G$6:$G$58,Census!$G12+AO$5-18)/INDEX(Decrements!$G$6:$G$58,Census!$G12-17)*(INDEX(Decrements!$D$6:$D$58,Census!$G12+AO$5-18)+IF(AO$5=$B12,INDEX(Decrements!$F$6:$F$58,Census!$G12+AO$5-18),0)+INDEX(Decrements!$E$6:$E$58,Census!$G12+AO$5-18)*IF((Census!$F12+AO$5)&gt;=Assumptions!$B$11,1,0))*MIN(15/26*Census!$D12*(1+Assumptions!$B$9)^AO$5*(INT((Census!$F12+AO$5))+IF((Census!$F12+AO$5)-INT((Census!$F12+AO$5))&gt;0.5,1,0)),Assumptions!$B$10))</f>
        <v>0</v>
      </c>
      <c r="AP12" s="30">
        <f>IF(AP$5&gt;$B12,0,INDEX(Decrements!$G$6:$G$58,Census!$G12+AP$5-18)/INDEX(Decrements!$G$6:$G$58,Census!$G12-17)*(INDEX(Decrements!$D$6:$D$58,Census!$G12+AP$5-18)+IF(AP$5=$B12,INDEX(Decrements!$F$6:$F$58,Census!$G12+AP$5-18),0)+INDEX(Decrements!$E$6:$E$58,Census!$G12+AP$5-18)*IF((Census!$F12+AP$5)&gt;=Assumptions!$B$11,1,0))*MIN(15/26*Census!$D12*(1+Assumptions!$B$9)^AP$5*(INT((Census!$F12+AP$5))+IF((Census!$F12+AP$5)-INT((Census!$F12+AP$5))&gt;0.5,1,0)),Assumptions!$B$10))</f>
        <v>0</v>
      </c>
      <c r="AQ12" s="30">
        <f>IF(AQ$5&gt;$B12,0,INDEX(Decrements!$G$6:$G$58,Census!$G12+AQ$5-18)/INDEX(Decrements!$G$6:$G$58,Census!$G12-17)*(INDEX(Decrements!$D$6:$D$58,Census!$G12+AQ$5-18)+IF(AQ$5=$B12,INDEX(Decrements!$F$6:$F$58,Census!$G12+AQ$5-18),0)+INDEX(Decrements!$E$6:$E$58,Census!$G12+AQ$5-18)*IF((Census!$F12+AQ$5)&gt;=Assumptions!$B$11,1,0))*MIN(15/26*Census!$D12*(1+Assumptions!$B$9)^AQ$5*(INT((Census!$F12+AQ$5))+IF((Census!$F12+AQ$5)-INT((Census!$F12+AQ$5))&gt;0.5,1,0)),Assumptions!$B$10))</f>
        <v>0</v>
      </c>
      <c r="AR12" s="30">
        <f>IF(AR$5&gt;$B12,0,INDEX(Decrements!$G$6:$G$58,Census!$G12+AR$5-18)/INDEX(Decrements!$G$6:$G$58,Census!$G12-17)*(INDEX(Decrements!$D$6:$D$58,Census!$G12+AR$5-18)+IF(AR$5=$B12,INDEX(Decrements!$F$6:$F$58,Census!$G12+AR$5-18),0)+INDEX(Decrements!$E$6:$E$58,Census!$G12+AR$5-18)*IF((Census!$F12+AR$5)&gt;=Assumptions!$B$11,1,0))*MIN(15/26*Census!$D12*(1+Assumptions!$B$9)^AR$5*(INT((Census!$F12+AR$5))+IF((Census!$F12+AR$5)-INT((Census!$F12+AR$5))&gt;0.5,1,0)),Assumptions!$B$10))</f>
        <v>0</v>
      </c>
      <c r="AS12" s="30">
        <f>IF(AS$5&gt;$B12,0,INDEX(Decrements!$G$6:$G$58,Census!$G12+AS$5-18)/INDEX(Decrements!$G$6:$G$58,Census!$G12-17)*(INDEX(Decrements!$D$6:$D$58,Census!$G12+AS$5-18)+IF(AS$5=$B12,INDEX(Decrements!$F$6:$F$58,Census!$G12+AS$5-18),0)+INDEX(Decrements!$E$6:$E$58,Census!$G12+AS$5-18)*IF((Census!$F12+AS$5)&gt;=Assumptions!$B$11,1,0))*MIN(15/26*Census!$D12*(1+Assumptions!$B$9)^AS$5*(INT((Census!$F12+AS$5))+IF((Census!$F12+AS$5)-INT((Census!$F12+AS$5))&gt;0.5,1,0)),Assumptions!$B$10))</f>
        <v>0</v>
      </c>
      <c r="AT12" s="30">
        <f>IF(AT$5&gt;$B12,0,INDEX(Decrements!$G$6:$G$58,Census!$G12+AT$5-18)/INDEX(Decrements!$G$6:$G$58,Census!$G12-17)*(INDEX(Decrements!$D$6:$D$58,Census!$G12+AT$5-18)+IF(AT$5=$B12,INDEX(Decrements!$F$6:$F$58,Census!$G12+AT$5-18),0)+INDEX(Decrements!$E$6:$E$58,Census!$G12+AT$5-18)*IF((Census!$F12+AT$5)&gt;=Assumptions!$B$11,1,0))*MIN(15/26*Census!$D12*(1+Assumptions!$B$9)^AT$5*(INT((Census!$F12+AT$5))+IF((Census!$F12+AT$5)-INT((Census!$F12+AT$5))&gt;0.5,1,0)),Assumptions!$B$10))</f>
        <v>0</v>
      </c>
      <c r="AU12" s="30">
        <f>IF(AU$5&gt;$B12,0,INDEX(Decrements!$G$6:$G$58,Census!$G12+AU$5-18)/INDEX(Decrements!$G$6:$G$58,Census!$G12-17)*(INDEX(Decrements!$D$6:$D$58,Census!$G12+AU$5-18)+IF(AU$5=$B12,INDEX(Decrements!$F$6:$F$58,Census!$G12+AU$5-18),0)+INDEX(Decrements!$E$6:$E$58,Census!$G12+AU$5-18)*IF((Census!$F12+AU$5)&gt;=Assumptions!$B$11,1,0))*MIN(15/26*Census!$D12*(1+Assumptions!$B$9)^AU$5*(INT((Census!$F12+AU$5))+IF((Census!$F12+AU$5)-INT((Census!$F12+AU$5))&gt;0.5,1,0)),Assumptions!$B$10))</f>
        <v>0</v>
      </c>
    </row>
    <row r="13" spans="1:47" x14ac:dyDescent="0.3">
      <c r="A13" s="10" t="str">
        <f>Census!A13</f>
        <v>E008</v>
      </c>
      <c r="B13" s="29">
        <f>Census!H13</f>
        <v>25</v>
      </c>
      <c r="C13" s="30">
        <f>IF(C$5&gt;$B13,0,INDEX(Decrements!$G$6:$G$58,Census!$G13+C$5-18)/INDEX(Decrements!$G$6:$G$58,Census!$G13-17)*(INDEX(Decrements!$D$6:$D$58,Census!$G13+C$5-18)+IF(C$5=$B13,INDEX(Decrements!$F$6:$F$58,Census!$G13+C$5-18),0)+INDEX(Decrements!$E$6:$E$58,Census!$G13+C$5-18)*IF((Census!$F13+C$5)&gt;=Assumptions!$B$11,1,0))*MIN(15/26*Census!$D13*(1+Assumptions!$B$9)^C$5*(INT((Census!$F13+C$5))+IF((Census!$F13+C$5)-INT((Census!$F13+C$5))&gt;0.5,1,0)),Assumptions!$B$10))</f>
        <v>25342.716875341546</v>
      </c>
      <c r="D13" s="30">
        <f>IF(D$5&gt;$B13,0,INDEX(Decrements!$G$6:$G$58,Census!$G13+D$5-18)/INDEX(Decrements!$G$6:$G$58,Census!$G13-17)*(INDEX(Decrements!$D$6:$D$58,Census!$G13+D$5-18)+IF(D$5=$B13,INDEX(Decrements!$F$6:$F$58,Census!$G13+D$5-18),0)+INDEX(Decrements!$E$6:$E$58,Census!$G13+D$5-18)*IF((Census!$F13+D$5)&gt;=Assumptions!$B$11,1,0))*MIN(15/26*Census!$D13*(1+Assumptions!$B$9)^D$5*(INT((Census!$F13+D$5))+IF((Census!$F13+D$5)-INT((Census!$F13+D$5))&gt;0.5,1,0)),Assumptions!$B$10))</f>
        <v>27460.870916461132</v>
      </c>
      <c r="E13" s="30">
        <f>IF(E$5&gt;$B13,0,INDEX(Decrements!$G$6:$G$58,Census!$G13+E$5-18)/INDEX(Decrements!$G$6:$G$58,Census!$G13-17)*(INDEX(Decrements!$D$6:$D$58,Census!$G13+E$5-18)+IF(E$5=$B13,INDEX(Decrements!$F$6:$F$58,Census!$G13+E$5-18),0)+INDEX(Decrements!$E$6:$E$58,Census!$G13+E$5-18)*IF((Census!$F13+E$5)&gt;=Assumptions!$B$11,1,0))*MIN(15/26*Census!$D13*(1+Assumptions!$B$9)^E$5*(INT((Census!$F13+E$5))+IF((Census!$F13+E$5)-INT((Census!$F13+E$5))&gt;0.5,1,0)),Assumptions!$B$10))</f>
        <v>29549.641297573715</v>
      </c>
      <c r="F13" s="30">
        <f>IF(F$5&gt;$B13,0,INDEX(Decrements!$G$6:$G$58,Census!$G13+F$5-18)/INDEX(Decrements!$G$6:$G$58,Census!$G13-17)*(INDEX(Decrements!$D$6:$D$58,Census!$G13+F$5-18)+IF(F$5=$B13,INDEX(Decrements!$F$6:$F$58,Census!$G13+F$5-18),0)+INDEX(Decrements!$E$6:$E$58,Census!$G13+F$5-18)*IF((Census!$F13+F$5)&gt;=Assumptions!$B$11,1,0))*MIN(15/26*Census!$D13*(1+Assumptions!$B$9)^F$5*(INT((Census!$F13+F$5))+IF((Census!$F13+F$5)-INT((Census!$F13+F$5))&gt;0.5,1,0)),Assumptions!$B$10))</f>
        <v>31609.395848432872</v>
      </c>
      <c r="G13" s="30">
        <f>IF(G$5&gt;$B13,0,INDEX(Decrements!$G$6:$G$58,Census!$G13+G$5-18)/INDEX(Decrements!$G$6:$G$58,Census!$G13-17)*(INDEX(Decrements!$D$6:$D$58,Census!$G13+G$5-18)+IF(G$5=$B13,INDEX(Decrements!$F$6:$F$58,Census!$G13+G$5-18),0)+INDEX(Decrements!$E$6:$E$58,Census!$G13+G$5-18)*IF((Census!$F13+G$5)&gt;=Assumptions!$B$11,1,0))*MIN(15/26*Census!$D13*(1+Assumptions!$B$9)^G$5*(INT((Census!$F13+G$5))+IF((Census!$F13+G$5)-INT((Census!$F13+G$5))&gt;0.5,1,0)),Assumptions!$B$10))</f>
        <v>33640.504761155564</v>
      </c>
      <c r="H13" s="30">
        <f>IF(H$5&gt;$B13,0,INDEX(Decrements!$G$6:$G$58,Census!$G13+H$5-18)/INDEX(Decrements!$G$6:$G$58,Census!$G13-17)*(INDEX(Decrements!$D$6:$D$58,Census!$G13+H$5-18)+IF(H$5=$B13,INDEX(Decrements!$F$6:$F$58,Census!$G13+H$5-18),0)+INDEX(Decrements!$E$6:$E$58,Census!$G13+H$5-18)*IF((Census!$F13+H$5)&gt;=Assumptions!$B$11,1,0))*MIN(15/26*Census!$D13*(1+Assumptions!$B$9)^H$5*(INT((Census!$F13+H$5))+IF((Census!$F13+H$5)-INT((Census!$F13+H$5))&gt;0.5,1,0)),Assumptions!$B$10))</f>
        <v>22499.003328494102</v>
      </c>
      <c r="I13" s="30">
        <f>IF(I$5&gt;$B13,0,INDEX(Decrements!$G$6:$G$58,Census!$G13+I$5-18)/INDEX(Decrements!$G$6:$G$58,Census!$G13-17)*(INDEX(Decrements!$D$6:$D$58,Census!$G13+I$5-18)+IF(I$5=$B13,INDEX(Decrements!$F$6:$F$58,Census!$G13+I$5-18),0)+INDEX(Decrements!$E$6:$E$58,Census!$G13+I$5-18)*IF((Census!$F13+I$5)&gt;=Assumptions!$B$11,1,0))*MIN(15/26*Census!$D13*(1+Assumptions!$B$9)^I$5*(INT((Census!$F13+I$5))+IF((Census!$F13+I$5)-INT((Census!$F13+I$5))&gt;0.5,1,0)),Assumptions!$B$10))</f>
        <v>24536.677683548387</v>
      </c>
      <c r="J13" s="30">
        <f>IF(J$5&gt;$B13,0,INDEX(Decrements!$G$6:$G$58,Census!$G13+J$5-18)/INDEX(Decrements!$G$6:$G$58,Census!$G13-17)*(INDEX(Decrements!$D$6:$D$58,Census!$G13+J$5-18)+IF(J$5=$B13,INDEX(Decrements!$F$6:$F$58,Census!$G13+J$5-18),0)+INDEX(Decrements!$E$6:$E$58,Census!$G13+J$5-18)*IF((Census!$F13+J$5)&gt;=Assumptions!$B$11,1,0))*MIN(15/26*Census!$D13*(1+Assumptions!$B$9)^J$5*(INT((Census!$F13+J$5))+IF((Census!$F13+J$5)-INT((Census!$F13+J$5))&gt;0.5,1,0)),Assumptions!$B$10))</f>
        <v>26668.356035845562</v>
      </c>
      <c r="K13" s="30">
        <f>IF(K$5&gt;$B13,0,INDEX(Decrements!$G$6:$G$58,Census!$G13+K$5-18)/INDEX(Decrements!$G$6:$G$58,Census!$G13-17)*(INDEX(Decrements!$D$6:$D$58,Census!$G13+K$5-18)+IF(K$5=$B13,INDEX(Decrements!$F$6:$F$58,Census!$G13+K$5-18),0)+INDEX(Decrements!$E$6:$E$58,Census!$G13+K$5-18)*IF((Census!$F13+K$5)&gt;=Assumptions!$B$11,1,0))*MIN(15/26*Census!$D13*(1+Assumptions!$B$9)^K$5*(INT((Census!$F13+K$5))+IF((Census!$F13+K$5)-INT((Census!$F13+K$5))&gt;0.5,1,0)),Assumptions!$B$10))</f>
        <v>28898.187815768109</v>
      </c>
      <c r="L13" s="30">
        <f>IF(L$5&gt;$B13,0,INDEX(Decrements!$G$6:$G$58,Census!$G13+L$5-18)/INDEX(Decrements!$G$6:$G$58,Census!$G13-17)*(INDEX(Decrements!$D$6:$D$58,Census!$G13+L$5-18)+IF(L$5=$B13,INDEX(Decrements!$F$6:$F$58,Census!$G13+L$5-18),0)+INDEX(Decrements!$E$6:$E$58,Census!$G13+L$5-18)*IF((Census!$F13+L$5)&gt;=Assumptions!$B$11,1,0))*MIN(15/26*Census!$D13*(1+Assumptions!$B$9)^L$5*(INT((Census!$F13+L$5))+IF((Census!$F13+L$5)-INT((Census!$F13+L$5))&gt;0.5,1,0)),Assumptions!$B$10))</f>
        <v>31230.56738829178</v>
      </c>
      <c r="M13" s="30">
        <f>IF(M$5&gt;$B13,0,INDEX(Decrements!$G$6:$G$58,Census!$G13+M$5-18)/INDEX(Decrements!$G$6:$G$58,Census!$G13-17)*(INDEX(Decrements!$D$6:$D$58,Census!$G13+M$5-18)+IF(M$5=$B13,INDEX(Decrements!$F$6:$F$58,Census!$G13+M$5-18),0)+INDEX(Decrements!$E$6:$E$58,Census!$G13+M$5-18)*IF((Census!$F13+M$5)&gt;=Assumptions!$B$11,1,0))*MIN(15/26*Census!$D13*(1+Assumptions!$B$9)^M$5*(INT((Census!$F13+M$5))+IF((Census!$F13+M$5)-INT((Census!$F13+M$5))&gt;0.5,1,0)),Assumptions!$B$10))</f>
        <v>20702.99037242246</v>
      </c>
      <c r="N13" s="30">
        <f>IF(N$5&gt;$B13,0,INDEX(Decrements!$G$6:$G$58,Census!$G13+N$5-18)/INDEX(Decrements!$G$6:$G$58,Census!$G13-17)*(INDEX(Decrements!$D$6:$D$58,Census!$G13+N$5-18)+IF(N$5=$B13,INDEX(Decrements!$F$6:$F$58,Census!$G13+N$5-18),0)+INDEX(Decrements!$E$6:$E$58,Census!$G13+N$5-18)*IF((Census!$F13+N$5)&gt;=Assumptions!$B$11,1,0))*MIN(15/26*Census!$D13*(1+Assumptions!$B$9)^N$5*(INT((Census!$F13+N$5))+IF((Census!$F13+N$5)-INT((Census!$F13+N$5))&gt;0.5,1,0)),Assumptions!$B$10))</f>
        <v>22782.796913138725</v>
      </c>
      <c r="O13" s="30">
        <f>IF(O$5&gt;$B13,0,INDEX(Decrements!$G$6:$G$58,Census!$G13+O$5-18)/INDEX(Decrements!$G$6:$G$58,Census!$G13-17)*(INDEX(Decrements!$D$6:$D$58,Census!$G13+O$5-18)+IF(O$5=$B13,INDEX(Decrements!$F$6:$F$58,Census!$G13+O$5-18),0)+INDEX(Decrements!$E$6:$E$58,Census!$G13+O$5-18)*IF((Census!$F13+O$5)&gt;=Assumptions!$B$11,1,0))*MIN(15/26*Census!$D13*(1+Assumptions!$B$9)^O$5*(INT((Census!$F13+O$5))+IF((Census!$F13+O$5)-INT((Census!$F13+O$5))&gt;0.5,1,0)),Assumptions!$B$10))</f>
        <v>25026.871818569358</v>
      </c>
      <c r="P13" s="30">
        <f>IF(P$5&gt;$B13,0,INDEX(Decrements!$G$6:$G$58,Census!$G13+P$5-18)/INDEX(Decrements!$G$6:$G$58,Census!$G13-17)*(INDEX(Decrements!$D$6:$D$58,Census!$G13+P$5-18)+IF(P$5=$B13,INDEX(Decrements!$F$6:$F$58,Census!$G13+P$5-18),0)+INDEX(Decrements!$E$6:$E$58,Census!$G13+P$5-18)*IF((Census!$F13+P$5)&gt;=Assumptions!$B$11,1,0))*MIN(15/26*Census!$D13*(1+Assumptions!$B$9)^P$5*(INT((Census!$F13+P$5))+IF((Census!$F13+P$5)-INT((Census!$F13+P$5))&gt;0.5,1,0)),Assumptions!$B$10))</f>
        <v>27448.482841099245</v>
      </c>
      <c r="Q13" s="30">
        <f>IF(Q$5&gt;$B13,0,INDEX(Decrements!$G$6:$G$58,Census!$G13+Q$5-18)/INDEX(Decrements!$G$6:$G$58,Census!$G13-17)*(INDEX(Decrements!$D$6:$D$58,Census!$G13+Q$5-18)+IF(Q$5=$B13,INDEX(Decrements!$F$6:$F$58,Census!$G13+Q$5-18),0)+INDEX(Decrements!$E$6:$E$58,Census!$G13+Q$5-18)*IF((Census!$F13+Q$5)&gt;=Assumptions!$B$11,1,0))*MIN(15/26*Census!$D13*(1+Assumptions!$B$9)^Q$5*(INT((Census!$F13+Q$5))+IF((Census!$F13+Q$5)-INT((Census!$F13+Q$5))&gt;0.5,1,0)),Assumptions!$B$10))</f>
        <v>28755.426517380263</v>
      </c>
      <c r="R13" s="30">
        <f>IF(R$5&gt;$B13,0,INDEX(Decrements!$G$6:$G$58,Census!$G13+R$5-18)/INDEX(Decrements!$G$6:$G$58,Census!$G13-17)*(INDEX(Decrements!$D$6:$D$58,Census!$G13+R$5-18)+IF(R$5=$B13,INDEX(Decrements!$F$6:$F$58,Census!$G13+R$5-18),0)+INDEX(Decrements!$E$6:$E$58,Census!$G13+R$5-18)*IF((Census!$F13+R$5)&gt;=Assumptions!$B$11,1,0))*MIN(15/26*Census!$D13*(1+Assumptions!$B$9)^R$5*(INT((Census!$F13+R$5))+IF((Census!$F13+R$5)-INT((Census!$F13+R$5))&gt;0.5,1,0)),Assumptions!$B$10))</f>
        <v>19483.954010982579</v>
      </c>
      <c r="S13" s="30">
        <f>IF(S$5&gt;$B13,0,INDEX(Decrements!$G$6:$G$58,Census!$G13+S$5-18)/INDEX(Decrements!$G$6:$G$58,Census!$G13-17)*(INDEX(Decrements!$D$6:$D$58,Census!$G13+S$5-18)+IF(S$5=$B13,INDEX(Decrements!$F$6:$F$58,Census!$G13+S$5-18),0)+INDEX(Decrements!$E$6:$E$58,Census!$G13+S$5-18)*IF((Census!$F13+S$5)&gt;=Assumptions!$B$11,1,0))*MIN(15/26*Census!$D13*(1+Assumptions!$B$9)^S$5*(INT((Census!$F13+S$5))+IF((Census!$F13+S$5)-INT((Census!$F13+S$5))&gt;0.5,1,0)),Assumptions!$B$10))</f>
        <v>19240.653495201372</v>
      </c>
      <c r="T13" s="30">
        <f>IF(T$5&gt;$B13,0,INDEX(Decrements!$G$6:$G$58,Census!$G13+T$5-18)/INDEX(Decrements!$G$6:$G$58,Census!$G13-17)*(INDEX(Decrements!$D$6:$D$58,Census!$G13+T$5-18)+IF(T$5=$B13,INDEX(Decrements!$F$6:$F$58,Census!$G13+T$5-18),0)+INDEX(Decrements!$E$6:$E$58,Census!$G13+T$5-18)*IF((Census!$F13+T$5)&gt;=Assumptions!$B$11,1,0))*MIN(15/26*Census!$D13*(1+Assumptions!$B$9)^T$5*(INT((Census!$F13+T$5))+IF((Census!$F13+T$5)-INT((Census!$F13+T$5))&gt;0.5,1,0)),Assumptions!$B$10))</f>
        <v>19013.217182066732</v>
      </c>
      <c r="U13" s="30">
        <f>IF(U$5&gt;$B13,0,INDEX(Decrements!$G$6:$G$58,Census!$G13+U$5-18)/INDEX(Decrements!$G$6:$G$58,Census!$G13-17)*(INDEX(Decrements!$D$6:$D$58,Census!$G13+U$5-18)+IF(U$5=$B13,INDEX(Decrements!$F$6:$F$58,Census!$G13+U$5-18),0)+INDEX(Decrements!$E$6:$E$58,Census!$G13+U$5-18)*IF((Census!$F13+U$5)&gt;=Assumptions!$B$11,1,0))*MIN(15/26*Census!$D13*(1+Assumptions!$B$9)^U$5*(INT((Census!$F13+U$5))+IF((Census!$F13+U$5)-INT((Census!$F13+U$5))&gt;0.5,1,0)),Assumptions!$B$10))</f>
        <v>18801.979361621612</v>
      </c>
      <c r="V13" s="30">
        <f>IF(V$5&gt;$B13,0,INDEX(Decrements!$G$6:$G$58,Census!$G13+V$5-18)/INDEX(Decrements!$G$6:$G$58,Census!$G13-17)*(INDEX(Decrements!$D$6:$D$58,Census!$G13+V$5-18)+IF(V$5=$B13,INDEX(Decrements!$F$6:$F$58,Census!$G13+V$5-18),0)+INDEX(Decrements!$E$6:$E$58,Census!$G13+V$5-18)*IF((Census!$F13+V$5)&gt;=Assumptions!$B$11,1,0))*MIN(15/26*Census!$D13*(1+Assumptions!$B$9)^V$5*(INT((Census!$F13+V$5))+IF((Census!$F13+V$5)-INT((Census!$F13+V$5))&gt;0.5,1,0)),Assumptions!$B$10))</f>
        <v>18607.285355447297</v>
      </c>
      <c r="W13" s="30">
        <f>IF(W$5&gt;$B13,0,INDEX(Decrements!$G$6:$G$58,Census!$G13+W$5-18)/INDEX(Decrements!$G$6:$G$58,Census!$G13-17)*(INDEX(Decrements!$D$6:$D$58,Census!$G13+W$5-18)+IF(W$5=$B13,INDEX(Decrements!$F$6:$F$58,Census!$G13+W$5-18),0)+INDEX(Decrements!$E$6:$E$58,Census!$G13+W$5-18)*IF((Census!$F13+W$5)&gt;=Assumptions!$B$11,1,0))*MIN(15/26*Census!$D13*(1+Assumptions!$B$9)^W$5*(INT((Census!$F13+W$5))+IF((Census!$F13+W$5)-INT((Census!$F13+W$5))&gt;0.5,1,0)),Assumptions!$B$10))</f>
        <v>10869.226877358456</v>
      </c>
      <c r="X13" s="30">
        <f>IF(X$5&gt;$B13,0,INDEX(Decrements!$G$6:$G$58,Census!$G13+X$5-18)/INDEX(Decrements!$G$6:$G$58,Census!$G13-17)*(INDEX(Decrements!$D$6:$D$58,Census!$G13+X$5-18)+IF(X$5=$B13,INDEX(Decrements!$F$6:$F$58,Census!$G13+X$5-18),0)+INDEX(Decrements!$E$6:$E$58,Census!$G13+X$5-18)*IF((Census!$F13+X$5)&gt;=Assumptions!$B$11,1,0))*MIN(15/26*Census!$D13*(1+Assumptions!$B$9)^X$5*(INT((Census!$F13+X$5))+IF((Census!$F13+X$5)-INT((Census!$F13+X$5))&gt;0.5,1,0)),Assumptions!$B$10))</f>
        <v>11006.26910937516</v>
      </c>
      <c r="Y13" s="30">
        <f>IF(Y$5&gt;$B13,0,INDEX(Decrements!$G$6:$G$58,Census!$G13+Y$5-18)/INDEX(Decrements!$G$6:$G$58,Census!$G13-17)*(INDEX(Decrements!$D$6:$D$58,Census!$G13+Y$5-18)+IF(Y$5=$B13,INDEX(Decrements!$F$6:$F$58,Census!$G13+Y$5-18),0)+INDEX(Decrements!$E$6:$E$58,Census!$G13+Y$5-18)*IF((Census!$F13+Y$5)&gt;=Assumptions!$B$11,1,0))*MIN(15/26*Census!$D13*(1+Assumptions!$B$9)^Y$5*(INT((Census!$F13+Y$5))+IF((Census!$F13+Y$5)-INT((Census!$F13+Y$5))&gt;0.5,1,0)),Assumptions!$B$10))</f>
        <v>11161.443701009295</v>
      </c>
      <c r="Z13" s="30">
        <f>IF(Z$5&gt;$B13,0,INDEX(Decrements!$G$6:$G$58,Census!$G13+Z$5-18)/INDEX(Decrements!$G$6:$G$58,Census!$G13-17)*(INDEX(Decrements!$D$6:$D$58,Census!$G13+Z$5-18)+IF(Z$5=$B13,INDEX(Decrements!$F$6:$F$58,Census!$G13+Z$5-18),0)+INDEX(Decrements!$E$6:$E$58,Census!$G13+Z$5-18)*IF((Census!$F13+Z$5)&gt;=Assumptions!$B$11,1,0))*MIN(15/26*Census!$D13*(1+Assumptions!$B$9)^Z$5*(INT((Census!$F13+Z$5))+IF((Census!$F13+Z$5)-INT((Census!$F13+Z$5))&gt;0.5,1,0)),Assumptions!$B$10))</f>
        <v>11335.805298860425</v>
      </c>
      <c r="AA13" s="30">
        <f>IF(AA$5&gt;$B13,0,INDEX(Decrements!$G$6:$G$58,Census!$G13+AA$5-18)/INDEX(Decrements!$G$6:$G$58,Census!$G13-17)*(INDEX(Decrements!$D$6:$D$58,Census!$G13+AA$5-18)+IF(AA$5=$B13,INDEX(Decrements!$F$6:$F$58,Census!$G13+AA$5-18),0)+INDEX(Decrements!$E$6:$E$58,Census!$G13+AA$5-18)*IF((Census!$F13+AA$5)&gt;=Assumptions!$B$11,1,0))*MIN(15/26*Census!$D13*(1+Assumptions!$B$9)^AA$5*(INT((Census!$F13+AA$5))+IF((Census!$F13+AA$5)-INT((Census!$F13+AA$5))&gt;0.5,1,0)),Assumptions!$B$10))</f>
        <v>714962.23574404465</v>
      </c>
      <c r="AB13" s="30">
        <f>IF(AB$5&gt;$B13,0,INDEX(Decrements!$G$6:$G$58,Census!$G13+AB$5-18)/INDEX(Decrements!$G$6:$G$58,Census!$G13-17)*(INDEX(Decrements!$D$6:$D$58,Census!$G13+AB$5-18)+IF(AB$5=$B13,INDEX(Decrements!$F$6:$F$58,Census!$G13+AB$5-18),0)+INDEX(Decrements!$E$6:$E$58,Census!$G13+AB$5-18)*IF((Census!$F13+AB$5)&gt;=Assumptions!$B$11,1,0))*MIN(15/26*Census!$D13*(1+Assumptions!$B$9)^AB$5*(INT((Census!$F13+AB$5))+IF((Census!$F13+AB$5)-INT((Census!$F13+AB$5))&gt;0.5,1,0)),Assumptions!$B$10))</f>
        <v>0</v>
      </c>
      <c r="AC13" s="30">
        <f>IF(AC$5&gt;$B13,0,INDEX(Decrements!$G$6:$G$58,Census!$G13+AC$5-18)/INDEX(Decrements!$G$6:$G$58,Census!$G13-17)*(INDEX(Decrements!$D$6:$D$58,Census!$G13+AC$5-18)+IF(AC$5=$B13,INDEX(Decrements!$F$6:$F$58,Census!$G13+AC$5-18),0)+INDEX(Decrements!$E$6:$E$58,Census!$G13+AC$5-18)*IF((Census!$F13+AC$5)&gt;=Assumptions!$B$11,1,0))*MIN(15/26*Census!$D13*(1+Assumptions!$B$9)^AC$5*(INT((Census!$F13+AC$5))+IF((Census!$F13+AC$5)-INT((Census!$F13+AC$5))&gt;0.5,1,0)),Assumptions!$B$10))</f>
        <v>0</v>
      </c>
      <c r="AD13" s="30">
        <f>IF(AD$5&gt;$B13,0,INDEX(Decrements!$G$6:$G$58,Census!$G13+AD$5-18)/INDEX(Decrements!$G$6:$G$58,Census!$G13-17)*(INDEX(Decrements!$D$6:$D$58,Census!$G13+AD$5-18)+IF(AD$5=$B13,INDEX(Decrements!$F$6:$F$58,Census!$G13+AD$5-18),0)+INDEX(Decrements!$E$6:$E$58,Census!$G13+AD$5-18)*IF((Census!$F13+AD$5)&gt;=Assumptions!$B$11,1,0))*MIN(15/26*Census!$D13*(1+Assumptions!$B$9)^AD$5*(INT((Census!$F13+AD$5))+IF((Census!$F13+AD$5)-INT((Census!$F13+AD$5))&gt;0.5,1,0)),Assumptions!$B$10))</f>
        <v>0</v>
      </c>
      <c r="AE13" s="30">
        <f>IF(AE$5&gt;$B13,0,INDEX(Decrements!$G$6:$G$58,Census!$G13+AE$5-18)/INDEX(Decrements!$G$6:$G$58,Census!$G13-17)*(INDEX(Decrements!$D$6:$D$58,Census!$G13+AE$5-18)+IF(AE$5=$B13,INDEX(Decrements!$F$6:$F$58,Census!$G13+AE$5-18),0)+INDEX(Decrements!$E$6:$E$58,Census!$G13+AE$5-18)*IF((Census!$F13+AE$5)&gt;=Assumptions!$B$11,1,0))*MIN(15/26*Census!$D13*(1+Assumptions!$B$9)^AE$5*(INT((Census!$F13+AE$5))+IF((Census!$F13+AE$5)-INT((Census!$F13+AE$5))&gt;0.5,1,0)),Assumptions!$B$10))</f>
        <v>0</v>
      </c>
      <c r="AF13" s="30">
        <f>IF(AF$5&gt;$B13,0,INDEX(Decrements!$G$6:$G$58,Census!$G13+AF$5-18)/INDEX(Decrements!$G$6:$G$58,Census!$G13-17)*(INDEX(Decrements!$D$6:$D$58,Census!$G13+AF$5-18)+IF(AF$5=$B13,INDEX(Decrements!$F$6:$F$58,Census!$G13+AF$5-18),0)+INDEX(Decrements!$E$6:$E$58,Census!$G13+AF$5-18)*IF((Census!$F13+AF$5)&gt;=Assumptions!$B$11,1,0))*MIN(15/26*Census!$D13*(1+Assumptions!$B$9)^AF$5*(INT((Census!$F13+AF$5))+IF((Census!$F13+AF$5)-INT((Census!$F13+AF$5))&gt;0.5,1,0)),Assumptions!$B$10))</f>
        <v>0</v>
      </c>
      <c r="AG13" s="30">
        <f>IF(AG$5&gt;$B13,0,INDEX(Decrements!$G$6:$G$58,Census!$G13+AG$5-18)/INDEX(Decrements!$G$6:$G$58,Census!$G13-17)*(INDEX(Decrements!$D$6:$D$58,Census!$G13+AG$5-18)+IF(AG$5=$B13,INDEX(Decrements!$F$6:$F$58,Census!$G13+AG$5-18),0)+INDEX(Decrements!$E$6:$E$58,Census!$G13+AG$5-18)*IF((Census!$F13+AG$5)&gt;=Assumptions!$B$11,1,0))*MIN(15/26*Census!$D13*(1+Assumptions!$B$9)^AG$5*(INT((Census!$F13+AG$5))+IF((Census!$F13+AG$5)-INT((Census!$F13+AG$5))&gt;0.5,1,0)),Assumptions!$B$10))</f>
        <v>0</v>
      </c>
      <c r="AH13" s="30">
        <f>IF(AH$5&gt;$B13,0,INDEX(Decrements!$G$6:$G$58,Census!$G13+AH$5-18)/INDEX(Decrements!$G$6:$G$58,Census!$G13-17)*(INDEX(Decrements!$D$6:$D$58,Census!$G13+AH$5-18)+IF(AH$5=$B13,INDEX(Decrements!$F$6:$F$58,Census!$G13+AH$5-18),0)+INDEX(Decrements!$E$6:$E$58,Census!$G13+AH$5-18)*IF((Census!$F13+AH$5)&gt;=Assumptions!$B$11,1,0))*MIN(15/26*Census!$D13*(1+Assumptions!$B$9)^AH$5*(INT((Census!$F13+AH$5))+IF((Census!$F13+AH$5)-INT((Census!$F13+AH$5))&gt;0.5,1,0)),Assumptions!$B$10))</f>
        <v>0</v>
      </c>
      <c r="AI13" s="30">
        <f>IF(AI$5&gt;$B13,0,INDEX(Decrements!$G$6:$G$58,Census!$G13+AI$5-18)/INDEX(Decrements!$G$6:$G$58,Census!$G13-17)*(INDEX(Decrements!$D$6:$D$58,Census!$G13+AI$5-18)+IF(AI$5=$B13,INDEX(Decrements!$F$6:$F$58,Census!$G13+AI$5-18),0)+INDEX(Decrements!$E$6:$E$58,Census!$G13+AI$5-18)*IF((Census!$F13+AI$5)&gt;=Assumptions!$B$11,1,0))*MIN(15/26*Census!$D13*(1+Assumptions!$B$9)^AI$5*(INT((Census!$F13+AI$5))+IF((Census!$F13+AI$5)-INT((Census!$F13+AI$5))&gt;0.5,1,0)),Assumptions!$B$10))</f>
        <v>0</v>
      </c>
      <c r="AJ13" s="30">
        <f>IF(AJ$5&gt;$B13,0,INDEX(Decrements!$G$6:$G$58,Census!$G13+AJ$5-18)/INDEX(Decrements!$G$6:$G$58,Census!$G13-17)*(INDEX(Decrements!$D$6:$D$58,Census!$G13+AJ$5-18)+IF(AJ$5=$B13,INDEX(Decrements!$F$6:$F$58,Census!$G13+AJ$5-18),0)+INDEX(Decrements!$E$6:$E$58,Census!$G13+AJ$5-18)*IF((Census!$F13+AJ$5)&gt;=Assumptions!$B$11,1,0))*MIN(15/26*Census!$D13*(1+Assumptions!$B$9)^AJ$5*(INT((Census!$F13+AJ$5))+IF((Census!$F13+AJ$5)-INT((Census!$F13+AJ$5))&gt;0.5,1,0)),Assumptions!$B$10))</f>
        <v>0</v>
      </c>
      <c r="AK13" s="30">
        <f>IF(AK$5&gt;$B13,0,INDEX(Decrements!$G$6:$G$58,Census!$G13+AK$5-18)/INDEX(Decrements!$G$6:$G$58,Census!$G13-17)*(INDEX(Decrements!$D$6:$D$58,Census!$G13+AK$5-18)+IF(AK$5=$B13,INDEX(Decrements!$F$6:$F$58,Census!$G13+AK$5-18),0)+INDEX(Decrements!$E$6:$E$58,Census!$G13+AK$5-18)*IF((Census!$F13+AK$5)&gt;=Assumptions!$B$11,1,0))*MIN(15/26*Census!$D13*(1+Assumptions!$B$9)^AK$5*(INT((Census!$F13+AK$5))+IF((Census!$F13+AK$5)-INT((Census!$F13+AK$5))&gt;0.5,1,0)),Assumptions!$B$10))</f>
        <v>0</v>
      </c>
      <c r="AL13" s="30">
        <f>IF(AL$5&gt;$B13,0,INDEX(Decrements!$G$6:$G$58,Census!$G13+AL$5-18)/INDEX(Decrements!$G$6:$G$58,Census!$G13-17)*(INDEX(Decrements!$D$6:$D$58,Census!$G13+AL$5-18)+IF(AL$5=$B13,INDEX(Decrements!$F$6:$F$58,Census!$G13+AL$5-18),0)+INDEX(Decrements!$E$6:$E$58,Census!$G13+AL$5-18)*IF((Census!$F13+AL$5)&gt;=Assumptions!$B$11,1,0))*MIN(15/26*Census!$D13*(1+Assumptions!$B$9)^AL$5*(INT((Census!$F13+AL$5))+IF((Census!$F13+AL$5)-INT((Census!$F13+AL$5))&gt;0.5,1,0)),Assumptions!$B$10))</f>
        <v>0</v>
      </c>
      <c r="AM13" s="30">
        <f>IF(AM$5&gt;$B13,0,INDEX(Decrements!$G$6:$G$58,Census!$G13+AM$5-18)/INDEX(Decrements!$G$6:$G$58,Census!$G13-17)*(INDEX(Decrements!$D$6:$D$58,Census!$G13+AM$5-18)+IF(AM$5=$B13,INDEX(Decrements!$F$6:$F$58,Census!$G13+AM$5-18),0)+INDEX(Decrements!$E$6:$E$58,Census!$G13+AM$5-18)*IF((Census!$F13+AM$5)&gt;=Assumptions!$B$11,1,0))*MIN(15/26*Census!$D13*(1+Assumptions!$B$9)^AM$5*(INT((Census!$F13+AM$5))+IF((Census!$F13+AM$5)-INT((Census!$F13+AM$5))&gt;0.5,1,0)),Assumptions!$B$10))</f>
        <v>0</v>
      </c>
      <c r="AN13" s="30">
        <f>IF(AN$5&gt;$B13,0,INDEX(Decrements!$G$6:$G$58,Census!$G13+AN$5-18)/INDEX(Decrements!$G$6:$G$58,Census!$G13-17)*(INDEX(Decrements!$D$6:$D$58,Census!$G13+AN$5-18)+IF(AN$5=$B13,INDEX(Decrements!$F$6:$F$58,Census!$G13+AN$5-18),0)+INDEX(Decrements!$E$6:$E$58,Census!$G13+AN$5-18)*IF((Census!$F13+AN$5)&gt;=Assumptions!$B$11,1,0))*MIN(15/26*Census!$D13*(1+Assumptions!$B$9)^AN$5*(INT((Census!$F13+AN$5))+IF((Census!$F13+AN$5)-INT((Census!$F13+AN$5))&gt;0.5,1,0)),Assumptions!$B$10))</f>
        <v>0</v>
      </c>
      <c r="AO13" s="30">
        <f>IF(AO$5&gt;$B13,0,INDEX(Decrements!$G$6:$G$58,Census!$G13+AO$5-18)/INDEX(Decrements!$G$6:$G$58,Census!$G13-17)*(INDEX(Decrements!$D$6:$D$58,Census!$G13+AO$5-18)+IF(AO$5=$B13,INDEX(Decrements!$F$6:$F$58,Census!$G13+AO$5-18),0)+INDEX(Decrements!$E$6:$E$58,Census!$G13+AO$5-18)*IF((Census!$F13+AO$5)&gt;=Assumptions!$B$11,1,0))*MIN(15/26*Census!$D13*(1+Assumptions!$B$9)^AO$5*(INT((Census!$F13+AO$5))+IF((Census!$F13+AO$5)-INT((Census!$F13+AO$5))&gt;0.5,1,0)),Assumptions!$B$10))</f>
        <v>0</v>
      </c>
      <c r="AP13" s="30">
        <f>IF(AP$5&gt;$B13,0,INDEX(Decrements!$G$6:$G$58,Census!$G13+AP$5-18)/INDEX(Decrements!$G$6:$G$58,Census!$G13-17)*(INDEX(Decrements!$D$6:$D$58,Census!$G13+AP$5-18)+IF(AP$5=$B13,INDEX(Decrements!$F$6:$F$58,Census!$G13+AP$5-18),0)+INDEX(Decrements!$E$6:$E$58,Census!$G13+AP$5-18)*IF((Census!$F13+AP$5)&gt;=Assumptions!$B$11,1,0))*MIN(15/26*Census!$D13*(1+Assumptions!$B$9)^AP$5*(INT((Census!$F13+AP$5))+IF((Census!$F13+AP$5)-INT((Census!$F13+AP$5))&gt;0.5,1,0)),Assumptions!$B$10))</f>
        <v>0</v>
      </c>
      <c r="AQ13" s="30">
        <f>IF(AQ$5&gt;$B13,0,INDEX(Decrements!$G$6:$G$58,Census!$G13+AQ$5-18)/INDEX(Decrements!$G$6:$G$58,Census!$G13-17)*(INDEX(Decrements!$D$6:$D$58,Census!$G13+AQ$5-18)+IF(AQ$5=$B13,INDEX(Decrements!$F$6:$F$58,Census!$G13+AQ$5-18),0)+INDEX(Decrements!$E$6:$E$58,Census!$G13+AQ$5-18)*IF((Census!$F13+AQ$5)&gt;=Assumptions!$B$11,1,0))*MIN(15/26*Census!$D13*(1+Assumptions!$B$9)^AQ$5*(INT((Census!$F13+AQ$5))+IF((Census!$F13+AQ$5)-INT((Census!$F13+AQ$5))&gt;0.5,1,0)),Assumptions!$B$10))</f>
        <v>0</v>
      </c>
      <c r="AR13" s="30">
        <f>IF(AR$5&gt;$B13,0,INDEX(Decrements!$G$6:$G$58,Census!$G13+AR$5-18)/INDEX(Decrements!$G$6:$G$58,Census!$G13-17)*(INDEX(Decrements!$D$6:$D$58,Census!$G13+AR$5-18)+IF(AR$5=$B13,INDEX(Decrements!$F$6:$F$58,Census!$G13+AR$5-18),0)+INDEX(Decrements!$E$6:$E$58,Census!$G13+AR$5-18)*IF((Census!$F13+AR$5)&gt;=Assumptions!$B$11,1,0))*MIN(15/26*Census!$D13*(1+Assumptions!$B$9)^AR$5*(INT((Census!$F13+AR$5))+IF((Census!$F13+AR$5)-INT((Census!$F13+AR$5))&gt;0.5,1,0)),Assumptions!$B$10))</f>
        <v>0</v>
      </c>
      <c r="AS13" s="30">
        <f>IF(AS$5&gt;$B13,0,INDEX(Decrements!$G$6:$G$58,Census!$G13+AS$5-18)/INDEX(Decrements!$G$6:$G$58,Census!$G13-17)*(INDEX(Decrements!$D$6:$D$58,Census!$G13+AS$5-18)+IF(AS$5=$B13,INDEX(Decrements!$F$6:$F$58,Census!$G13+AS$5-18),0)+INDEX(Decrements!$E$6:$E$58,Census!$G13+AS$5-18)*IF((Census!$F13+AS$5)&gt;=Assumptions!$B$11,1,0))*MIN(15/26*Census!$D13*(1+Assumptions!$B$9)^AS$5*(INT((Census!$F13+AS$5))+IF((Census!$F13+AS$5)-INT((Census!$F13+AS$5))&gt;0.5,1,0)),Assumptions!$B$10))</f>
        <v>0</v>
      </c>
      <c r="AT13" s="30">
        <f>IF(AT$5&gt;$B13,0,INDEX(Decrements!$G$6:$G$58,Census!$G13+AT$5-18)/INDEX(Decrements!$G$6:$G$58,Census!$G13-17)*(INDEX(Decrements!$D$6:$D$58,Census!$G13+AT$5-18)+IF(AT$5=$B13,INDEX(Decrements!$F$6:$F$58,Census!$G13+AT$5-18),0)+INDEX(Decrements!$E$6:$E$58,Census!$G13+AT$5-18)*IF((Census!$F13+AT$5)&gt;=Assumptions!$B$11,1,0))*MIN(15/26*Census!$D13*(1+Assumptions!$B$9)^AT$5*(INT((Census!$F13+AT$5))+IF((Census!$F13+AT$5)-INT((Census!$F13+AT$5))&gt;0.5,1,0)),Assumptions!$B$10))</f>
        <v>0</v>
      </c>
      <c r="AU13" s="30">
        <f>IF(AU$5&gt;$B13,0,INDEX(Decrements!$G$6:$G$58,Census!$G13+AU$5-18)/INDEX(Decrements!$G$6:$G$58,Census!$G13-17)*(INDEX(Decrements!$D$6:$D$58,Census!$G13+AU$5-18)+IF(AU$5=$B13,INDEX(Decrements!$F$6:$F$58,Census!$G13+AU$5-18),0)+INDEX(Decrements!$E$6:$E$58,Census!$G13+AU$5-18)*IF((Census!$F13+AU$5)&gt;=Assumptions!$B$11,1,0))*MIN(15/26*Census!$D13*(1+Assumptions!$B$9)^AU$5*(INT((Census!$F13+AU$5))+IF((Census!$F13+AU$5)-INT((Census!$F13+AU$5))&gt;0.5,1,0)),Assumptions!$B$10))</f>
        <v>0</v>
      </c>
    </row>
    <row r="14" spans="1:47" x14ac:dyDescent="0.3">
      <c r="A14" s="10" t="str">
        <f>Census!A14</f>
        <v>E009</v>
      </c>
      <c r="B14" s="29">
        <f>Census!H14</f>
        <v>27</v>
      </c>
      <c r="C14" s="30">
        <f>IF(C$5&gt;$B14,0,INDEX(Decrements!$G$6:$G$58,Census!$G14+C$5-18)/INDEX(Decrements!$G$6:$G$58,Census!$G14-17)*(INDEX(Decrements!$D$6:$D$58,Census!$G14+C$5-18)+IF(C$5=$B14,INDEX(Decrements!$F$6:$F$58,Census!$G14+C$5-18),0)+INDEX(Decrements!$E$6:$E$58,Census!$G14+C$5-18)*IF((Census!$F14+C$5)&gt;=Assumptions!$B$11,1,0))*MIN(15/26*Census!$D14*(1+Assumptions!$B$9)^C$5*(INT((Census!$F14+C$5))+IF((Census!$F14+C$5)-INT((Census!$F14+C$5))&gt;0.5,1,0)),Assumptions!$B$10))</f>
        <v>26.634865962703792</v>
      </c>
      <c r="D14" s="30">
        <f>IF(D$5&gt;$B14,0,INDEX(Decrements!$G$6:$G$58,Census!$G14+D$5-18)/INDEX(Decrements!$G$6:$G$58,Census!$G14-17)*(INDEX(Decrements!$D$6:$D$58,Census!$G14+D$5-18)+IF(D$5=$B14,INDEX(Decrements!$F$6:$F$58,Census!$G14+D$5-18),0)+INDEX(Decrements!$E$6:$E$58,Census!$G14+D$5-18)*IF((Census!$F14+D$5)&gt;=Assumptions!$B$11,1,0))*MIN(15/26*Census!$D14*(1+Assumptions!$B$9)^D$5*(INT((Census!$F14+D$5))+IF((Census!$F14+D$5)-INT((Census!$F14+D$5))&gt;0.5,1,0)),Assumptions!$B$10))</f>
        <v>40.474371029719428</v>
      </c>
      <c r="E14" s="30">
        <f>IF(E$5&gt;$B14,0,INDEX(Decrements!$G$6:$G$58,Census!$G14+E$5-18)/INDEX(Decrements!$G$6:$G$58,Census!$G14-17)*(INDEX(Decrements!$D$6:$D$58,Census!$G14+E$5-18)+IF(E$5=$B14,INDEX(Decrements!$F$6:$F$58,Census!$G14+E$5-18),0)+INDEX(Decrements!$E$6:$E$58,Census!$G14+E$5-18)*IF((Census!$F14+E$5)&gt;=Assumptions!$B$11,1,0))*MIN(15/26*Census!$D14*(1+Assumptions!$B$9)^E$5*(INT((Census!$F14+E$5))+IF((Census!$F14+E$5)-INT((Census!$F14+E$5))&gt;0.5,1,0)),Assumptions!$B$10))</f>
        <v>55.659522545567278</v>
      </c>
      <c r="F14" s="30">
        <f>IF(F$5&gt;$B14,0,INDEX(Decrements!$G$6:$G$58,Census!$G14+F$5-18)/INDEX(Decrements!$G$6:$G$58,Census!$G14-17)*(INDEX(Decrements!$D$6:$D$58,Census!$G14+F$5-18)+IF(F$5=$B14,INDEX(Decrements!$F$6:$F$58,Census!$G14+F$5-18),0)+INDEX(Decrements!$E$6:$E$58,Census!$G14+F$5-18)*IF((Census!$F14+F$5)&gt;=Assumptions!$B$11,1,0))*MIN(15/26*Census!$D14*(1+Assumptions!$B$9)^F$5*(INT((Census!$F14+F$5))+IF((Census!$F14+F$5)-INT((Census!$F14+F$5))&gt;0.5,1,0)),Assumptions!$B$10))</f>
        <v>73.173495305864932</v>
      </c>
      <c r="G14" s="30">
        <f>IF(G$5&gt;$B14,0,INDEX(Decrements!$G$6:$G$58,Census!$G14+G$5-18)/INDEX(Decrements!$G$6:$G$58,Census!$G14-17)*(INDEX(Decrements!$D$6:$D$58,Census!$G14+G$5-18)+IF(G$5=$B14,INDEX(Decrements!$F$6:$F$58,Census!$G14+G$5-18),0)+INDEX(Decrements!$E$6:$E$58,Census!$G14+G$5-18)*IF((Census!$F14+G$5)&gt;=Assumptions!$B$11,1,0))*MIN(15/26*Census!$D14*(1+Assumptions!$B$9)^G$5*(INT((Census!$F14+G$5))+IF((Census!$F14+G$5)-INT((Census!$F14+G$5))&gt;0.5,1,0)),Assumptions!$B$10))</f>
        <v>7018.102385710863</v>
      </c>
      <c r="H14" s="30">
        <f>IF(H$5&gt;$B14,0,INDEX(Decrements!$G$6:$G$58,Census!$G14+H$5-18)/INDEX(Decrements!$G$6:$G$58,Census!$G14-17)*(INDEX(Decrements!$D$6:$D$58,Census!$G14+H$5-18)+IF(H$5=$B14,INDEX(Decrements!$F$6:$F$58,Census!$G14+H$5-18),0)+INDEX(Decrements!$E$6:$E$58,Census!$G14+H$5-18)*IF((Census!$F14+H$5)&gt;=Assumptions!$B$11,1,0))*MIN(15/26*Census!$D14*(1+Assumptions!$B$9)^H$5*(INT((Census!$F14+H$5))+IF((Census!$F14+H$5)-INT((Census!$F14+H$5))&gt;0.5,1,0)),Assumptions!$B$10))</f>
        <v>8132.9066579587306</v>
      </c>
      <c r="I14" s="30">
        <f>IF(I$5&gt;$B14,0,INDEX(Decrements!$G$6:$G$58,Census!$G14+I$5-18)/INDEX(Decrements!$G$6:$G$58,Census!$G14-17)*(INDEX(Decrements!$D$6:$D$58,Census!$G14+I$5-18)+IF(I$5=$B14,INDEX(Decrements!$F$6:$F$58,Census!$G14+I$5-18),0)+INDEX(Decrements!$E$6:$E$58,Census!$G14+I$5-18)*IF((Census!$F14+I$5)&gt;=Assumptions!$B$11,1,0))*MIN(15/26*Census!$D14*(1+Assumptions!$B$9)^I$5*(INT((Census!$F14+I$5))+IF((Census!$F14+I$5)-INT((Census!$F14+I$5))&gt;0.5,1,0)),Assumptions!$B$10))</f>
        <v>9232.5319627023528</v>
      </c>
      <c r="J14" s="30">
        <f>IF(J$5&gt;$B14,0,INDEX(Decrements!$G$6:$G$58,Census!$G14+J$5-18)/INDEX(Decrements!$G$6:$G$58,Census!$G14-17)*(INDEX(Decrements!$D$6:$D$58,Census!$G14+J$5-18)+IF(J$5=$B14,INDEX(Decrements!$F$6:$F$58,Census!$G14+J$5-18),0)+INDEX(Decrements!$E$6:$E$58,Census!$G14+J$5-18)*IF((Census!$F14+J$5)&gt;=Assumptions!$B$11,1,0))*MIN(15/26*Census!$D14*(1+Assumptions!$B$9)^J$5*(INT((Census!$F14+J$5))+IF((Census!$F14+J$5)-INT((Census!$F14+J$5))&gt;0.5,1,0)),Assumptions!$B$10))</f>
        <v>6512.4648917932218</v>
      </c>
      <c r="K14" s="30">
        <f>IF(K$5&gt;$B14,0,INDEX(Decrements!$G$6:$G$58,Census!$G14+K$5-18)/INDEX(Decrements!$G$6:$G$58,Census!$G14-17)*(INDEX(Decrements!$D$6:$D$58,Census!$G14+K$5-18)+IF(K$5=$B14,INDEX(Decrements!$F$6:$F$58,Census!$G14+K$5-18),0)+INDEX(Decrements!$E$6:$E$58,Census!$G14+K$5-18)*IF((Census!$F14+K$5)&gt;=Assumptions!$B$11,1,0))*MIN(15/26*Census!$D14*(1+Assumptions!$B$9)^K$5*(INT((Census!$F14+K$5))+IF((Census!$F14+K$5)-INT((Census!$F14+K$5))&gt;0.5,1,0)),Assumptions!$B$10))</f>
        <v>7427.222338036393</v>
      </c>
      <c r="L14" s="30">
        <f>IF(L$5&gt;$B14,0,INDEX(Decrements!$G$6:$G$58,Census!$G14+L$5-18)/INDEX(Decrements!$G$6:$G$58,Census!$G14-17)*(INDEX(Decrements!$D$6:$D$58,Census!$G14+L$5-18)+IF(L$5=$B14,INDEX(Decrements!$F$6:$F$58,Census!$G14+L$5-18),0)+INDEX(Decrements!$E$6:$E$58,Census!$G14+L$5-18)*IF((Census!$F14+L$5)&gt;=Assumptions!$B$11,1,0))*MIN(15/26*Census!$D14*(1+Assumptions!$B$9)^L$5*(INT((Census!$F14+L$5))+IF((Census!$F14+L$5)-INT((Census!$F14+L$5))&gt;0.5,1,0)),Assumptions!$B$10))</f>
        <v>8386.4084991553354</v>
      </c>
      <c r="M14" s="30">
        <f>IF(M$5&gt;$B14,0,INDEX(Decrements!$G$6:$G$58,Census!$G14+M$5-18)/INDEX(Decrements!$G$6:$G$58,Census!$G14-17)*(INDEX(Decrements!$D$6:$D$58,Census!$G14+M$5-18)+IF(M$5=$B14,INDEX(Decrements!$F$6:$F$58,Census!$G14+M$5-18),0)+INDEX(Decrements!$E$6:$E$58,Census!$G14+M$5-18)*IF((Census!$F14+M$5)&gt;=Assumptions!$B$11,1,0))*MIN(15/26*Census!$D14*(1+Assumptions!$B$9)^M$5*(INT((Census!$F14+M$5))+IF((Census!$F14+M$5)-INT((Census!$F14+M$5))&gt;0.5,1,0)),Assumptions!$B$10))</f>
        <v>9391.9947846854629</v>
      </c>
      <c r="N14" s="30">
        <f>IF(N$5&gt;$B14,0,INDEX(Decrements!$G$6:$G$58,Census!$G14+N$5-18)/INDEX(Decrements!$G$6:$G$58,Census!$G14-17)*(INDEX(Decrements!$D$6:$D$58,Census!$G14+N$5-18)+IF(N$5=$B14,INDEX(Decrements!$F$6:$F$58,Census!$G14+N$5-18),0)+INDEX(Decrements!$E$6:$E$58,Census!$G14+N$5-18)*IF((Census!$F14+N$5)&gt;=Assumptions!$B$11,1,0))*MIN(15/26*Census!$D14*(1+Assumptions!$B$9)^N$5*(INT((Census!$F14+N$5))+IF((Census!$F14+N$5)-INT((Census!$F14+N$5))&gt;0.5,1,0)),Assumptions!$B$10))</f>
        <v>10446.067297855601</v>
      </c>
      <c r="O14" s="30">
        <f>IF(O$5&gt;$B14,0,INDEX(Decrements!$G$6:$G$58,Census!$G14+O$5-18)/INDEX(Decrements!$G$6:$G$58,Census!$G14-17)*(INDEX(Decrements!$D$6:$D$58,Census!$G14+O$5-18)+IF(O$5=$B14,INDEX(Decrements!$F$6:$F$58,Census!$G14+O$5-18),0)+INDEX(Decrements!$E$6:$E$58,Census!$G14+O$5-18)*IF((Census!$F14+O$5)&gt;=Assumptions!$B$11,1,0))*MIN(15/26*Census!$D14*(1+Assumptions!$B$9)^O$5*(INT((Census!$F14+O$5))+IF((Census!$F14+O$5)-INT((Census!$F14+O$5))&gt;0.5,1,0)),Assumptions!$B$10))</f>
        <v>7102.3391925148253</v>
      </c>
      <c r="P14" s="30">
        <f>IF(P$5&gt;$B14,0,INDEX(Decrements!$G$6:$G$58,Census!$G14+P$5-18)/INDEX(Decrements!$G$6:$G$58,Census!$G14-17)*(INDEX(Decrements!$D$6:$D$58,Census!$G14+P$5-18)+IF(P$5=$B14,INDEX(Decrements!$F$6:$F$58,Census!$G14+P$5-18),0)+INDEX(Decrements!$E$6:$E$58,Census!$G14+P$5-18)*IF((Census!$F14+P$5)&gt;=Assumptions!$B$11,1,0))*MIN(15/26*Census!$D14*(1+Assumptions!$B$9)^P$5*(INT((Census!$F14+P$5))+IF((Census!$F14+P$5)-INT((Census!$F14+P$5))&gt;0.5,1,0)),Assumptions!$B$10))</f>
        <v>7993.4673505245955</v>
      </c>
      <c r="Q14" s="30">
        <f>IF(Q$5&gt;$B14,0,INDEX(Decrements!$G$6:$G$58,Census!$G14+Q$5-18)/INDEX(Decrements!$G$6:$G$58,Census!$G14-17)*(INDEX(Decrements!$D$6:$D$58,Census!$G14+Q$5-18)+IF(Q$5=$B14,INDEX(Decrements!$F$6:$F$58,Census!$G14+Q$5-18),0)+INDEX(Decrements!$E$6:$E$58,Census!$G14+Q$5-18)*IF((Census!$F14+Q$5)&gt;=Assumptions!$B$11,1,0))*MIN(15/26*Census!$D14*(1+Assumptions!$B$9)^Q$5*(INT((Census!$F14+Q$5))+IF((Census!$F14+Q$5)-INT((Census!$F14+Q$5))&gt;0.5,1,0)),Assumptions!$B$10))</f>
        <v>8958.9745779708373</v>
      </c>
      <c r="R14" s="30">
        <f>IF(R$5&gt;$B14,0,INDEX(Decrements!$G$6:$G$58,Census!$G14+R$5-18)/INDEX(Decrements!$G$6:$G$58,Census!$G14-17)*(INDEX(Decrements!$D$6:$D$58,Census!$G14+R$5-18)+IF(R$5=$B14,INDEX(Decrements!$F$6:$F$58,Census!$G14+R$5-18),0)+INDEX(Decrements!$E$6:$E$58,Census!$G14+R$5-18)*IF((Census!$F14+R$5)&gt;=Assumptions!$B$11,1,0))*MIN(15/26*Census!$D14*(1+Assumptions!$B$9)^R$5*(INT((Census!$F14+R$5))+IF((Census!$F14+R$5)-INT((Census!$F14+R$5))&gt;0.5,1,0)),Assumptions!$B$10))</f>
        <v>10004.965898521128</v>
      </c>
      <c r="S14" s="30">
        <f>IF(S$5&gt;$B14,0,INDEX(Decrements!$G$6:$G$58,Census!$G14+S$5-18)/INDEX(Decrements!$G$6:$G$58,Census!$G14-17)*(INDEX(Decrements!$D$6:$D$58,Census!$G14+S$5-18)+IF(S$5=$B14,INDEX(Decrements!$F$6:$F$58,Census!$G14+S$5-18),0)+INDEX(Decrements!$E$6:$E$58,Census!$G14+S$5-18)*IF((Census!$F14+S$5)&gt;=Assumptions!$B$11,1,0))*MIN(15/26*Census!$D14*(1+Assumptions!$B$9)^S$5*(INT((Census!$F14+S$5))+IF((Census!$F14+S$5)-INT((Census!$F14+S$5))&gt;0.5,1,0)),Assumptions!$B$10))</f>
        <v>11138.131857189454</v>
      </c>
      <c r="T14" s="30">
        <f>IF(T$5&gt;$B14,0,INDEX(Decrements!$G$6:$G$58,Census!$G14+T$5-18)/INDEX(Decrements!$G$6:$G$58,Census!$G14-17)*(INDEX(Decrements!$D$6:$D$58,Census!$G14+T$5-18)+IF(T$5=$B14,INDEX(Decrements!$F$6:$F$58,Census!$G14+T$5-18),0)+INDEX(Decrements!$E$6:$E$58,Census!$G14+T$5-18)*IF((Census!$F14+T$5)&gt;=Assumptions!$B$11,1,0))*MIN(15/26*Census!$D14*(1+Assumptions!$B$9)^T$5*(INT((Census!$F14+T$5))+IF((Census!$F14+T$5)-INT((Census!$F14+T$5))&gt;0.5,1,0)),Assumptions!$B$10))</f>
        <v>8603.4866346542276</v>
      </c>
      <c r="U14" s="30">
        <f>IF(U$5&gt;$B14,0,INDEX(Decrements!$G$6:$G$58,Census!$G14+U$5-18)/INDEX(Decrements!$G$6:$G$58,Census!$G14-17)*(INDEX(Decrements!$D$6:$D$58,Census!$G14+U$5-18)+IF(U$5=$B14,INDEX(Decrements!$F$6:$F$58,Census!$G14+U$5-18),0)+INDEX(Decrements!$E$6:$E$58,Census!$G14+U$5-18)*IF((Census!$F14+U$5)&gt;=Assumptions!$B$11,1,0))*MIN(15/26*Census!$D14*(1+Assumptions!$B$9)^U$5*(INT((Census!$F14+U$5))+IF((Census!$F14+U$5)-INT((Census!$F14+U$5))&gt;0.5,1,0)),Assumptions!$B$10))</f>
        <v>9658.670735834763</v>
      </c>
      <c r="V14" s="30">
        <f>IF(V$5&gt;$B14,0,INDEX(Decrements!$G$6:$G$58,Census!$G14+V$5-18)/INDEX(Decrements!$G$6:$G$58,Census!$G14-17)*(INDEX(Decrements!$D$6:$D$58,Census!$G14+V$5-18)+IF(V$5=$B14,INDEX(Decrements!$F$6:$F$58,Census!$G14+V$5-18),0)+INDEX(Decrements!$E$6:$E$58,Census!$G14+V$5-18)*IF((Census!$F14+V$5)&gt;=Assumptions!$B$11,1,0))*MIN(15/26*Census!$D14*(1+Assumptions!$B$9)^V$5*(INT((Census!$F14+V$5))+IF((Census!$F14+V$5)-INT((Census!$F14+V$5))&gt;0.5,1,0)),Assumptions!$B$10))</f>
        <v>10823.462240030631</v>
      </c>
      <c r="W14" s="30">
        <f>IF(W$5&gt;$B14,0,INDEX(Decrements!$G$6:$G$58,Census!$G14+W$5-18)/INDEX(Decrements!$G$6:$G$58,Census!$G14-17)*(INDEX(Decrements!$D$6:$D$58,Census!$G14+W$5-18)+IF(W$5=$B14,INDEX(Decrements!$F$6:$F$58,Census!$G14+W$5-18),0)+INDEX(Decrements!$E$6:$E$58,Census!$G14+W$5-18)*IF((Census!$F14+W$5)&gt;=Assumptions!$B$11,1,0))*MIN(15/26*Census!$D14*(1+Assumptions!$B$9)^W$5*(INT((Census!$F14+W$5))+IF((Census!$F14+W$5)-INT((Census!$F14+W$5))&gt;0.5,1,0)),Assumptions!$B$10))</f>
        <v>12109.921014722175</v>
      </c>
      <c r="X14" s="30">
        <f>IF(X$5&gt;$B14,0,INDEX(Decrements!$G$6:$G$58,Census!$G14+X$5-18)/INDEX(Decrements!$G$6:$G$58,Census!$G14-17)*(INDEX(Decrements!$D$6:$D$58,Census!$G14+X$5-18)+IF(X$5=$B14,INDEX(Decrements!$F$6:$F$58,Census!$G14+X$5-18),0)+INDEX(Decrements!$E$6:$E$58,Census!$G14+X$5-18)*IF((Census!$F14+X$5)&gt;=Assumptions!$B$11,1,0))*MIN(15/26*Census!$D14*(1+Assumptions!$B$9)^X$5*(INT((Census!$F14+X$5))+IF((Census!$F14+X$5)-INT((Census!$F14+X$5))&gt;0.5,1,0)),Assumptions!$B$10))</f>
        <v>13531.616080065491</v>
      </c>
      <c r="Y14" s="30">
        <f>IF(Y$5&gt;$B14,0,INDEX(Decrements!$G$6:$G$58,Census!$G14+Y$5-18)/INDEX(Decrements!$G$6:$G$58,Census!$G14-17)*(INDEX(Decrements!$D$6:$D$58,Census!$G14+Y$5-18)+IF(Y$5=$B14,INDEX(Decrements!$F$6:$F$58,Census!$G14+Y$5-18),0)+INDEX(Decrements!$E$6:$E$58,Census!$G14+Y$5-18)*IF((Census!$F14+Y$5)&gt;=Assumptions!$B$11,1,0))*MIN(15/26*Census!$D14*(1+Assumptions!$B$9)^Y$5*(INT((Census!$F14+Y$5))+IF((Census!$F14+Y$5)-INT((Census!$F14+Y$5))&gt;0.5,1,0)),Assumptions!$B$10))</f>
        <v>8593.8298545053258</v>
      </c>
      <c r="Z14" s="30">
        <f>IF(Z$5&gt;$B14,0,INDEX(Decrements!$G$6:$G$58,Census!$G14+Z$5-18)/INDEX(Decrements!$G$6:$G$58,Census!$G14-17)*(INDEX(Decrements!$D$6:$D$58,Census!$G14+Z$5-18)+IF(Z$5=$B14,INDEX(Decrements!$F$6:$F$58,Census!$G14+Z$5-18),0)+INDEX(Decrements!$E$6:$E$58,Census!$G14+Z$5-18)*IF((Census!$F14+Z$5)&gt;=Assumptions!$B$11,1,0))*MIN(15/26*Census!$D14*(1+Assumptions!$B$9)^Z$5*(INT((Census!$F14+Z$5))+IF((Census!$F14+Z$5)-INT((Census!$F14+Z$5))&gt;0.5,1,0)),Assumptions!$B$10))</f>
        <v>8702.1832487367501</v>
      </c>
      <c r="AA14" s="30">
        <f>IF(AA$5&gt;$B14,0,INDEX(Decrements!$G$6:$G$58,Census!$G14+AA$5-18)/INDEX(Decrements!$G$6:$G$58,Census!$G14-17)*(INDEX(Decrements!$D$6:$D$58,Census!$G14+AA$5-18)+IF(AA$5=$B14,INDEX(Decrements!$F$6:$F$58,Census!$G14+AA$5-18),0)+INDEX(Decrements!$E$6:$E$58,Census!$G14+AA$5-18)*IF((Census!$F14+AA$5)&gt;=Assumptions!$B$11,1,0))*MIN(15/26*Census!$D14*(1+Assumptions!$B$9)^AA$5*(INT((Census!$F14+AA$5))+IF((Census!$F14+AA$5)-INT((Census!$F14+AA$5))&gt;0.5,1,0)),Assumptions!$B$10))</f>
        <v>8824.8731192577143</v>
      </c>
      <c r="AB14" s="30">
        <f>IF(AB$5&gt;$B14,0,INDEX(Decrements!$G$6:$G$58,Census!$G14+AB$5-18)/INDEX(Decrements!$G$6:$G$58,Census!$G14-17)*(INDEX(Decrements!$D$6:$D$58,Census!$G14+AB$5-18)+IF(AB$5=$B14,INDEX(Decrements!$F$6:$F$58,Census!$G14+AB$5-18),0)+INDEX(Decrements!$E$6:$E$58,Census!$G14+AB$5-18)*IF((Census!$F14+AB$5)&gt;=Assumptions!$B$11,1,0))*MIN(15/26*Census!$D14*(1+Assumptions!$B$9)^AB$5*(INT((Census!$F14+AB$5))+IF((Census!$F14+AB$5)-INT((Census!$F14+AB$5))&gt;0.5,1,0)),Assumptions!$B$10))</f>
        <v>8962.7333297399946</v>
      </c>
      <c r="AC14" s="30">
        <f>IF(AC$5&gt;$B14,0,INDEX(Decrements!$G$6:$G$58,Census!$G14+AC$5-18)/INDEX(Decrements!$G$6:$G$58,Census!$G14-17)*(INDEX(Decrements!$D$6:$D$58,Census!$G14+AC$5-18)+IF(AC$5=$B14,INDEX(Decrements!$F$6:$F$58,Census!$G14+AC$5-18),0)+INDEX(Decrements!$E$6:$E$58,Census!$G14+AC$5-18)*IF((Census!$F14+AC$5)&gt;=Assumptions!$B$11,1,0))*MIN(15/26*Census!$D14*(1+Assumptions!$B$9)^AC$5*(INT((Census!$F14+AC$5))+IF((Census!$F14+AC$5)-INT((Census!$F14+AC$5))&gt;0.5,1,0)),Assumptions!$B$10))</f>
        <v>565289.86612470855</v>
      </c>
      <c r="AD14" s="30">
        <f>IF(AD$5&gt;$B14,0,INDEX(Decrements!$G$6:$G$58,Census!$G14+AD$5-18)/INDEX(Decrements!$G$6:$G$58,Census!$G14-17)*(INDEX(Decrements!$D$6:$D$58,Census!$G14+AD$5-18)+IF(AD$5=$B14,INDEX(Decrements!$F$6:$F$58,Census!$G14+AD$5-18),0)+INDEX(Decrements!$E$6:$E$58,Census!$G14+AD$5-18)*IF((Census!$F14+AD$5)&gt;=Assumptions!$B$11,1,0))*MIN(15/26*Census!$D14*(1+Assumptions!$B$9)^AD$5*(INT((Census!$F14+AD$5))+IF((Census!$F14+AD$5)-INT((Census!$F14+AD$5))&gt;0.5,1,0)),Assumptions!$B$10))</f>
        <v>0</v>
      </c>
      <c r="AE14" s="30">
        <f>IF(AE$5&gt;$B14,0,INDEX(Decrements!$G$6:$G$58,Census!$G14+AE$5-18)/INDEX(Decrements!$G$6:$G$58,Census!$G14-17)*(INDEX(Decrements!$D$6:$D$58,Census!$G14+AE$5-18)+IF(AE$5=$B14,INDEX(Decrements!$F$6:$F$58,Census!$G14+AE$5-18),0)+INDEX(Decrements!$E$6:$E$58,Census!$G14+AE$5-18)*IF((Census!$F14+AE$5)&gt;=Assumptions!$B$11,1,0))*MIN(15/26*Census!$D14*(1+Assumptions!$B$9)^AE$5*(INT((Census!$F14+AE$5))+IF((Census!$F14+AE$5)-INT((Census!$F14+AE$5))&gt;0.5,1,0)),Assumptions!$B$10))</f>
        <v>0</v>
      </c>
      <c r="AF14" s="30">
        <f>IF(AF$5&gt;$B14,0,INDEX(Decrements!$G$6:$G$58,Census!$G14+AF$5-18)/INDEX(Decrements!$G$6:$G$58,Census!$G14-17)*(INDEX(Decrements!$D$6:$D$58,Census!$G14+AF$5-18)+IF(AF$5=$B14,INDEX(Decrements!$F$6:$F$58,Census!$G14+AF$5-18),0)+INDEX(Decrements!$E$6:$E$58,Census!$G14+AF$5-18)*IF((Census!$F14+AF$5)&gt;=Assumptions!$B$11,1,0))*MIN(15/26*Census!$D14*(1+Assumptions!$B$9)^AF$5*(INT((Census!$F14+AF$5))+IF((Census!$F14+AF$5)-INT((Census!$F14+AF$5))&gt;0.5,1,0)),Assumptions!$B$10))</f>
        <v>0</v>
      </c>
      <c r="AG14" s="30">
        <f>IF(AG$5&gt;$B14,0,INDEX(Decrements!$G$6:$G$58,Census!$G14+AG$5-18)/INDEX(Decrements!$G$6:$G$58,Census!$G14-17)*(INDEX(Decrements!$D$6:$D$58,Census!$G14+AG$5-18)+IF(AG$5=$B14,INDEX(Decrements!$F$6:$F$58,Census!$G14+AG$5-18),0)+INDEX(Decrements!$E$6:$E$58,Census!$G14+AG$5-18)*IF((Census!$F14+AG$5)&gt;=Assumptions!$B$11,1,0))*MIN(15/26*Census!$D14*(1+Assumptions!$B$9)^AG$5*(INT((Census!$F14+AG$5))+IF((Census!$F14+AG$5)-INT((Census!$F14+AG$5))&gt;0.5,1,0)),Assumptions!$B$10))</f>
        <v>0</v>
      </c>
      <c r="AH14" s="30">
        <f>IF(AH$5&gt;$B14,0,INDEX(Decrements!$G$6:$G$58,Census!$G14+AH$5-18)/INDEX(Decrements!$G$6:$G$58,Census!$G14-17)*(INDEX(Decrements!$D$6:$D$58,Census!$G14+AH$5-18)+IF(AH$5=$B14,INDEX(Decrements!$F$6:$F$58,Census!$G14+AH$5-18),0)+INDEX(Decrements!$E$6:$E$58,Census!$G14+AH$5-18)*IF((Census!$F14+AH$5)&gt;=Assumptions!$B$11,1,0))*MIN(15/26*Census!$D14*(1+Assumptions!$B$9)^AH$5*(INT((Census!$F14+AH$5))+IF((Census!$F14+AH$5)-INT((Census!$F14+AH$5))&gt;0.5,1,0)),Assumptions!$B$10))</f>
        <v>0</v>
      </c>
      <c r="AI14" s="30">
        <f>IF(AI$5&gt;$B14,0,INDEX(Decrements!$G$6:$G$58,Census!$G14+AI$5-18)/INDEX(Decrements!$G$6:$G$58,Census!$G14-17)*(INDEX(Decrements!$D$6:$D$58,Census!$G14+AI$5-18)+IF(AI$5=$B14,INDEX(Decrements!$F$6:$F$58,Census!$G14+AI$5-18),0)+INDEX(Decrements!$E$6:$E$58,Census!$G14+AI$5-18)*IF((Census!$F14+AI$5)&gt;=Assumptions!$B$11,1,0))*MIN(15/26*Census!$D14*(1+Assumptions!$B$9)^AI$5*(INT((Census!$F14+AI$5))+IF((Census!$F14+AI$5)-INT((Census!$F14+AI$5))&gt;0.5,1,0)),Assumptions!$B$10))</f>
        <v>0</v>
      </c>
      <c r="AJ14" s="30">
        <f>IF(AJ$5&gt;$B14,0,INDEX(Decrements!$G$6:$G$58,Census!$G14+AJ$5-18)/INDEX(Decrements!$G$6:$G$58,Census!$G14-17)*(INDEX(Decrements!$D$6:$D$58,Census!$G14+AJ$5-18)+IF(AJ$5=$B14,INDEX(Decrements!$F$6:$F$58,Census!$G14+AJ$5-18),0)+INDEX(Decrements!$E$6:$E$58,Census!$G14+AJ$5-18)*IF((Census!$F14+AJ$5)&gt;=Assumptions!$B$11,1,0))*MIN(15/26*Census!$D14*(1+Assumptions!$B$9)^AJ$5*(INT((Census!$F14+AJ$5))+IF((Census!$F14+AJ$5)-INT((Census!$F14+AJ$5))&gt;0.5,1,0)),Assumptions!$B$10))</f>
        <v>0</v>
      </c>
      <c r="AK14" s="30">
        <f>IF(AK$5&gt;$B14,0,INDEX(Decrements!$G$6:$G$58,Census!$G14+AK$5-18)/INDEX(Decrements!$G$6:$G$58,Census!$G14-17)*(INDEX(Decrements!$D$6:$D$58,Census!$G14+AK$5-18)+IF(AK$5=$B14,INDEX(Decrements!$F$6:$F$58,Census!$G14+AK$5-18),0)+INDEX(Decrements!$E$6:$E$58,Census!$G14+AK$5-18)*IF((Census!$F14+AK$5)&gt;=Assumptions!$B$11,1,0))*MIN(15/26*Census!$D14*(1+Assumptions!$B$9)^AK$5*(INT((Census!$F14+AK$5))+IF((Census!$F14+AK$5)-INT((Census!$F14+AK$5))&gt;0.5,1,0)),Assumptions!$B$10))</f>
        <v>0</v>
      </c>
      <c r="AL14" s="30">
        <f>IF(AL$5&gt;$B14,0,INDEX(Decrements!$G$6:$G$58,Census!$G14+AL$5-18)/INDEX(Decrements!$G$6:$G$58,Census!$G14-17)*(INDEX(Decrements!$D$6:$D$58,Census!$G14+AL$5-18)+IF(AL$5=$B14,INDEX(Decrements!$F$6:$F$58,Census!$G14+AL$5-18),0)+INDEX(Decrements!$E$6:$E$58,Census!$G14+AL$5-18)*IF((Census!$F14+AL$5)&gt;=Assumptions!$B$11,1,0))*MIN(15/26*Census!$D14*(1+Assumptions!$B$9)^AL$5*(INT((Census!$F14+AL$5))+IF((Census!$F14+AL$5)-INT((Census!$F14+AL$5))&gt;0.5,1,0)),Assumptions!$B$10))</f>
        <v>0</v>
      </c>
      <c r="AM14" s="30">
        <f>IF(AM$5&gt;$B14,0,INDEX(Decrements!$G$6:$G$58,Census!$G14+AM$5-18)/INDEX(Decrements!$G$6:$G$58,Census!$G14-17)*(INDEX(Decrements!$D$6:$D$58,Census!$G14+AM$5-18)+IF(AM$5=$B14,INDEX(Decrements!$F$6:$F$58,Census!$G14+AM$5-18),0)+INDEX(Decrements!$E$6:$E$58,Census!$G14+AM$5-18)*IF((Census!$F14+AM$5)&gt;=Assumptions!$B$11,1,0))*MIN(15/26*Census!$D14*(1+Assumptions!$B$9)^AM$5*(INT((Census!$F14+AM$5))+IF((Census!$F14+AM$5)-INT((Census!$F14+AM$5))&gt;0.5,1,0)),Assumptions!$B$10))</f>
        <v>0</v>
      </c>
      <c r="AN14" s="30">
        <f>IF(AN$5&gt;$B14,0,INDEX(Decrements!$G$6:$G$58,Census!$G14+AN$5-18)/INDEX(Decrements!$G$6:$G$58,Census!$G14-17)*(INDEX(Decrements!$D$6:$D$58,Census!$G14+AN$5-18)+IF(AN$5=$B14,INDEX(Decrements!$F$6:$F$58,Census!$G14+AN$5-18),0)+INDEX(Decrements!$E$6:$E$58,Census!$G14+AN$5-18)*IF((Census!$F14+AN$5)&gt;=Assumptions!$B$11,1,0))*MIN(15/26*Census!$D14*(1+Assumptions!$B$9)^AN$5*(INT((Census!$F14+AN$5))+IF((Census!$F14+AN$5)-INT((Census!$F14+AN$5))&gt;0.5,1,0)),Assumptions!$B$10))</f>
        <v>0</v>
      </c>
      <c r="AO14" s="30">
        <f>IF(AO$5&gt;$B14,0,INDEX(Decrements!$G$6:$G$58,Census!$G14+AO$5-18)/INDEX(Decrements!$G$6:$G$58,Census!$G14-17)*(INDEX(Decrements!$D$6:$D$58,Census!$G14+AO$5-18)+IF(AO$5=$B14,INDEX(Decrements!$F$6:$F$58,Census!$G14+AO$5-18),0)+INDEX(Decrements!$E$6:$E$58,Census!$G14+AO$5-18)*IF((Census!$F14+AO$5)&gt;=Assumptions!$B$11,1,0))*MIN(15/26*Census!$D14*(1+Assumptions!$B$9)^AO$5*(INT((Census!$F14+AO$5))+IF((Census!$F14+AO$5)-INT((Census!$F14+AO$5))&gt;0.5,1,0)),Assumptions!$B$10))</f>
        <v>0</v>
      </c>
      <c r="AP14" s="30">
        <f>IF(AP$5&gt;$B14,0,INDEX(Decrements!$G$6:$G$58,Census!$G14+AP$5-18)/INDEX(Decrements!$G$6:$G$58,Census!$G14-17)*(INDEX(Decrements!$D$6:$D$58,Census!$G14+AP$5-18)+IF(AP$5=$B14,INDEX(Decrements!$F$6:$F$58,Census!$G14+AP$5-18),0)+INDEX(Decrements!$E$6:$E$58,Census!$G14+AP$5-18)*IF((Census!$F14+AP$5)&gt;=Assumptions!$B$11,1,0))*MIN(15/26*Census!$D14*(1+Assumptions!$B$9)^AP$5*(INT((Census!$F14+AP$5))+IF((Census!$F14+AP$5)-INT((Census!$F14+AP$5))&gt;0.5,1,0)),Assumptions!$B$10))</f>
        <v>0</v>
      </c>
      <c r="AQ14" s="30">
        <f>IF(AQ$5&gt;$B14,0,INDEX(Decrements!$G$6:$G$58,Census!$G14+AQ$5-18)/INDEX(Decrements!$G$6:$G$58,Census!$G14-17)*(INDEX(Decrements!$D$6:$D$58,Census!$G14+AQ$5-18)+IF(AQ$5=$B14,INDEX(Decrements!$F$6:$F$58,Census!$G14+AQ$5-18),0)+INDEX(Decrements!$E$6:$E$58,Census!$G14+AQ$5-18)*IF((Census!$F14+AQ$5)&gt;=Assumptions!$B$11,1,0))*MIN(15/26*Census!$D14*(1+Assumptions!$B$9)^AQ$5*(INT((Census!$F14+AQ$5))+IF((Census!$F14+AQ$5)-INT((Census!$F14+AQ$5))&gt;0.5,1,0)),Assumptions!$B$10))</f>
        <v>0</v>
      </c>
      <c r="AR14" s="30">
        <f>IF(AR$5&gt;$B14,0,INDEX(Decrements!$G$6:$G$58,Census!$G14+AR$5-18)/INDEX(Decrements!$G$6:$G$58,Census!$G14-17)*(INDEX(Decrements!$D$6:$D$58,Census!$G14+AR$5-18)+IF(AR$5=$B14,INDEX(Decrements!$F$6:$F$58,Census!$G14+AR$5-18),0)+INDEX(Decrements!$E$6:$E$58,Census!$G14+AR$5-18)*IF((Census!$F14+AR$5)&gt;=Assumptions!$B$11,1,0))*MIN(15/26*Census!$D14*(1+Assumptions!$B$9)^AR$5*(INT((Census!$F14+AR$5))+IF((Census!$F14+AR$5)-INT((Census!$F14+AR$5))&gt;0.5,1,0)),Assumptions!$B$10))</f>
        <v>0</v>
      </c>
      <c r="AS14" s="30">
        <f>IF(AS$5&gt;$B14,0,INDEX(Decrements!$G$6:$G$58,Census!$G14+AS$5-18)/INDEX(Decrements!$G$6:$G$58,Census!$G14-17)*(INDEX(Decrements!$D$6:$D$58,Census!$G14+AS$5-18)+IF(AS$5=$B14,INDEX(Decrements!$F$6:$F$58,Census!$G14+AS$5-18),0)+INDEX(Decrements!$E$6:$E$58,Census!$G14+AS$5-18)*IF((Census!$F14+AS$5)&gt;=Assumptions!$B$11,1,0))*MIN(15/26*Census!$D14*(1+Assumptions!$B$9)^AS$5*(INT((Census!$F14+AS$5))+IF((Census!$F14+AS$5)-INT((Census!$F14+AS$5))&gt;0.5,1,0)),Assumptions!$B$10))</f>
        <v>0</v>
      </c>
      <c r="AT14" s="30">
        <f>IF(AT$5&gt;$B14,0,INDEX(Decrements!$G$6:$G$58,Census!$G14+AT$5-18)/INDEX(Decrements!$G$6:$G$58,Census!$G14-17)*(INDEX(Decrements!$D$6:$D$58,Census!$G14+AT$5-18)+IF(AT$5=$B14,INDEX(Decrements!$F$6:$F$58,Census!$G14+AT$5-18),0)+INDEX(Decrements!$E$6:$E$58,Census!$G14+AT$5-18)*IF((Census!$F14+AT$5)&gt;=Assumptions!$B$11,1,0))*MIN(15/26*Census!$D14*(1+Assumptions!$B$9)^AT$5*(INT((Census!$F14+AT$5))+IF((Census!$F14+AT$5)-INT((Census!$F14+AT$5))&gt;0.5,1,0)),Assumptions!$B$10))</f>
        <v>0</v>
      </c>
      <c r="AU14" s="30">
        <f>IF(AU$5&gt;$B14,0,INDEX(Decrements!$G$6:$G$58,Census!$G14+AU$5-18)/INDEX(Decrements!$G$6:$G$58,Census!$G14-17)*(INDEX(Decrements!$D$6:$D$58,Census!$G14+AU$5-18)+IF(AU$5=$B14,INDEX(Decrements!$F$6:$F$58,Census!$G14+AU$5-18),0)+INDEX(Decrements!$E$6:$E$58,Census!$G14+AU$5-18)*IF((Census!$F14+AU$5)&gt;=Assumptions!$B$11,1,0))*MIN(15/26*Census!$D14*(1+Assumptions!$B$9)^AU$5*(INT((Census!$F14+AU$5))+IF((Census!$F14+AU$5)-INT((Census!$F14+AU$5))&gt;0.5,1,0)),Assumptions!$B$10))</f>
        <v>0</v>
      </c>
    </row>
    <row r="15" spans="1:47" x14ac:dyDescent="0.3">
      <c r="A15" s="10" t="str">
        <f>Census!A15</f>
        <v>E010</v>
      </c>
      <c r="B15" s="29">
        <f>Census!H15</f>
        <v>12</v>
      </c>
      <c r="C15" s="30">
        <f>IF(C$5&gt;$B15,0,INDEX(Decrements!$G$6:$G$58,Census!$G15+C$5-18)/INDEX(Decrements!$G$6:$G$58,Census!$G15-17)*(INDEX(Decrements!$D$6:$D$58,Census!$G15+C$5-18)+IF(C$5=$B15,INDEX(Decrements!$F$6:$F$58,Census!$G15+C$5-18),0)+INDEX(Decrements!$E$6:$E$58,Census!$G15+C$5-18)*IF((Census!$F15+C$5)&gt;=Assumptions!$B$11,1,0))*MIN(15/26*Census!$D15*(1+Assumptions!$B$9)^C$5*(INT((Census!$F15+C$5))+IF((Census!$F15+C$5)-INT((Census!$F15+C$5))&gt;0.5,1,0)),Assumptions!$B$10))</f>
        <v>64719.742223650872</v>
      </c>
      <c r="D15" s="30">
        <f>IF(D$5&gt;$B15,0,INDEX(Decrements!$G$6:$G$58,Census!$G15+D$5-18)/INDEX(Decrements!$G$6:$G$58,Census!$G15-17)*(INDEX(Decrements!$D$6:$D$58,Census!$G15+D$5-18)+IF(D$5=$B15,INDEX(Decrements!$F$6:$F$58,Census!$G15+D$5-18),0)+INDEX(Decrements!$E$6:$E$58,Census!$G15+D$5-18)*IF((Census!$F15+D$5)&gt;=Assumptions!$B$11,1,0))*MIN(15/26*Census!$D15*(1+Assumptions!$B$9)^D$5*(INT((Census!$F15+D$5))+IF((Census!$F15+D$5)-INT((Census!$F15+D$5))&gt;0.5,1,0)),Assumptions!$B$10))</f>
        <v>63006.619911276139</v>
      </c>
      <c r="E15" s="30">
        <f>IF(E$5&gt;$B15,0,INDEX(Decrements!$G$6:$G$58,Census!$G15+E$5-18)/INDEX(Decrements!$G$6:$G$58,Census!$G15-17)*(INDEX(Decrements!$D$6:$D$58,Census!$G15+E$5-18)+IF(E$5=$B15,INDEX(Decrements!$F$6:$F$58,Census!$G15+E$5-18),0)+INDEX(Decrements!$E$6:$E$58,Census!$G15+E$5-18)*IF((Census!$F15+E$5)&gt;=Assumptions!$B$11,1,0))*MIN(15/26*Census!$D15*(1+Assumptions!$B$9)^E$5*(INT((Census!$F15+E$5))+IF((Census!$F15+E$5)-INT((Census!$F15+E$5))&gt;0.5,1,0)),Assumptions!$B$10))</f>
        <v>42691.701477520095</v>
      </c>
      <c r="F15" s="30">
        <f>IF(F$5&gt;$B15,0,INDEX(Decrements!$G$6:$G$58,Census!$G15+F$5-18)/INDEX(Decrements!$G$6:$G$58,Census!$G15-17)*(INDEX(Decrements!$D$6:$D$58,Census!$G15+F$5-18)+IF(F$5=$B15,INDEX(Decrements!$F$6:$F$58,Census!$G15+F$5-18),0)+INDEX(Decrements!$E$6:$E$58,Census!$G15+F$5-18)*IF((Census!$F15+F$5)&gt;=Assumptions!$B$11,1,0))*MIN(15/26*Census!$D15*(1+Assumptions!$B$9)^F$5*(INT((Census!$F15+F$5))+IF((Census!$F15+F$5)-INT((Census!$F15+F$5))&gt;0.5,1,0)),Assumptions!$B$10))</f>
        <v>42158.600599576996</v>
      </c>
      <c r="G15" s="30">
        <f>IF(G$5&gt;$B15,0,INDEX(Decrements!$G$6:$G$58,Census!$G15+G$5-18)/INDEX(Decrements!$G$6:$G$58,Census!$G15-17)*(INDEX(Decrements!$D$6:$D$58,Census!$G15+G$5-18)+IF(G$5=$B15,INDEX(Decrements!$F$6:$F$58,Census!$G15+G$5-18),0)+INDEX(Decrements!$E$6:$E$58,Census!$G15+G$5-18)*IF((Census!$F15+G$5)&gt;=Assumptions!$B$11,1,0))*MIN(15/26*Census!$D15*(1+Assumptions!$B$9)^G$5*(INT((Census!$F15+G$5))+IF((Census!$F15+G$5)-INT((Census!$F15+G$5))&gt;0.5,1,0)),Assumptions!$B$10))</f>
        <v>41660.260109755538</v>
      </c>
      <c r="H15" s="30">
        <f>IF(H$5&gt;$B15,0,INDEX(Decrements!$G$6:$G$58,Census!$G15+H$5-18)/INDEX(Decrements!$G$6:$G$58,Census!$G15-17)*(INDEX(Decrements!$D$6:$D$58,Census!$G15+H$5-18)+IF(H$5=$B15,INDEX(Decrements!$F$6:$F$58,Census!$G15+H$5-18),0)+INDEX(Decrements!$E$6:$E$58,Census!$G15+H$5-18)*IF((Census!$F15+H$5)&gt;=Assumptions!$B$11,1,0))*MIN(15/26*Census!$D15*(1+Assumptions!$B$9)^H$5*(INT((Census!$F15+H$5))+IF((Census!$F15+H$5)-INT((Census!$F15+H$5))&gt;0.5,1,0)),Assumptions!$B$10))</f>
        <v>41197.412478000617</v>
      </c>
      <c r="I15" s="30">
        <f>IF(I$5&gt;$B15,0,INDEX(Decrements!$G$6:$G$58,Census!$G15+I$5-18)/INDEX(Decrements!$G$6:$G$58,Census!$G15-17)*(INDEX(Decrements!$D$6:$D$58,Census!$G15+I$5-18)+IF(I$5=$B15,INDEX(Decrements!$F$6:$F$58,Census!$G15+I$5-18),0)+INDEX(Decrements!$E$6:$E$58,Census!$G15+I$5-18)*IF((Census!$F15+I$5)&gt;=Assumptions!$B$11,1,0))*MIN(15/26*Census!$D15*(1+Assumptions!$B$9)^I$5*(INT((Census!$F15+I$5))+IF((Census!$F15+I$5)-INT((Census!$F15+I$5))&gt;0.5,1,0)),Assumptions!$B$10))</f>
        <v>40770.814345692808</v>
      </c>
      <c r="J15" s="30">
        <f>IF(J$5&gt;$B15,0,INDEX(Decrements!$G$6:$G$58,Census!$G15+J$5-18)/INDEX(Decrements!$G$6:$G$58,Census!$G15-17)*(INDEX(Decrements!$D$6:$D$58,Census!$G15+J$5-18)+IF(J$5=$B15,INDEX(Decrements!$F$6:$F$58,Census!$G15+J$5-18),0)+INDEX(Decrements!$E$6:$E$58,Census!$G15+J$5-18)*IF((Census!$F15+J$5)&gt;=Assumptions!$B$11,1,0))*MIN(15/26*Census!$D15*(1+Assumptions!$B$9)^J$5*(INT((Census!$F15+J$5))+IF((Census!$F15+J$5)-INT((Census!$F15+J$5))&gt;0.5,1,0)),Assumptions!$B$10))</f>
        <v>23815.791644656234</v>
      </c>
      <c r="K15" s="30">
        <f>IF(K$5&gt;$B15,0,INDEX(Decrements!$G$6:$G$58,Census!$G15+K$5-18)/INDEX(Decrements!$G$6:$G$58,Census!$G15-17)*(INDEX(Decrements!$D$6:$D$58,Census!$G15+K$5-18)+IF(K$5=$B15,INDEX(Decrements!$F$6:$F$58,Census!$G15+K$5-18),0)+INDEX(Decrements!$E$6:$E$58,Census!$G15+K$5-18)*IF((Census!$F15+K$5)&gt;=Assumptions!$B$11,1,0))*MIN(15/26*Census!$D15*(1+Assumptions!$B$9)^K$5*(INT((Census!$F15+K$5))+IF((Census!$F15+K$5)-INT((Census!$F15+K$5))&gt;0.5,1,0)),Assumptions!$B$10))</f>
        <v>24116.067761904938</v>
      </c>
      <c r="L15" s="30">
        <f>IF(L$5&gt;$B15,0,INDEX(Decrements!$G$6:$G$58,Census!$G15+L$5-18)/INDEX(Decrements!$G$6:$G$58,Census!$G15-17)*(INDEX(Decrements!$D$6:$D$58,Census!$G15+L$5-18)+IF(L$5=$B15,INDEX(Decrements!$F$6:$F$58,Census!$G15+L$5-18),0)+INDEX(Decrements!$E$6:$E$58,Census!$G15+L$5-18)*IF((Census!$F15+L$5)&gt;=Assumptions!$B$11,1,0))*MIN(15/26*Census!$D15*(1+Assumptions!$B$9)^L$5*(INT((Census!$F15+L$5))+IF((Census!$F15+L$5)-INT((Census!$F15+L$5))&gt;0.5,1,0)),Assumptions!$B$10))</f>
        <v>24456.074073724725</v>
      </c>
      <c r="M15" s="30">
        <f>IF(M$5&gt;$B15,0,INDEX(Decrements!$G$6:$G$58,Census!$G15+M$5-18)/INDEX(Decrements!$G$6:$G$58,Census!$G15-17)*(INDEX(Decrements!$D$6:$D$58,Census!$G15+M$5-18)+IF(M$5=$B15,INDEX(Decrements!$F$6:$F$58,Census!$G15+M$5-18),0)+INDEX(Decrements!$E$6:$E$58,Census!$G15+M$5-18)*IF((Census!$F15+M$5)&gt;=Assumptions!$B$11,1,0))*MIN(15/26*Census!$D15*(1+Assumptions!$B$9)^M$5*(INT((Census!$F15+M$5))+IF((Census!$F15+M$5)-INT((Census!$F15+M$5))&gt;0.5,1,0)),Assumptions!$B$10))</f>
        <v>24838.121438464346</v>
      </c>
      <c r="N15" s="30">
        <f>IF(N$5&gt;$B15,0,INDEX(Decrements!$G$6:$G$58,Census!$G15+N$5-18)/INDEX(Decrements!$G$6:$G$58,Census!$G15-17)*(INDEX(Decrements!$D$6:$D$58,Census!$G15+N$5-18)+IF(N$5=$B15,INDEX(Decrements!$F$6:$F$58,Census!$G15+N$5-18),0)+INDEX(Decrements!$E$6:$E$58,Census!$G15+N$5-18)*IF((Census!$F15+N$5)&gt;=Assumptions!$B$11,1,0))*MIN(15/26*Census!$D15*(1+Assumptions!$B$9)^N$5*(INT((Census!$F15+N$5))+IF((Census!$F15+N$5)-INT((Census!$F15+N$5))&gt;0.5,1,0)),Assumptions!$B$10))</f>
        <v>1566568.793935776</v>
      </c>
      <c r="O15" s="30">
        <f>IF(O$5&gt;$B15,0,INDEX(Decrements!$G$6:$G$58,Census!$G15+O$5-18)/INDEX(Decrements!$G$6:$G$58,Census!$G15-17)*(INDEX(Decrements!$D$6:$D$58,Census!$G15+O$5-18)+IF(O$5=$B15,INDEX(Decrements!$F$6:$F$58,Census!$G15+O$5-18),0)+INDEX(Decrements!$E$6:$E$58,Census!$G15+O$5-18)*IF((Census!$F15+O$5)&gt;=Assumptions!$B$11,1,0))*MIN(15/26*Census!$D15*(1+Assumptions!$B$9)^O$5*(INT((Census!$F15+O$5))+IF((Census!$F15+O$5)-INT((Census!$F15+O$5))&gt;0.5,1,0)),Assumptions!$B$10))</f>
        <v>0</v>
      </c>
      <c r="P15" s="30">
        <f>IF(P$5&gt;$B15,0,INDEX(Decrements!$G$6:$G$58,Census!$G15+P$5-18)/INDEX(Decrements!$G$6:$G$58,Census!$G15-17)*(INDEX(Decrements!$D$6:$D$58,Census!$G15+P$5-18)+IF(P$5=$B15,INDEX(Decrements!$F$6:$F$58,Census!$G15+P$5-18),0)+INDEX(Decrements!$E$6:$E$58,Census!$G15+P$5-18)*IF((Census!$F15+P$5)&gt;=Assumptions!$B$11,1,0))*MIN(15/26*Census!$D15*(1+Assumptions!$B$9)^P$5*(INT((Census!$F15+P$5))+IF((Census!$F15+P$5)-INT((Census!$F15+P$5))&gt;0.5,1,0)),Assumptions!$B$10))</f>
        <v>0</v>
      </c>
      <c r="Q15" s="30">
        <f>IF(Q$5&gt;$B15,0,INDEX(Decrements!$G$6:$G$58,Census!$G15+Q$5-18)/INDEX(Decrements!$G$6:$G$58,Census!$G15-17)*(INDEX(Decrements!$D$6:$D$58,Census!$G15+Q$5-18)+IF(Q$5=$B15,INDEX(Decrements!$F$6:$F$58,Census!$G15+Q$5-18),0)+INDEX(Decrements!$E$6:$E$58,Census!$G15+Q$5-18)*IF((Census!$F15+Q$5)&gt;=Assumptions!$B$11,1,0))*MIN(15/26*Census!$D15*(1+Assumptions!$B$9)^Q$5*(INT((Census!$F15+Q$5))+IF((Census!$F15+Q$5)-INT((Census!$F15+Q$5))&gt;0.5,1,0)),Assumptions!$B$10))</f>
        <v>0</v>
      </c>
      <c r="R15" s="30">
        <f>IF(R$5&gt;$B15,0,INDEX(Decrements!$G$6:$G$58,Census!$G15+R$5-18)/INDEX(Decrements!$G$6:$G$58,Census!$G15-17)*(INDEX(Decrements!$D$6:$D$58,Census!$G15+R$5-18)+IF(R$5=$B15,INDEX(Decrements!$F$6:$F$58,Census!$G15+R$5-18),0)+INDEX(Decrements!$E$6:$E$58,Census!$G15+R$5-18)*IF((Census!$F15+R$5)&gt;=Assumptions!$B$11,1,0))*MIN(15/26*Census!$D15*(1+Assumptions!$B$9)^R$5*(INT((Census!$F15+R$5))+IF((Census!$F15+R$5)-INT((Census!$F15+R$5))&gt;0.5,1,0)),Assumptions!$B$10))</f>
        <v>0</v>
      </c>
      <c r="S15" s="30">
        <f>IF(S$5&gt;$B15,0,INDEX(Decrements!$G$6:$G$58,Census!$G15+S$5-18)/INDEX(Decrements!$G$6:$G$58,Census!$G15-17)*(INDEX(Decrements!$D$6:$D$58,Census!$G15+S$5-18)+IF(S$5=$B15,INDEX(Decrements!$F$6:$F$58,Census!$G15+S$5-18),0)+INDEX(Decrements!$E$6:$E$58,Census!$G15+S$5-18)*IF((Census!$F15+S$5)&gt;=Assumptions!$B$11,1,0))*MIN(15/26*Census!$D15*(1+Assumptions!$B$9)^S$5*(INT((Census!$F15+S$5))+IF((Census!$F15+S$5)-INT((Census!$F15+S$5))&gt;0.5,1,0)),Assumptions!$B$10))</f>
        <v>0</v>
      </c>
      <c r="T15" s="30">
        <f>IF(T$5&gt;$B15,0,INDEX(Decrements!$G$6:$G$58,Census!$G15+T$5-18)/INDEX(Decrements!$G$6:$G$58,Census!$G15-17)*(INDEX(Decrements!$D$6:$D$58,Census!$G15+T$5-18)+IF(T$5=$B15,INDEX(Decrements!$F$6:$F$58,Census!$G15+T$5-18),0)+INDEX(Decrements!$E$6:$E$58,Census!$G15+T$5-18)*IF((Census!$F15+T$5)&gt;=Assumptions!$B$11,1,0))*MIN(15/26*Census!$D15*(1+Assumptions!$B$9)^T$5*(INT((Census!$F15+T$5))+IF((Census!$F15+T$5)-INT((Census!$F15+T$5))&gt;0.5,1,0)),Assumptions!$B$10))</f>
        <v>0</v>
      </c>
      <c r="U15" s="30">
        <f>IF(U$5&gt;$B15,0,INDEX(Decrements!$G$6:$G$58,Census!$G15+U$5-18)/INDEX(Decrements!$G$6:$G$58,Census!$G15-17)*(INDEX(Decrements!$D$6:$D$58,Census!$G15+U$5-18)+IF(U$5=$B15,INDEX(Decrements!$F$6:$F$58,Census!$G15+U$5-18),0)+INDEX(Decrements!$E$6:$E$58,Census!$G15+U$5-18)*IF((Census!$F15+U$5)&gt;=Assumptions!$B$11,1,0))*MIN(15/26*Census!$D15*(1+Assumptions!$B$9)^U$5*(INT((Census!$F15+U$5))+IF((Census!$F15+U$5)-INT((Census!$F15+U$5))&gt;0.5,1,0)),Assumptions!$B$10))</f>
        <v>0</v>
      </c>
      <c r="V15" s="30">
        <f>IF(V$5&gt;$B15,0,INDEX(Decrements!$G$6:$G$58,Census!$G15+V$5-18)/INDEX(Decrements!$G$6:$G$58,Census!$G15-17)*(INDEX(Decrements!$D$6:$D$58,Census!$G15+V$5-18)+IF(V$5=$B15,INDEX(Decrements!$F$6:$F$58,Census!$G15+V$5-18),0)+INDEX(Decrements!$E$6:$E$58,Census!$G15+V$5-18)*IF((Census!$F15+V$5)&gt;=Assumptions!$B$11,1,0))*MIN(15/26*Census!$D15*(1+Assumptions!$B$9)^V$5*(INT((Census!$F15+V$5))+IF((Census!$F15+V$5)-INT((Census!$F15+V$5))&gt;0.5,1,0)),Assumptions!$B$10))</f>
        <v>0</v>
      </c>
      <c r="W15" s="30">
        <f>IF(W$5&gt;$B15,0,INDEX(Decrements!$G$6:$G$58,Census!$G15+W$5-18)/INDEX(Decrements!$G$6:$G$58,Census!$G15-17)*(INDEX(Decrements!$D$6:$D$58,Census!$G15+W$5-18)+IF(W$5=$B15,INDEX(Decrements!$F$6:$F$58,Census!$G15+W$5-18),0)+INDEX(Decrements!$E$6:$E$58,Census!$G15+W$5-18)*IF((Census!$F15+W$5)&gt;=Assumptions!$B$11,1,0))*MIN(15/26*Census!$D15*(1+Assumptions!$B$9)^W$5*(INT((Census!$F15+W$5))+IF((Census!$F15+W$5)-INT((Census!$F15+W$5))&gt;0.5,1,0)),Assumptions!$B$10))</f>
        <v>0</v>
      </c>
      <c r="X15" s="30">
        <f>IF(X$5&gt;$B15,0,INDEX(Decrements!$G$6:$G$58,Census!$G15+X$5-18)/INDEX(Decrements!$G$6:$G$58,Census!$G15-17)*(INDEX(Decrements!$D$6:$D$58,Census!$G15+X$5-18)+IF(X$5=$B15,INDEX(Decrements!$F$6:$F$58,Census!$G15+X$5-18),0)+INDEX(Decrements!$E$6:$E$58,Census!$G15+X$5-18)*IF((Census!$F15+X$5)&gt;=Assumptions!$B$11,1,0))*MIN(15/26*Census!$D15*(1+Assumptions!$B$9)^X$5*(INT((Census!$F15+X$5))+IF((Census!$F15+X$5)-INT((Census!$F15+X$5))&gt;0.5,1,0)),Assumptions!$B$10))</f>
        <v>0</v>
      </c>
      <c r="Y15" s="30">
        <f>IF(Y$5&gt;$B15,0,INDEX(Decrements!$G$6:$G$58,Census!$G15+Y$5-18)/INDEX(Decrements!$G$6:$G$58,Census!$G15-17)*(INDEX(Decrements!$D$6:$D$58,Census!$G15+Y$5-18)+IF(Y$5=$B15,INDEX(Decrements!$F$6:$F$58,Census!$G15+Y$5-18),0)+INDEX(Decrements!$E$6:$E$58,Census!$G15+Y$5-18)*IF((Census!$F15+Y$5)&gt;=Assumptions!$B$11,1,0))*MIN(15/26*Census!$D15*(1+Assumptions!$B$9)^Y$5*(INT((Census!$F15+Y$5))+IF((Census!$F15+Y$5)-INT((Census!$F15+Y$5))&gt;0.5,1,0)),Assumptions!$B$10))</f>
        <v>0</v>
      </c>
      <c r="Z15" s="30">
        <f>IF(Z$5&gt;$B15,0,INDEX(Decrements!$G$6:$G$58,Census!$G15+Z$5-18)/INDEX(Decrements!$G$6:$G$58,Census!$G15-17)*(INDEX(Decrements!$D$6:$D$58,Census!$G15+Z$5-18)+IF(Z$5=$B15,INDEX(Decrements!$F$6:$F$58,Census!$G15+Z$5-18),0)+INDEX(Decrements!$E$6:$E$58,Census!$G15+Z$5-18)*IF((Census!$F15+Z$5)&gt;=Assumptions!$B$11,1,0))*MIN(15/26*Census!$D15*(1+Assumptions!$B$9)^Z$5*(INT((Census!$F15+Z$5))+IF((Census!$F15+Z$5)-INT((Census!$F15+Z$5))&gt;0.5,1,0)),Assumptions!$B$10))</f>
        <v>0</v>
      </c>
      <c r="AA15" s="30">
        <f>IF(AA$5&gt;$B15,0,INDEX(Decrements!$G$6:$G$58,Census!$G15+AA$5-18)/INDEX(Decrements!$G$6:$G$58,Census!$G15-17)*(INDEX(Decrements!$D$6:$D$58,Census!$G15+AA$5-18)+IF(AA$5=$B15,INDEX(Decrements!$F$6:$F$58,Census!$G15+AA$5-18),0)+INDEX(Decrements!$E$6:$E$58,Census!$G15+AA$5-18)*IF((Census!$F15+AA$5)&gt;=Assumptions!$B$11,1,0))*MIN(15/26*Census!$D15*(1+Assumptions!$B$9)^AA$5*(INT((Census!$F15+AA$5))+IF((Census!$F15+AA$5)-INT((Census!$F15+AA$5))&gt;0.5,1,0)),Assumptions!$B$10))</f>
        <v>0</v>
      </c>
      <c r="AB15" s="30">
        <f>IF(AB$5&gt;$B15,0,INDEX(Decrements!$G$6:$G$58,Census!$G15+AB$5-18)/INDEX(Decrements!$G$6:$G$58,Census!$G15-17)*(INDEX(Decrements!$D$6:$D$58,Census!$G15+AB$5-18)+IF(AB$5=$B15,INDEX(Decrements!$F$6:$F$58,Census!$G15+AB$5-18),0)+INDEX(Decrements!$E$6:$E$58,Census!$G15+AB$5-18)*IF((Census!$F15+AB$5)&gt;=Assumptions!$B$11,1,0))*MIN(15/26*Census!$D15*(1+Assumptions!$B$9)^AB$5*(INT((Census!$F15+AB$5))+IF((Census!$F15+AB$5)-INT((Census!$F15+AB$5))&gt;0.5,1,0)),Assumptions!$B$10))</f>
        <v>0</v>
      </c>
      <c r="AC15" s="30">
        <f>IF(AC$5&gt;$B15,0,INDEX(Decrements!$G$6:$G$58,Census!$G15+AC$5-18)/INDEX(Decrements!$G$6:$G$58,Census!$G15-17)*(INDEX(Decrements!$D$6:$D$58,Census!$G15+AC$5-18)+IF(AC$5=$B15,INDEX(Decrements!$F$6:$F$58,Census!$G15+AC$5-18),0)+INDEX(Decrements!$E$6:$E$58,Census!$G15+AC$5-18)*IF((Census!$F15+AC$5)&gt;=Assumptions!$B$11,1,0))*MIN(15/26*Census!$D15*(1+Assumptions!$B$9)^AC$5*(INT((Census!$F15+AC$5))+IF((Census!$F15+AC$5)-INT((Census!$F15+AC$5))&gt;0.5,1,0)),Assumptions!$B$10))</f>
        <v>0</v>
      </c>
      <c r="AD15" s="30">
        <f>IF(AD$5&gt;$B15,0,INDEX(Decrements!$G$6:$G$58,Census!$G15+AD$5-18)/INDEX(Decrements!$G$6:$G$58,Census!$G15-17)*(INDEX(Decrements!$D$6:$D$58,Census!$G15+AD$5-18)+IF(AD$5=$B15,INDEX(Decrements!$F$6:$F$58,Census!$G15+AD$5-18),0)+INDEX(Decrements!$E$6:$E$58,Census!$G15+AD$5-18)*IF((Census!$F15+AD$5)&gt;=Assumptions!$B$11,1,0))*MIN(15/26*Census!$D15*(1+Assumptions!$B$9)^AD$5*(INT((Census!$F15+AD$5))+IF((Census!$F15+AD$5)-INT((Census!$F15+AD$5))&gt;0.5,1,0)),Assumptions!$B$10))</f>
        <v>0</v>
      </c>
      <c r="AE15" s="30">
        <f>IF(AE$5&gt;$B15,0,INDEX(Decrements!$G$6:$G$58,Census!$G15+AE$5-18)/INDEX(Decrements!$G$6:$G$58,Census!$G15-17)*(INDEX(Decrements!$D$6:$D$58,Census!$G15+AE$5-18)+IF(AE$5=$B15,INDEX(Decrements!$F$6:$F$58,Census!$G15+AE$5-18),0)+INDEX(Decrements!$E$6:$E$58,Census!$G15+AE$5-18)*IF((Census!$F15+AE$5)&gt;=Assumptions!$B$11,1,0))*MIN(15/26*Census!$D15*(1+Assumptions!$B$9)^AE$5*(INT((Census!$F15+AE$5))+IF((Census!$F15+AE$5)-INT((Census!$F15+AE$5))&gt;0.5,1,0)),Assumptions!$B$10))</f>
        <v>0</v>
      </c>
      <c r="AF15" s="30">
        <f>IF(AF$5&gt;$B15,0,INDEX(Decrements!$G$6:$G$58,Census!$G15+AF$5-18)/INDEX(Decrements!$G$6:$G$58,Census!$G15-17)*(INDEX(Decrements!$D$6:$D$58,Census!$G15+AF$5-18)+IF(AF$5=$B15,INDEX(Decrements!$F$6:$F$58,Census!$G15+AF$5-18),0)+INDEX(Decrements!$E$6:$E$58,Census!$G15+AF$5-18)*IF((Census!$F15+AF$5)&gt;=Assumptions!$B$11,1,0))*MIN(15/26*Census!$D15*(1+Assumptions!$B$9)^AF$5*(INT((Census!$F15+AF$5))+IF((Census!$F15+AF$5)-INT((Census!$F15+AF$5))&gt;0.5,1,0)),Assumptions!$B$10))</f>
        <v>0</v>
      </c>
      <c r="AG15" s="30">
        <f>IF(AG$5&gt;$B15,0,INDEX(Decrements!$G$6:$G$58,Census!$G15+AG$5-18)/INDEX(Decrements!$G$6:$G$58,Census!$G15-17)*(INDEX(Decrements!$D$6:$D$58,Census!$G15+AG$5-18)+IF(AG$5=$B15,INDEX(Decrements!$F$6:$F$58,Census!$G15+AG$5-18),0)+INDEX(Decrements!$E$6:$E$58,Census!$G15+AG$5-18)*IF((Census!$F15+AG$5)&gt;=Assumptions!$B$11,1,0))*MIN(15/26*Census!$D15*(1+Assumptions!$B$9)^AG$5*(INT((Census!$F15+AG$5))+IF((Census!$F15+AG$5)-INT((Census!$F15+AG$5))&gt;0.5,1,0)),Assumptions!$B$10))</f>
        <v>0</v>
      </c>
      <c r="AH15" s="30">
        <f>IF(AH$5&gt;$B15,0,INDEX(Decrements!$G$6:$G$58,Census!$G15+AH$5-18)/INDEX(Decrements!$G$6:$G$58,Census!$G15-17)*(INDEX(Decrements!$D$6:$D$58,Census!$G15+AH$5-18)+IF(AH$5=$B15,INDEX(Decrements!$F$6:$F$58,Census!$G15+AH$5-18),0)+INDEX(Decrements!$E$6:$E$58,Census!$G15+AH$5-18)*IF((Census!$F15+AH$5)&gt;=Assumptions!$B$11,1,0))*MIN(15/26*Census!$D15*(1+Assumptions!$B$9)^AH$5*(INT((Census!$F15+AH$5))+IF((Census!$F15+AH$5)-INT((Census!$F15+AH$5))&gt;0.5,1,0)),Assumptions!$B$10))</f>
        <v>0</v>
      </c>
      <c r="AI15" s="30">
        <f>IF(AI$5&gt;$B15,0,INDEX(Decrements!$G$6:$G$58,Census!$G15+AI$5-18)/INDEX(Decrements!$G$6:$G$58,Census!$G15-17)*(INDEX(Decrements!$D$6:$D$58,Census!$G15+AI$5-18)+IF(AI$5=$B15,INDEX(Decrements!$F$6:$F$58,Census!$G15+AI$5-18),0)+INDEX(Decrements!$E$6:$E$58,Census!$G15+AI$5-18)*IF((Census!$F15+AI$5)&gt;=Assumptions!$B$11,1,0))*MIN(15/26*Census!$D15*(1+Assumptions!$B$9)^AI$5*(INT((Census!$F15+AI$5))+IF((Census!$F15+AI$5)-INT((Census!$F15+AI$5))&gt;0.5,1,0)),Assumptions!$B$10))</f>
        <v>0</v>
      </c>
      <c r="AJ15" s="30">
        <f>IF(AJ$5&gt;$B15,0,INDEX(Decrements!$G$6:$G$58,Census!$G15+AJ$5-18)/INDEX(Decrements!$G$6:$G$58,Census!$G15-17)*(INDEX(Decrements!$D$6:$D$58,Census!$G15+AJ$5-18)+IF(AJ$5=$B15,INDEX(Decrements!$F$6:$F$58,Census!$G15+AJ$5-18),0)+INDEX(Decrements!$E$6:$E$58,Census!$G15+AJ$5-18)*IF((Census!$F15+AJ$5)&gt;=Assumptions!$B$11,1,0))*MIN(15/26*Census!$D15*(1+Assumptions!$B$9)^AJ$5*(INT((Census!$F15+AJ$5))+IF((Census!$F15+AJ$5)-INT((Census!$F15+AJ$5))&gt;0.5,1,0)),Assumptions!$B$10))</f>
        <v>0</v>
      </c>
      <c r="AK15" s="30">
        <f>IF(AK$5&gt;$B15,0,INDEX(Decrements!$G$6:$G$58,Census!$G15+AK$5-18)/INDEX(Decrements!$G$6:$G$58,Census!$G15-17)*(INDEX(Decrements!$D$6:$D$58,Census!$G15+AK$5-18)+IF(AK$5=$B15,INDEX(Decrements!$F$6:$F$58,Census!$G15+AK$5-18),0)+INDEX(Decrements!$E$6:$E$58,Census!$G15+AK$5-18)*IF((Census!$F15+AK$5)&gt;=Assumptions!$B$11,1,0))*MIN(15/26*Census!$D15*(1+Assumptions!$B$9)^AK$5*(INT((Census!$F15+AK$5))+IF((Census!$F15+AK$5)-INT((Census!$F15+AK$5))&gt;0.5,1,0)),Assumptions!$B$10))</f>
        <v>0</v>
      </c>
      <c r="AL15" s="30">
        <f>IF(AL$5&gt;$B15,0,INDEX(Decrements!$G$6:$G$58,Census!$G15+AL$5-18)/INDEX(Decrements!$G$6:$G$58,Census!$G15-17)*(INDEX(Decrements!$D$6:$D$58,Census!$G15+AL$5-18)+IF(AL$5=$B15,INDEX(Decrements!$F$6:$F$58,Census!$G15+AL$5-18),0)+INDEX(Decrements!$E$6:$E$58,Census!$G15+AL$5-18)*IF((Census!$F15+AL$5)&gt;=Assumptions!$B$11,1,0))*MIN(15/26*Census!$D15*(1+Assumptions!$B$9)^AL$5*(INT((Census!$F15+AL$5))+IF((Census!$F15+AL$5)-INT((Census!$F15+AL$5))&gt;0.5,1,0)),Assumptions!$B$10))</f>
        <v>0</v>
      </c>
      <c r="AM15" s="30">
        <f>IF(AM$5&gt;$B15,0,INDEX(Decrements!$G$6:$G$58,Census!$G15+AM$5-18)/INDEX(Decrements!$G$6:$G$58,Census!$G15-17)*(INDEX(Decrements!$D$6:$D$58,Census!$G15+AM$5-18)+IF(AM$5=$B15,INDEX(Decrements!$F$6:$F$58,Census!$G15+AM$5-18),0)+INDEX(Decrements!$E$6:$E$58,Census!$G15+AM$5-18)*IF((Census!$F15+AM$5)&gt;=Assumptions!$B$11,1,0))*MIN(15/26*Census!$D15*(1+Assumptions!$B$9)^AM$5*(INT((Census!$F15+AM$5))+IF((Census!$F15+AM$5)-INT((Census!$F15+AM$5))&gt;0.5,1,0)),Assumptions!$B$10))</f>
        <v>0</v>
      </c>
      <c r="AN15" s="30">
        <f>IF(AN$5&gt;$B15,0,INDEX(Decrements!$G$6:$G$58,Census!$G15+AN$5-18)/INDEX(Decrements!$G$6:$G$58,Census!$G15-17)*(INDEX(Decrements!$D$6:$D$58,Census!$G15+AN$5-18)+IF(AN$5=$B15,INDEX(Decrements!$F$6:$F$58,Census!$G15+AN$5-18),0)+INDEX(Decrements!$E$6:$E$58,Census!$G15+AN$5-18)*IF((Census!$F15+AN$5)&gt;=Assumptions!$B$11,1,0))*MIN(15/26*Census!$D15*(1+Assumptions!$B$9)^AN$5*(INT((Census!$F15+AN$5))+IF((Census!$F15+AN$5)-INT((Census!$F15+AN$5))&gt;0.5,1,0)),Assumptions!$B$10))</f>
        <v>0</v>
      </c>
      <c r="AO15" s="30">
        <f>IF(AO$5&gt;$B15,0,INDEX(Decrements!$G$6:$G$58,Census!$G15+AO$5-18)/INDEX(Decrements!$G$6:$G$58,Census!$G15-17)*(INDEX(Decrements!$D$6:$D$58,Census!$G15+AO$5-18)+IF(AO$5=$B15,INDEX(Decrements!$F$6:$F$58,Census!$G15+AO$5-18),0)+INDEX(Decrements!$E$6:$E$58,Census!$G15+AO$5-18)*IF((Census!$F15+AO$5)&gt;=Assumptions!$B$11,1,0))*MIN(15/26*Census!$D15*(1+Assumptions!$B$9)^AO$5*(INT((Census!$F15+AO$5))+IF((Census!$F15+AO$5)-INT((Census!$F15+AO$5))&gt;0.5,1,0)),Assumptions!$B$10))</f>
        <v>0</v>
      </c>
      <c r="AP15" s="30">
        <f>IF(AP$5&gt;$B15,0,INDEX(Decrements!$G$6:$G$58,Census!$G15+AP$5-18)/INDEX(Decrements!$G$6:$G$58,Census!$G15-17)*(INDEX(Decrements!$D$6:$D$58,Census!$G15+AP$5-18)+IF(AP$5=$B15,INDEX(Decrements!$F$6:$F$58,Census!$G15+AP$5-18),0)+INDEX(Decrements!$E$6:$E$58,Census!$G15+AP$5-18)*IF((Census!$F15+AP$5)&gt;=Assumptions!$B$11,1,0))*MIN(15/26*Census!$D15*(1+Assumptions!$B$9)^AP$5*(INT((Census!$F15+AP$5))+IF((Census!$F15+AP$5)-INT((Census!$F15+AP$5))&gt;0.5,1,0)),Assumptions!$B$10))</f>
        <v>0</v>
      </c>
      <c r="AQ15" s="30">
        <f>IF(AQ$5&gt;$B15,0,INDEX(Decrements!$G$6:$G$58,Census!$G15+AQ$5-18)/INDEX(Decrements!$G$6:$G$58,Census!$G15-17)*(INDEX(Decrements!$D$6:$D$58,Census!$G15+AQ$5-18)+IF(AQ$5=$B15,INDEX(Decrements!$F$6:$F$58,Census!$G15+AQ$5-18),0)+INDEX(Decrements!$E$6:$E$58,Census!$G15+AQ$5-18)*IF((Census!$F15+AQ$5)&gt;=Assumptions!$B$11,1,0))*MIN(15/26*Census!$D15*(1+Assumptions!$B$9)^AQ$5*(INT((Census!$F15+AQ$5))+IF((Census!$F15+AQ$5)-INT((Census!$F15+AQ$5))&gt;0.5,1,0)),Assumptions!$B$10))</f>
        <v>0</v>
      </c>
      <c r="AR15" s="30">
        <f>IF(AR$5&gt;$B15,0,INDEX(Decrements!$G$6:$G$58,Census!$G15+AR$5-18)/INDEX(Decrements!$G$6:$G$58,Census!$G15-17)*(INDEX(Decrements!$D$6:$D$58,Census!$G15+AR$5-18)+IF(AR$5=$B15,INDEX(Decrements!$F$6:$F$58,Census!$G15+AR$5-18),0)+INDEX(Decrements!$E$6:$E$58,Census!$G15+AR$5-18)*IF((Census!$F15+AR$5)&gt;=Assumptions!$B$11,1,0))*MIN(15/26*Census!$D15*(1+Assumptions!$B$9)^AR$5*(INT((Census!$F15+AR$5))+IF((Census!$F15+AR$5)-INT((Census!$F15+AR$5))&gt;0.5,1,0)),Assumptions!$B$10))</f>
        <v>0</v>
      </c>
      <c r="AS15" s="30">
        <f>IF(AS$5&gt;$B15,0,INDEX(Decrements!$G$6:$G$58,Census!$G15+AS$5-18)/INDEX(Decrements!$G$6:$G$58,Census!$G15-17)*(INDEX(Decrements!$D$6:$D$58,Census!$G15+AS$5-18)+IF(AS$5=$B15,INDEX(Decrements!$F$6:$F$58,Census!$G15+AS$5-18),0)+INDEX(Decrements!$E$6:$E$58,Census!$G15+AS$5-18)*IF((Census!$F15+AS$5)&gt;=Assumptions!$B$11,1,0))*MIN(15/26*Census!$D15*(1+Assumptions!$B$9)^AS$5*(INT((Census!$F15+AS$5))+IF((Census!$F15+AS$5)-INT((Census!$F15+AS$5))&gt;0.5,1,0)),Assumptions!$B$10))</f>
        <v>0</v>
      </c>
      <c r="AT15" s="30">
        <f>IF(AT$5&gt;$B15,0,INDEX(Decrements!$G$6:$G$58,Census!$G15+AT$5-18)/INDEX(Decrements!$G$6:$G$58,Census!$G15-17)*(INDEX(Decrements!$D$6:$D$58,Census!$G15+AT$5-18)+IF(AT$5=$B15,INDEX(Decrements!$F$6:$F$58,Census!$G15+AT$5-18),0)+INDEX(Decrements!$E$6:$E$58,Census!$G15+AT$5-18)*IF((Census!$F15+AT$5)&gt;=Assumptions!$B$11,1,0))*MIN(15/26*Census!$D15*(1+Assumptions!$B$9)^AT$5*(INT((Census!$F15+AT$5))+IF((Census!$F15+AT$5)-INT((Census!$F15+AT$5))&gt;0.5,1,0)),Assumptions!$B$10))</f>
        <v>0</v>
      </c>
      <c r="AU15" s="30">
        <f>IF(AU$5&gt;$B15,0,INDEX(Decrements!$G$6:$G$58,Census!$G15+AU$5-18)/INDEX(Decrements!$G$6:$G$58,Census!$G15-17)*(INDEX(Decrements!$D$6:$D$58,Census!$G15+AU$5-18)+IF(AU$5=$B15,INDEX(Decrements!$F$6:$F$58,Census!$G15+AU$5-18),0)+INDEX(Decrements!$E$6:$E$58,Census!$G15+AU$5-18)*IF((Census!$F15+AU$5)&gt;=Assumptions!$B$11,1,0))*MIN(15/26*Census!$D15*(1+Assumptions!$B$9)^AU$5*(INT((Census!$F15+AU$5))+IF((Census!$F15+AU$5)-INT((Census!$F15+AU$5))&gt;0.5,1,0)),Assumptions!$B$10))</f>
        <v>0</v>
      </c>
    </row>
    <row r="16" spans="1:47" x14ac:dyDescent="0.3">
      <c r="A16" s="10" t="str">
        <f>Census!A16</f>
        <v>E011</v>
      </c>
      <c r="B16" s="29">
        <f>Census!H16</f>
        <v>29</v>
      </c>
      <c r="C16" s="30">
        <f>IF(C$5&gt;$B16,0,INDEX(Decrements!$G$6:$G$58,Census!$G16+C$5-18)/INDEX(Decrements!$G$6:$G$58,Census!$G16-17)*(INDEX(Decrements!$D$6:$D$58,Census!$G16+C$5-18)+IF(C$5=$B16,INDEX(Decrements!$F$6:$F$58,Census!$G16+C$5-18),0)+INDEX(Decrements!$E$6:$E$58,Census!$G16+C$5-18)*IF((Census!$F16+C$5)&gt;=Assumptions!$B$11,1,0))*MIN(15/26*Census!$D16*(1+Assumptions!$B$9)^C$5*(INT((Census!$F16+C$5))+IF((Census!$F16+C$5)-INT((Census!$F16+C$5))&gt;0.5,1,0)),Assumptions!$B$10))</f>
        <v>61.801849483493939</v>
      </c>
      <c r="D16" s="30">
        <f>IF(D$5&gt;$B16,0,INDEX(Decrements!$G$6:$G$58,Census!$G16+D$5-18)/INDEX(Decrements!$G$6:$G$58,Census!$G16-17)*(INDEX(Decrements!$D$6:$D$58,Census!$G16+D$5-18)+IF(D$5=$B16,INDEX(Decrements!$F$6:$F$58,Census!$G16+D$5-18),0)+INDEX(Decrements!$E$6:$E$58,Census!$G16+D$5-18)*IF((Census!$F16+D$5)&gt;=Assumptions!$B$11,1,0))*MIN(15/26*Census!$D16*(1+Assumptions!$B$9)^D$5*(INT((Census!$F16+D$5))+IF((Census!$F16+D$5)-INT((Census!$F16+D$5))&gt;0.5,1,0)),Assumptions!$B$10))</f>
        <v>10835.982288075362</v>
      </c>
      <c r="E16" s="30">
        <f>IF(E$5&gt;$B16,0,INDEX(Decrements!$G$6:$G$58,Census!$G16+E$5-18)/INDEX(Decrements!$G$6:$G$58,Census!$G16-17)*(INDEX(Decrements!$D$6:$D$58,Census!$G16+E$5-18)+IF(E$5=$B16,INDEX(Decrements!$F$6:$F$58,Census!$G16+E$5-18),0)+INDEX(Decrements!$E$6:$E$58,Census!$G16+E$5-18)*IF((Census!$F16+E$5)&gt;=Assumptions!$B$11,1,0))*MIN(15/26*Census!$D16*(1+Assumptions!$B$9)^E$5*(INT((Census!$F16+E$5))+IF((Census!$F16+E$5)-INT((Census!$F16+E$5))&gt;0.5,1,0)),Assumptions!$B$10))</f>
        <v>12492.56527764682</v>
      </c>
      <c r="F16" s="30">
        <f>IF(F$5&gt;$B16,0,INDEX(Decrements!$G$6:$G$58,Census!$G16+F$5-18)/INDEX(Decrements!$G$6:$G$58,Census!$G16-17)*(INDEX(Decrements!$D$6:$D$58,Census!$G16+F$5-18)+IF(F$5=$B16,INDEX(Decrements!$F$6:$F$58,Census!$G16+F$5-18),0)+INDEX(Decrements!$E$6:$E$58,Census!$G16+F$5-18)*IF((Census!$F16+F$5)&gt;=Assumptions!$B$11,1,0))*MIN(15/26*Census!$D16*(1+Assumptions!$B$9)^F$5*(INT((Census!$F16+F$5))+IF((Census!$F16+F$5)-INT((Census!$F16+F$5))&gt;0.5,1,0)),Assumptions!$B$10))</f>
        <v>14002.211901109353</v>
      </c>
      <c r="G16" s="30">
        <f>IF(G$5&gt;$B16,0,INDEX(Decrements!$G$6:$G$58,Census!$G16+G$5-18)/INDEX(Decrements!$G$6:$G$58,Census!$G16-17)*(INDEX(Decrements!$D$6:$D$58,Census!$G16+G$5-18)+IF(G$5=$B16,INDEX(Decrements!$F$6:$F$58,Census!$G16+G$5-18),0)+INDEX(Decrements!$E$6:$E$58,Census!$G16+G$5-18)*IF((Census!$F16+G$5)&gt;=Assumptions!$B$11,1,0))*MIN(15/26*Census!$D16*(1+Assumptions!$B$9)^G$5*(INT((Census!$F16+G$5))+IF((Census!$F16+G$5)-INT((Census!$F16+G$5))&gt;0.5,1,0)),Assumptions!$B$10))</f>
        <v>11218.386111743643</v>
      </c>
      <c r="H16" s="30">
        <f>IF(H$5&gt;$B16,0,INDEX(Decrements!$G$6:$G$58,Census!$G16+H$5-18)/INDEX(Decrements!$G$6:$G$58,Census!$G16-17)*(INDEX(Decrements!$D$6:$D$58,Census!$G16+H$5-18)+IF(H$5=$B16,INDEX(Decrements!$F$6:$F$58,Census!$G16+H$5-18),0)+INDEX(Decrements!$E$6:$E$58,Census!$G16+H$5-18)*IF((Census!$F16+H$5)&gt;=Assumptions!$B$11,1,0))*MIN(15/26*Census!$D16*(1+Assumptions!$B$9)^H$5*(INT((Census!$F16+H$5))+IF((Census!$F16+H$5)-INT((Census!$F16+H$5))&gt;0.5,1,0)),Assumptions!$B$10))</f>
        <v>12535.898868760543</v>
      </c>
      <c r="I16" s="30">
        <f>IF(I$5&gt;$B16,0,INDEX(Decrements!$G$6:$G$58,Census!$G16+I$5-18)/INDEX(Decrements!$G$6:$G$58,Census!$G16-17)*(INDEX(Decrements!$D$6:$D$58,Census!$G16+I$5-18)+IF(I$5=$B16,INDEX(Decrements!$F$6:$F$58,Census!$G16+I$5-18),0)+INDEX(Decrements!$E$6:$E$58,Census!$G16+I$5-18)*IF((Census!$F16+I$5)&gt;=Assumptions!$B$11,1,0))*MIN(15/26*Census!$D16*(1+Assumptions!$B$9)^I$5*(INT((Census!$F16+I$5))+IF((Census!$F16+I$5)-INT((Census!$F16+I$5))&gt;0.5,1,0)),Assumptions!$B$10))</f>
        <v>13835.306058365095</v>
      </c>
      <c r="J16" s="30">
        <f>IF(J$5&gt;$B16,0,INDEX(Decrements!$G$6:$G$58,Census!$G16+J$5-18)/INDEX(Decrements!$G$6:$G$58,Census!$G16-17)*(INDEX(Decrements!$D$6:$D$58,Census!$G16+J$5-18)+IF(J$5=$B16,INDEX(Decrements!$F$6:$F$58,Census!$G16+J$5-18),0)+INDEX(Decrements!$E$6:$E$58,Census!$G16+J$5-18)*IF((Census!$F16+J$5)&gt;=Assumptions!$B$11,1,0))*MIN(15/26*Census!$D16*(1+Assumptions!$B$9)^J$5*(INT((Census!$F16+J$5))+IF((Census!$F16+J$5)-INT((Census!$F16+J$5))&gt;0.5,1,0)),Assumptions!$B$10))</f>
        <v>15116.830883110748</v>
      </c>
      <c r="K16" s="30">
        <f>IF(K$5&gt;$B16,0,INDEX(Decrements!$G$6:$G$58,Census!$G16+K$5-18)/INDEX(Decrements!$G$6:$G$58,Census!$G16-17)*(INDEX(Decrements!$D$6:$D$58,Census!$G16+K$5-18)+IF(K$5=$B16,INDEX(Decrements!$F$6:$F$58,Census!$G16+K$5-18),0)+INDEX(Decrements!$E$6:$E$58,Census!$G16+K$5-18)*IF((Census!$F16+K$5)&gt;=Assumptions!$B$11,1,0))*MIN(15/26*Census!$D16*(1+Assumptions!$B$9)^K$5*(INT((Census!$F16+K$5))+IF((Census!$F16+K$5)-INT((Census!$F16+K$5))&gt;0.5,1,0)),Assumptions!$B$10))</f>
        <v>16380.697878094337</v>
      </c>
      <c r="L16" s="30">
        <f>IF(L$5&gt;$B16,0,INDEX(Decrements!$G$6:$G$58,Census!$G16+L$5-18)/INDEX(Decrements!$G$6:$G$58,Census!$G16-17)*(INDEX(Decrements!$D$6:$D$58,Census!$G16+L$5-18)+IF(L$5=$B16,INDEX(Decrements!$F$6:$F$58,Census!$G16+L$5-18),0)+INDEX(Decrements!$E$6:$E$58,Census!$G16+L$5-18)*IF((Census!$F16+L$5)&gt;=Assumptions!$B$11,1,0))*MIN(15/26*Census!$D16*(1+Assumptions!$B$9)^L$5*(INT((Census!$F16+L$5))+IF((Census!$F16+L$5)-INT((Census!$F16+L$5))&gt;0.5,1,0)),Assumptions!$B$10))</f>
        <v>11126.704630062422</v>
      </c>
      <c r="M16" s="30">
        <f>IF(M$5&gt;$B16,0,INDEX(Decrements!$G$6:$G$58,Census!$G16+M$5-18)/INDEX(Decrements!$G$6:$G$58,Census!$G16-17)*(INDEX(Decrements!$D$6:$D$58,Census!$G16+M$5-18)+IF(M$5=$B16,INDEX(Decrements!$F$6:$F$58,Census!$G16+M$5-18),0)+INDEX(Decrements!$E$6:$E$58,Census!$G16+M$5-18)*IF((Census!$F16+M$5)&gt;=Assumptions!$B$11,1,0))*MIN(15/26*Census!$D16*(1+Assumptions!$B$9)^M$5*(INT((Census!$F16+M$5))+IF((Census!$F16+M$5)-INT((Census!$F16+M$5))&gt;0.5,1,0)),Assumptions!$B$10))</f>
        <v>12299.141048777239</v>
      </c>
      <c r="N16" s="30">
        <f>IF(N$5&gt;$B16,0,INDEX(Decrements!$G$6:$G$58,Census!$G16+N$5-18)/INDEX(Decrements!$G$6:$G$58,Census!$G16-17)*(INDEX(Decrements!$D$6:$D$58,Census!$G16+N$5-18)+IF(N$5=$B16,INDEX(Decrements!$F$6:$F$58,Census!$G16+N$5-18),0)+INDEX(Decrements!$E$6:$E$58,Census!$G16+N$5-18)*IF((Census!$F16+N$5)&gt;=Assumptions!$B$11,1,0))*MIN(15/26*Census!$D16*(1+Assumptions!$B$9)^N$5*(INT((Census!$F16+N$5))+IF((Census!$F16+N$5)-INT((Census!$F16+N$5))&gt;0.5,1,0)),Assumptions!$B$10))</f>
        <v>13526.794999752015</v>
      </c>
      <c r="O16" s="30">
        <f>IF(O$5&gt;$B16,0,INDEX(Decrements!$G$6:$G$58,Census!$G16+O$5-18)/INDEX(Decrements!$G$6:$G$58,Census!$G16-17)*(INDEX(Decrements!$D$6:$D$58,Census!$G16+O$5-18)+IF(O$5=$B16,INDEX(Decrements!$F$6:$F$58,Census!$G16+O$5-18),0)+INDEX(Decrements!$E$6:$E$58,Census!$G16+O$5-18)*IF((Census!$F16+O$5)&gt;=Assumptions!$B$11,1,0))*MIN(15/26*Census!$D16*(1+Assumptions!$B$9)^O$5*(INT((Census!$F16+O$5))+IF((Census!$F16+O$5)-INT((Census!$F16+O$5))&gt;0.5,1,0)),Assumptions!$B$10))</f>
        <v>14812.109052071686</v>
      </c>
      <c r="P16" s="30">
        <f>IF(P$5&gt;$B16,0,INDEX(Decrements!$G$6:$G$58,Census!$G16+P$5-18)/INDEX(Decrements!$G$6:$G$58,Census!$G16-17)*(INDEX(Decrements!$D$6:$D$58,Census!$G16+P$5-18)+IF(P$5=$B16,INDEX(Decrements!$F$6:$F$58,Census!$G16+P$5-18),0)+INDEX(Decrements!$E$6:$E$58,Census!$G16+P$5-18)*IF((Census!$F16+P$5)&gt;=Assumptions!$B$11,1,0))*MIN(15/26*Census!$D16*(1+Assumptions!$B$9)^P$5*(INT((Census!$F16+P$5))+IF((Census!$F16+P$5)-INT((Census!$F16+P$5))&gt;0.5,1,0)),Assumptions!$B$10))</f>
        <v>16157.669106559482</v>
      </c>
      <c r="Q16" s="30">
        <f>IF(Q$5&gt;$B16,0,INDEX(Decrements!$G$6:$G$58,Census!$G16+Q$5-18)/INDEX(Decrements!$G$6:$G$58,Census!$G16-17)*(INDEX(Decrements!$D$6:$D$58,Census!$G16+Q$5-18)+IF(Q$5=$B16,INDEX(Decrements!$F$6:$F$58,Census!$G16+Q$5-18),0)+INDEX(Decrements!$E$6:$E$58,Census!$G16+Q$5-18)*IF((Census!$F16+Q$5)&gt;=Assumptions!$B$11,1,0))*MIN(15/26*Census!$D16*(1+Assumptions!$B$9)^Q$5*(INT((Census!$F16+Q$5))+IF((Census!$F16+Q$5)-INT((Census!$F16+Q$5))&gt;0.5,1,0)),Assumptions!$B$10))</f>
        <v>10801.055566524064</v>
      </c>
      <c r="R16" s="30">
        <f>IF(R$5&gt;$B16,0,INDEX(Decrements!$G$6:$G$58,Census!$G16+R$5-18)/INDEX(Decrements!$G$6:$G$58,Census!$G16-17)*(INDEX(Decrements!$D$6:$D$58,Census!$G16+R$5-18)+IF(R$5=$B16,INDEX(Decrements!$F$6:$F$58,Census!$G16+R$5-18),0)+INDEX(Decrements!$E$6:$E$58,Census!$G16+R$5-18)*IF((Census!$F16+R$5)&gt;=Assumptions!$B$11,1,0))*MIN(15/26*Census!$D16*(1+Assumptions!$B$9)^R$5*(INT((Census!$F16+R$5))+IF((Census!$F16+R$5)-INT((Census!$F16+R$5))&gt;0.5,1,0)),Assumptions!$B$10))</f>
        <v>11976.167701726905</v>
      </c>
      <c r="S16" s="30">
        <f>IF(S$5&gt;$B16,0,INDEX(Decrements!$G$6:$G$58,Census!$G16+S$5-18)/INDEX(Decrements!$G$6:$G$58,Census!$G16-17)*(INDEX(Decrements!$D$6:$D$58,Census!$G16+S$5-18)+IF(S$5=$B16,INDEX(Decrements!$F$6:$F$58,Census!$G16+S$5-18),0)+INDEX(Decrements!$E$6:$E$58,Census!$G16+S$5-18)*IF((Census!$F16+S$5)&gt;=Assumptions!$B$11,1,0))*MIN(15/26*Census!$D16*(1+Assumptions!$B$9)^S$5*(INT((Census!$F16+S$5))+IF((Census!$F16+S$5)-INT((Census!$F16+S$5))&gt;0.5,1,0)),Assumptions!$B$10))</f>
        <v>13246.118584815709</v>
      </c>
      <c r="T16" s="30">
        <f>IF(T$5&gt;$B16,0,INDEX(Decrements!$G$6:$G$58,Census!$G16+T$5-18)/INDEX(Decrements!$G$6:$G$58,Census!$G16-17)*(INDEX(Decrements!$D$6:$D$58,Census!$G16+T$5-18)+IF(T$5=$B16,INDEX(Decrements!$F$6:$F$58,Census!$G16+T$5-18),0)+INDEX(Decrements!$E$6:$E$58,Census!$G16+T$5-18)*IF((Census!$F16+T$5)&gt;=Assumptions!$B$11,1,0))*MIN(15/26*Census!$D16*(1+Assumptions!$B$9)^T$5*(INT((Census!$F16+T$5))+IF((Census!$F16+T$5)-INT((Census!$F16+T$5))&gt;0.5,1,0)),Assumptions!$B$10))</f>
        <v>14618.617658472673</v>
      </c>
      <c r="U16" s="30">
        <f>IF(U$5&gt;$B16,0,INDEX(Decrements!$G$6:$G$58,Census!$G16+U$5-18)/INDEX(Decrements!$G$6:$G$58,Census!$G16-17)*(INDEX(Decrements!$D$6:$D$58,Census!$G16+U$5-18)+IF(U$5=$B16,INDEX(Decrements!$F$6:$F$58,Census!$G16+U$5-18),0)+INDEX(Decrements!$E$6:$E$58,Census!$G16+U$5-18)*IF((Census!$F16+U$5)&gt;=Assumptions!$B$11,1,0))*MIN(15/26*Census!$D16*(1+Assumptions!$B$9)^U$5*(INT((Census!$F16+U$5))+IF((Census!$F16+U$5)-INT((Census!$F16+U$5))&gt;0.5,1,0)),Assumptions!$B$10))</f>
        <v>16102.112333958414</v>
      </c>
      <c r="V16" s="30">
        <f>IF(V$5&gt;$B16,0,INDEX(Decrements!$G$6:$G$58,Census!$G16+V$5-18)/INDEX(Decrements!$G$6:$G$58,Census!$G16-17)*(INDEX(Decrements!$D$6:$D$58,Census!$G16+V$5-18)+IF(V$5=$B16,INDEX(Decrements!$F$6:$F$58,Census!$G16+V$5-18),0)+INDEX(Decrements!$E$6:$E$58,Census!$G16+V$5-18)*IF((Census!$F16+V$5)&gt;=Assumptions!$B$11,1,0))*MIN(15/26*Census!$D16*(1+Assumptions!$B$9)^V$5*(INT((Census!$F16+V$5))+IF((Census!$F16+V$5)-INT((Census!$F16+V$5))&gt;0.5,1,0)),Assumptions!$B$10))</f>
        <v>12182.332002773152</v>
      </c>
      <c r="W16" s="30">
        <f>IF(W$5&gt;$B16,0,INDEX(Decrements!$G$6:$G$58,Census!$G16+W$5-18)/INDEX(Decrements!$G$6:$G$58,Census!$G16-17)*(INDEX(Decrements!$D$6:$D$58,Census!$G16+W$5-18)+IF(W$5=$B16,INDEX(Decrements!$F$6:$F$58,Census!$G16+W$5-18),0)+INDEX(Decrements!$E$6:$E$58,Census!$G16+W$5-18)*IF((Census!$F16+W$5)&gt;=Assumptions!$B$11,1,0))*MIN(15/26*Census!$D16*(1+Assumptions!$B$9)^W$5*(INT((Census!$F16+W$5))+IF((Census!$F16+W$5)-INT((Census!$F16+W$5))&gt;0.5,1,0)),Assumptions!$B$10))</f>
        <v>12030.208483182523</v>
      </c>
      <c r="X16" s="30">
        <f>IF(X$5&gt;$B16,0,INDEX(Decrements!$G$6:$G$58,Census!$G16+X$5-18)/INDEX(Decrements!$G$6:$G$58,Census!$G16-17)*(INDEX(Decrements!$D$6:$D$58,Census!$G16+X$5-18)+IF(X$5=$B16,INDEX(Decrements!$F$6:$F$58,Census!$G16+X$5-18),0)+INDEX(Decrements!$E$6:$E$58,Census!$G16+X$5-18)*IF((Census!$F16+X$5)&gt;=Assumptions!$B$11,1,0))*MIN(15/26*Census!$D16*(1+Assumptions!$B$9)^X$5*(INT((Census!$F16+X$5))+IF((Census!$F16+X$5)-INT((Census!$F16+X$5))&gt;0.5,1,0)),Assumptions!$B$10))</f>
        <v>11888.004047956949</v>
      </c>
      <c r="Y16" s="30">
        <f>IF(Y$5&gt;$B16,0,INDEX(Decrements!$G$6:$G$58,Census!$G16+Y$5-18)/INDEX(Decrements!$G$6:$G$58,Census!$G16-17)*(INDEX(Decrements!$D$6:$D$58,Census!$G16+Y$5-18)+IF(Y$5=$B16,INDEX(Decrements!$F$6:$F$58,Census!$G16+Y$5-18),0)+INDEX(Decrements!$E$6:$E$58,Census!$G16+Y$5-18)*IF((Census!$F16+Y$5)&gt;=Assumptions!$B$11,1,0))*MIN(15/26*Census!$D16*(1+Assumptions!$B$9)^Y$5*(INT((Census!$F16+Y$5))+IF((Census!$F16+Y$5)-INT((Census!$F16+Y$5))&gt;0.5,1,0)),Assumptions!$B$10))</f>
        <v>11755.927711770048</v>
      </c>
      <c r="Z16" s="30">
        <f>IF(Z$5&gt;$B16,0,INDEX(Decrements!$G$6:$G$58,Census!$G16+Z$5-18)/INDEX(Decrements!$G$6:$G$58,Census!$G16-17)*(INDEX(Decrements!$D$6:$D$58,Census!$G16+Z$5-18)+IF(Z$5=$B16,INDEX(Decrements!$F$6:$F$58,Census!$G16+Z$5-18),0)+INDEX(Decrements!$E$6:$E$58,Census!$G16+Z$5-18)*IF((Census!$F16+Z$5)&gt;=Assumptions!$B$11,1,0))*MIN(15/26*Census!$D16*(1+Assumptions!$B$9)^Z$5*(INT((Census!$F16+Z$5))+IF((Census!$F16+Z$5)-INT((Census!$F16+Z$5))&gt;0.5,1,0)),Assumptions!$B$10))</f>
        <v>11634.195386758987</v>
      </c>
      <c r="AA16" s="30">
        <f>IF(AA$5&gt;$B16,0,INDEX(Decrements!$G$6:$G$58,Census!$G16+AA$5-18)/INDEX(Decrements!$G$6:$G$58,Census!$G16-17)*(INDEX(Decrements!$D$6:$D$58,Census!$G16+AA$5-18)+IF(AA$5=$B16,INDEX(Decrements!$F$6:$F$58,Census!$G16+AA$5-18),0)+INDEX(Decrements!$E$6:$E$58,Census!$G16+AA$5-18)*IF((Census!$F16+AA$5)&gt;=Assumptions!$B$11,1,0))*MIN(15/26*Census!$D16*(1+Assumptions!$B$9)^AA$5*(INT((Census!$F16+AA$5))+IF((Census!$F16+AA$5)-INT((Census!$F16+AA$5))&gt;0.5,1,0)),Assumptions!$B$10))</f>
        <v>6795.9783911832601</v>
      </c>
      <c r="AB16" s="30">
        <f>IF(AB$5&gt;$B16,0,INDEX(Decrements!$G$6:$G$58,Census!$G16+AB$5-18)/INDEX(Decrements!$G$6:$G$58,Census!$G16-17)*(INDEX(Decrements!$D$6:$D$58,Census!$G16+AB$5-18)+IF(AB$5=$B16,INDEX(Decrements!$F$6:$F$58,Census!$G16+AB$5-18),0)+INDEX(Decrements!$E$6:$E$58,Census!$G16+AB$5-18)*IF((Census!$F16+AB$5)&gt;=Assumptions!$B$11,1,0))*MIN(15/26*Census!$D16*(1+Assumptions!$B$9)^AB$5*(INT((Census!$F16+AB$5))+IF((Census!$F16+AB$5)-INT((Census!$F16+AB$5))&gt;0.5,1,0)),Assumptions!$B$10))</f>
        <v>6881.6639747094532</v>
      </c>
      <c r="AC16" s="30">
        <f>IF(AC$5&gt;$B16,0,INDEX(Decrements!$G$6:$G$58,Census!$G16+AC$5-18)/INDEX(Decrements!$G$6:$G$58,Census!$G16-17)*(INDEX(Decrements!$D$6:$D$58,Census!$G16+AC$5-18)+IF(AC$5=$B16,INDEX(Decrements!$F$6:$F$58,Census!$G16+AC$5-18),0)+INDEX(Decrements!$E$6:$E$58,Census!$G16+AC$5-18)*IF((Census!$F16+AC$5)&gt;=Assumptions!$B$11,1,0))*MIN(15/26*Census!$D16*(1+Assumptions!$B$9)^AC$5*(INT((Census!$F16+AC$5))+IF((Census!$F16+AC$5)-INT((Census!$F16+AC$5))&gt;0.5,1,0)),Assumptions!$B$10))</f>
        <v>6978.6868065543758</v>
      </c>
      <c r="AD16" s="30">
        <f>IF(AD$5&gt;$B16,0,INDEX(Decrements!$G$6:$G$58,Census!$G16+AD$5-18)/INDEX(Decrements!$G$6:$G$58,Census!$G16-17)*(INDEX(Decrements!$D$6:$D$58,Census!$G16+AD$5-18)+IF(AD$5=$B16,INDEX(Decrements!$F$6:$F$58,Census!$G16+AD$5-18),0)+INDEX(Decrements!$E$6:$E$58,Census!$G16+AD$5-18)*IF((Census!$F16+AD$5)&gt;=Assumptions!$B$11,1,0))*MIN(15/26*Census!$D16*(1+Assumptions!$B$9)^AD$5*(INT((Census!$F16+AD$5))+IF((Census!$F16+AD$5)-INT((Census!$F16+AD$5))&gt;0.5,1,0)),Assumptions!$B$10))</f>
        <v>7087.7063039499853</v>
      </c>
      <c r="AE16" s="30">
        <f>IF(AE$5&gt;$B16,0,INDEX(Decrements!$G$6:$G$58,Census!$G16+AE$5-18)/INDEX(Decrements!$G$6:$G$58,Census!$G16-17)*(INDEX(Decrements!$D$6:$D$58,Census!$G16+AE$5-18)+IF(AE$5=$B16,INDEX(Decrements!$F$6:$F$58,Census!$G16+AE$5-18),0)+INDEX(Decrements!$E$6:$E$58,Census!$G16+AE$5-18)*IF((Census!$F16+AE$5)&gt;=Assumptions!$B$11,1,0))*MIN(15/26*Census!$D16*(1+Assumptions!$B$9)^AE$5*(INT((Census!$F16+AE$5))+IF((Census!$F16+AE$5)-INT((Census!$F16+AE$5))&gt;0.5,1,0)),Assumptions!$B$10))</f>
        <v>447029.76204775361</v>
      </c>
      <c r="AF16" s="30">
        <f>IF(AF$5&gt;$B16,0,INDEX(Decrements!$G$6:$G$58,Census!$G16+AF$5-18)/INDEX(Decrements!$G$6:$G$58,Census!$G16-17)*(INDEX(Decrements!$D$6:$D$58,Census!$G16+AF$5-18)+IF(AF$5=$B16,INDEX(Decrements!$F$6:$F$58,Census!$G16+AF$5-18),0)+INDEX(Decrements!$E$6:$E$58,Census!$G16+AF$5-18)*IF((Census!$F16+AF$5)&gt;=Assumptions!$B$11,1,0))*MIN(15/26*Census!$D16*(1+Assumptions!$B$9)^AF$5*(INT((Census!$F16+AF$5))+IF((Census!$F16+AF$5)-INT((Census!$F16+AF$5))&gt;0.5,1,0)),Assumptions!$B$10))</f>
        <v>0</v>
      </c>
      <c r="AG16" s="30">
        <f>IF(AG$5&gt;$B16,0,INDEX(Decrements!$G$6:$G$58,Census!$G16+AG$5-18)/INDEX(Decrements!$G$6:$G$58,Census!$G16-17)*(INDEX(Decrements!$D$6:$D$58,Census!$G16+AG$5-18)+IF(AG$5=$B16,INDEX(Decrements!$F$6:$F$58,Census!$G16+AG$5-18),0)+INDEX(Decrements!$E$6:$E$58,Census!$G16+AG$5-18)*IF((Census!$F16+AG$5)&gt;=Assumptions!$B$11,1,0))*MIN(15/26*Census!$D16*(1+Assumptions!$B$9)^AG$5*(INT((Census!$F16+AG$5))+IF((Census!$F16+AG$5)-INT((Census!$F16+AG$5))&gt;0.5,1,0)),Assumptions!$B$10))</f>
        <v>0</v>
      </c>
      <c r="AH16" s="30">
        <f>IF(AH$5&gt;$B16,0,INDEX(Decrements!$G$6:$G$58,Census!$G16+AH$5-18)/INDEX(Decrements!$G$6:$G$58,Census!$G16-17)*(INDEX(Decrements!$D$6:$D$58,Census!$G16+AH$5-18)+IF(AH$5=$B16,INDEX(Decrements!$F$6:$F$58,Census!$G16+AH$5-18),0)+INDEX(Decrements!$E$6:$E$58,Census!$G16+AH$5-18)*IF((Census!$F16+AH$5)&gt;=Assumptions!$B$11,1,0))*MIN(15/26*Census!$D16*(1+Assumptions!$B$9)^AH$5*(INT((Census!$F16+AH$5))+IF((Census!$F16+AH$5)-INT((Census!$F16+AH$5))&gt;0.5,1,0)),Assumptions!$B$10))</f>
        <v>0</v>
      </c>
      <c r="AI16" s="30">
        <f>IF(AI$5&gt;$B16,0,INDEX(Decrements!$G$6:$G$58,Census!$G16+AI$5-18)/INDEX(Decrements!$G$6:$G$58,Census!$G16-17)*(INDEX(Decrements!$D$6:$D$58,Census!$G16+AI$5-18)+IF(AI$5=$B16,INDEX(Decrements!$F$6:$F$58,Census!$G16+AI$5-18),0)+INDEX(Decrements!$E$6:$E$58,Census!$G16+AI$5-18)*IF((Census!$F16+AI$5)&gt;=Assumptions!$B$11,1,0))*MIN(15/26*Census!$D16*(1+Assumptions!$B$9)^AI$5*(INT((Census!$F16+AI$5))+IF((Census!$F16+AI$5)-INT((Census!$F16+AI$5))&gt;0.5,1,0)),Assumptions!$B$10))</f>
        <v>0</v>
      </c>
      <c r="AJ16" s="30">
        <f>IF(AJ$5&gt;$B16,0,INDEX(Decrements!$G$6:$G$58,Census!$G16+AJ$5-18)/INDEX(Decrements!$G$6:$G$58,Census!$G16-17)*(INDEX(Decrements!$D$6:$D$58,Census!$G16+AJ$5-18)+IF(AJ$5=$B16,INDEX(Decrements!$F$6:$F$58,Census!$G16+AJ$5-18),0)+INDEX(Decrements!$E$6:$E$58,Census!$G16+AJ$5-18)*IF((Census!$F16+AJ$5)&gt;=Assumptions!$B$11,1,0))*MIN(15/26*Census!$D16*(1+Assumptions!$B$9)^AJ$5*(INT((Census!$F16+AJ$5))+IF((Census!$F16+AJ$5)-INT((Census!$F16+AJ$5))&gt;0.5,1,0)),Assumptions!$B$10))</f>
        <v>0</v>
      </c>
      <c r="AK16" s="30">
        <f>IF(AK$5&gt;$B16,0,INDEX(Decrements!$G$6:$G$58,Census!$G16+AK$5-18)/INDEX(Decrements!$G$6:$G$58,Census!$G16-17)*(INDEX(Decrements!$D$6:$D$58,Census!$G16+AK$5-18)+IF(AK$5=$B16,INDEX(Decrements!$F$6:$F$58,Census!$G16+AK$5-18),0)+INDEX(Decrements!$E$6:$E$58,Census!$G16+AK$5-18)*IF((Census!$F16+AK$5)&gt;=Assumptions!$B$11,1,0))*MIN(15/26*Census!$D16*(1+Assumptions!$B$9)^AK$5*(INT((Census!$F16+AK$5))+IF((Census!$F16+AK$5)-INT((Census!$F16+AK$5))&gt;0.5,1,0)),Assumptions!$B$10))</f>
        <v>0</v>
      </c>
      <c r="AL16" s="30">
        <f>IF(AL$5&gt;$B16,0,INDEX(Decrements!$G$6:$G$58,Census!$G16+AL$5-18)/INDEX(Decrements!$G$6:$G$58,Census!$G16-17)*(INDEX(Decrements!$D$6:$D$58,Census!$G16+AL$5-18)+IF(AL$5=$B16,INDEX(Decrements!$F$6:$F$58,Census!$G16+AL$5-18),0)+INDEX(Decrements!$E$6:$E$58,Census!$G16+AL$5-18)*IF((Census!$F16+AL$5)&gt;=Assumptions!$B$11,1,0))*MIN(15/26*Census!$D16*(1+Assumptions!$B$9)^AL$5*(INT((Census!$F16+AL$5))+IF((Census!$F16+AL$5)-INT((Census!$F16+AL$5))&gt;0.5,1,0)),Assumptions!$B$10))</f>
        <v>0</v>
      </c>
      <c r="AM16" s="30">
        <f>IF(AM$5&gt;$B16,0,INDEX(Decrements!$G$6:$G$58,Census!$G16+AM$5-18)/INDEX(Decrements!$G$6:$G$58,Census!$G16-17)*(INDEX(Decrements!$D$6:$D$58,Census!$G16+AM$5-18)+IF(AM$5=$B16,INDEX(Decrements!$F$6:$F$58,Census!$G16+AM$5-18),0)+INDEX(Decrements!$E$6:$E$58,Census!$G16+AM$5-18)*IF((Census!$F16+AM$5)&gt;=Assumptions!$B$11,1,0))*MIN(15/26*Census!$D16*(1+Assumptions!$B$9)^AM$5*(INT((Census!$F16+AM$5))+IF((Census!$F16+AM$5)-INT((Census!$F16+AM$5))&gt;0.5,1,0)),Assumptions!$B$10))</f>
        <v>0</v>
      </c>
      <c r="AN16" s="30">
        <f>IF(AN$5&gt;$B16,0,INDEX(Decrements!$G$6:$G$58,Census!$G16+AN$5-18)/INDEX(Decrements!$G$6:$G$58,Census!$G16-17)*(INDEX(Decrements!$D$6:$D$58,Census!$G16+AN$5-18)+IF(AN$5=$B16,INDEX(Decrements!$F$6:$F$58,Census!$G16+AN$5-18),0)+INDEX(Decrements!$E$6:$E$58,Census!$G16+AN$5-18)*IF((Census!$F16+AN$5)&gt;=Assumptions!$B$11,1,0))*MIN(15/26*Census!$D16*(1+Assumptions!$B$9)^AN$5*(INT((Census!$F16+AN$5))+IF((Census!$F16+AN$5)-INT((Census!$F16+AN$5))&gt;0.5,1,0)),Assumptions!$B$10))</f>
        <v>0</v>
      </c>
      <c r="AO16" s="30">
        <f>IF(AO$5&gt;$B16,0,INDEX(Decrements!$G$6:$G$58,Census!$G16+AO$5-18)/INDEX(Decrements!$G$6:$G$58,Census!$G16-17)*(INDEX(Decrements!$D$6:$D$58,Census!$G16+AO$5-18)+IF(AO$5=$B16,INDEX(Decrements!$F$6:$F$58,Census!$G16+AO$5-18),0)+INDEX(Decrements!$E$6:$E$58,Census!$G16+AO$5-18)*IF((Census!$F16+AO$5)&gt;=Assumptions!$B$11,1,0))*MIN(15/26*Census!$D16*(1+Assumptions!$B$9)^AO$5*(INT((Census!$F16+AO$5))+IF((Census!$F16+AO$5)-INT((Census!$F16+AO$5))&gt;0.5,1,0)),Assumptions!$B$10))</f>
        <v>0</v>
      </c>
      <c r="AP16" s="30">
        <f>IF(AP$5&gt;$B16,0,INDEX(Decrements!$G$6:$G$58,Census!$G16+AP$5-18)/INDEX(Decrements!$G$6:$G$58,Census!$G16-17)*(INDEX(Decrements!$D$6:$D$58,Census!$G16+AP$5-18)+IF(AP$5=$B16,INDEX(Decrements!$F$6:$F$58,Census!$G16+AP$5-18),0)+INDEX(Decrements!$E$6:$E$58,Census!$G16+AP$5-18)*IF((Census!$F16+AP$5)&gt;=Assumptions!$B$11,1,0))*MIN(15/26*Census!$D16*(1+Assumptions!$B$9)^AP$5*(INT((Census!$F16+AP$5))+IF((Census!$F16+AP$5)-INT((Census!$F16+AP$5))&gt;0.5,1,0)),Assumptions!$B$10))</f>
        <v>0</v>
      </c>
      <c r="AQ16" s="30">
        <f>IF(AQ$5&gt;$B16,0,INDEX(Decrements!$G$6:$G$58,Census!$G16+AQ$5-18)/INDEX(Decrements!$G$6:$G$58,Census!$G16-17)*(INDEX(Decrements!$D$6:$D$58,Census!$G16+AQ$5-18)+IF(AQ$5=$B16,INDEX(Decrements!$F$6:$F$58,Census!$G16+AQ$5-18),0)+INDEX(Decrements!$E$6:$E$58,Census!$G16+AQ$5-18)*IF((Census!$F16+AQ$5)&gt;=Assumptions!$B$11,1,0))*MIN(15/26*Census!$D16*(1+Assumptions!$B$9)^AQ$5*(INT((Census!$F16+AQ$5))+IF((Census!$F16+AQ$5)-INT((Census!$F16+AQ$5))&gt;0.5,1,0)),Assumptions!$B$10))</f>
        <v>0</v>
      </c>
      <c r="AR16" s="30">
        <f>IF(AR$5&gt;$B16,0,INDEX(Decrements!$G$6:$G$58,Census!$G16+AR$5-18)/INDEX(Decrements!$G$6:$G$58,Census!$G16-17)*(INDEX(Decrements!$D$6:$D$58,Census!$G16+AR$5-18)+IF(AR$5=$B16,INDEX(Decrements!$F$6:$F$58,Census!$G16+AR$5-18),0)+INDEX(Decrements!$E$6:$E$58,Census!$G16+AR$5-18)*IF((Census!$F16+AR$5)&gt;=Assumptions!$B$11,1,0))*MIN(15/26*Census!$D16*(1+Assumptions!$B$9)^AR$5*(INT((Census!$F16+AR$5))+IF((Census!$F16+AR$5)-INT((Census!$F16+AR$5))&gt;0.5,1,0)),Assumptions!$B$10))</f>
        <v>0</v>
      </c>
      <c r="AS16" s="30">
        <f>IF(AS$5&gt;$B16,0,INDEX(Decrements!$G$6:$G$58,Census!$G16+AS$5-18)/INDEX(Decrements!$G$6:$G$58,Census!$G16-17)*(INDEX(Decrements!$D$6:$D$58,Census!$G16+AS$5-18)+IF(AS$5=$B16,INDEX(Decrements!$F$6:$F$58,Census!$G16+AS$5-18),0)+INDEX(Decrements!$E$6:$E$58,Census!$G16+AS$5-18)*IF((Census!$F16+AS$5)&gt;=Assumptions!$B$11,1,0))*MIN(15/26*Census!$D16*(1+Assumptions!$B$9)^AS$5*(INT((Census!$F16+AS$5))+IF((Census!$F16+AS$5)-INT((Census!$F16+AS$5))&gt;0.5,1,0)),Assumptions!$B$10))</f>
        <v>0</v>
      </c>
      <c r="AT16" s="30">
        <f>IF(AT$5&gt;$B16,0,INDEX(Decrements!$G$6:$G$58,Census!$G16+AT$5-18)/INDEX(Decrements!$G$6:$G$58,Census!$G16-17)*(INDEX(Decrements!$D$6:$D$58,Census!$G16+AT$5-18)+IF(AT$5=$B16,INDEX(Decrements!$F$6:$F$58,Census!$G16+AT$5-18),0)+INDEX(Decrements!$E$6:$E$58,Census!$G16+AT$5-18)*IF((Census!$F16+AT$5)&gt;=Assumptions!$B$11,1,0))*MIN(15/26*Census!$D16*(1+Assumptions!$B$9)^AT$5*(INT((Census!$F16+AT$5))+IF((Census!$F16+AT$5)-INT((Census!$F16+AT$5))&gt;0.5,1,0)),Assumptions!$B$10))</f>
        <v>0</v>
      </c>
      <c r="AU16" s="30">
        <f>IF(AU$5&gt;$B16,0,INDEX(Decrements!$G$6:$G$58,Census!$G16+AU$5-18)/INDEX(Decrements!$G$6:$G$58,Census!$G16-17)*(INDEX(Decrements!$D$6:$D$58,Census!$G16+AU$5-18)+IF(AU$5=$B16,INDEX(Decrements!$F$6:$F$58,Census!$G16+AU$5-18),0)+INDEX(Decrements!$E$6:$E$58,Census!$G16+AU$5-18)*IF((Census!$F16+AU$5)&gt;=Assumptions!$B$11,1,0))*MIN(15/26*Census!$D16*(1+Assumptions!$B$9)^AU$5*(INT((Census!$F16+AU$5))+IF((Census!$F16+AU$5)-INT((Census!$F16+AU$5))&gt;0.5,1,0)),Assumptions!$B$10))</f>
        <v>0</v>
      </c>
    </row>
    <row r="17" spans="1:47" x14ac:dyDescent="0.3">
      <c r="A17" s="10" t="str">
        <f>Census!A17</f>
        <v>E012</v>
      </c>
      <c r="B17" s="29">
        <f>Census!H17</f>
        <v>22</v>
      </c>
      <c r="C17" s="30">
        <f>IF(C$5&gt;$B17,0,INDEX(Decrements!$G$6:$G$58,Census!$G17+C$5-18)/INDEX(Decrements!$G$6:$G$58,Census!$G17-17)*(INDEX(Decrements!$D$6:$D$58,Census!$G17+C$5-18)+IF(C$5=$B17,INDEX(Decrements!$F$6:$F$58,Census!$G17+C$5-18),0)+INDEX(Decrements!$E$6:$E$58,Census!$G17+C$5-18)*IF((Census!$F17+C$5)&gt;=Assumptions!$B$11,1,0))*MIN(15/26*Census!$D17*(1+Assumptions!$B$9)^C$5*(INT((Census!$F17+C$5))+IF((Census!$F17+C$5)-INT((Census!$F17+C$5))&gt;0.5,1,0)),Assumptions!$B$10))</f>
        <v>105420.35219499093</v>
      </c>
      <c r="D17" s="30">
        <f>IF(D$5&gt;$B17,0,INDEX(Decrements!$G$6:$G$58,Census!$G17+D$5-18)/INDEX(Decrements!$G$6:$G$58,Census!$G17-17)*(INDEX(Decrements!$D$6:$D$58,Census!$G17+D$5-18)+IF(D$5=$B17,INDEX(Decrements!$F$6:$F$58,Census!$G17+D$5-18),0)+INDEX(Decrements!$E$6:$E$58,Census!$G17+D$5-18)*IF((Census!$F17+D$5)&gt;=Assumptions!$B$11,1,0))*MIN(15/26*Census!$D17*(1+Assumptions!$B$9)^D$5*(INT((Census!$F17+D$5))+IF((Census!$F17+D$5)-INT((Census!$F17+D$5))&gt;0.5,1,0)),Assumptions!$B$10))</f>
        <v>111695.65297543375</v>
      </c>
      <c r="E17" s="30">
        <f>IF(E$5&gt;$B17,0,INDEX(Decrements!$G$6:$G$58,Census!$G17+E$5-18)/INDEX(Decrements!$G$6:$G$58,Census!$G17-17)*(INDEX(Decrements!$D$6:$D$58,Census!$G17+E$5-18)+IF(E$5=$B17,INDEX(Decrements!$F$6:$F$58,Census!$G17+E$5-18),0)+INDEX(Decrements!$E$6:$E$58,Census!$G17+E$5-18)*IF((Census!$F17+E$5)&gt;=Assumptions!$B$11,1,0))*MIN(15/26*Census!$D17*(1+Assumptions!$B$9)^E$5*(INT((Census!$F17+E$5))+IF((Census!$F17+E$5)-INT((Census!$F17+E$5))&gt;0.5,1,0)),Assumptions!$B$10))</f>
        <v>74411.020879572287</v>
      </c>
      <c r="F17" s="30">
        <f>IF(F$5&gt;$B17,0,INDEX(Decrements!$G$6:$G$58,Census!$G17+F$5-18)/INDEX(Decrements!$G$6:$G$58,Census!$G17-17)*(INDEX(Decrements!$D$6:$D$58,Census!$G17+F$5-18)+IF(F$5=$B17,INDEX(Decrements!$F$6:$F$58,Census!$G17+F$5-18),0)+INDEX(Decrements!$E$6:$E$58,Census!$G17+F$5-18)*IF((Census!$F17+F$5)&gt;=Assumptions!$B$11,1,0))*MIN(15/26*Census!$D17*(1+Assumptions!$B$9)^F$5*(INT((Census!$F17+F$5))+IF((Census!$F17+F$5)-INT((Census!$F17+F$5))&gt;0.5,1,0)),Assumptions!$B$10))</f>
        <v>80869.430723107391</v>
      </c>
      <c r="G17" s="30">
        <f>IF(G$5&gt;$B17,0,INDEX(Decrements!$G$6:$G$58,Census!$G17+G$5-18)/INDEX(Decrements!$G$6:$G$58,Census!$G17-17)*(INDEX(Decrements!$D$6:$D$58,Census!$G17+G$5-18)+IF(G$5=$B17,INDEX(Decrements!$F$6:$F$58,Census!$G17+G$5-18),0)+INDEX(Decrements!$E$6:$E$58,Census!$G17+G$5-18)*IF((Census!$F17+G$5)&gt;=Assumptions!$B$11,1,0))*MIN(15/26*Census!$D17*(1+Assumptions!$B$9)^G$5*(INT((Census!$F17+G$5))+IF((Census!$F17+G$5)-INT((Census!$F17+G$5))&gt;0.5,1,0)),Assumptions!$B$10))</f>
        <v>78223.088765996275</v>
      </c>
      <c r="H17" s="30">
        <f>IF(H$5&gt;$B17,0,INDEX(Decrements!$G$6:$G$58,Census!$G17+H$5-18)/INDEX(Decrements!$G$6:$G$58,Census!$G17-17)*(INDEX(Decrements!$D$6:$D$58,Census!$G17+H$5-18)+IF(H$5=$B17,INDEX(Decrements!$F$6:$F$58,Census!$G17+H$5-18),0)+INDEX(Decrements!$E$6:$E$58,Census!$G17+H$5-18)*IF((Census!$F17+H$5)&gt;=Assumptions!$B$11,1,0))*MIN(15/26*Census!$D17*(1+Assumptions!$B$9)^H$5*(INT((Census!$F17+H$5))+IF((Census!$F17+H$5)-INT((Census!$F17+H$5))&gt;0.5,1,0)),Assumptions!$B$10))</f>
        <v>74354.023476917428</v>
      </c>
      <c r="I17" s="30">
        <f>IF(I$5&gt;$B17,0,INDEX(Decrements!$G$6:$G$58,Census!$G17+I$5-18)/INDEX(Decrements!$G$6:$G$58,Census!$G17-17)*(INDEX(Decrements!$D$6:$D$58,Census!$G17+I$5-18)+IF(I$5=$B17,INDEX(Decrements!$F$6:$F$58,Census!$G17+I$5-18),0)+INDEX(Decrements!$E$6:$E$58,Census!$G17+I$5-18)*IF((Census!$F17+I$5)&gt;=Assumptions!$B$11,1,0))*MIN(15/26*Census!$D17*(1+Assumptions!$B$9)^I$5*(INT((Census!$F17+I$5))+IF((Census!$F17+I$5)-INT((Census!$F17+I$5))&gt;0.5,1,0)),Assumptions!$B$10))</f>
        <v>70682.774611481495</v>
      </c>
      <c r="J17" s="30">
        <f>IF(J$5&gt;$B17,0,INDEX(Decrements!$G$6:$G$58,Census!$G17+J$5-18)/INDEX(Decrements!$G$6:$G$58,Census!$G17-17)*(INDEX(Decrements!$D$6:$D$58,Census!$G17+J$5-18)+IF(J$5=$B17,INDEX(Decrements!$F$6:$F$58,Census!$G17+J$5-18),0)+INDEX(Decrements!$E$6:$E$58,Census!$G17+J$5-18)*IF((Census!$F17+J$5)&gt;=Assumptions!$B$11,1,0))*MIN(15/26*Census!$D17*(1+Assumptions!$B$9)^J$5*(INT((Census!$F17+J$5))+IF((Census!$F17+J$5)-INT((Census!$F17+J$5))&gt;0.5,1,0)),Assumptions!$B$10))</f>
        <v>41319.374675202409</v>
      </c>
      <c r="K17" s="30">
        <f>IF(K$5&gt;$B17,0,INDEX(Decrements!$G$6:$G$58,Census!$G17+K$5-18)/INDEX(Decrements!$G$6:$G$58,Census!$G17-17)*(INDEX(Decrements!$D$6:$D$58,Census!$G17+K$5-18)+IF(K$5=$B17,INDEX(Decrements!$F$6:$F$58,Census!$G17+K$5-18),0)+INDEX(Decrements!$E$6:$E$58,Census!$G17+K$5-18)*IF((Census!$F17+K$5)&gt;=Assumptions!$B$11,1,0))*MIN(15/26*Census!$D17*(1+Assumptions!$B$9)^K$5*(INT((Census!$F17+K$5))+IF((Census!$F17+K$5)-INT((Census!$F17+K$5))&gt;0.5,1,0)),Assumptions!$B$10))</f>
        <v>40188.385308198332</v>
      </c>
      <c r="L17" s="30">
        <f>IF(L$5&gt;$B17,0,INDEX(Decrements!$G$6:$G$58,Census!$G17+L$5-18)/INDEX(Decrements!$G$6:$G$58,Census!$G17-17)*(INDEX(Decrements!$D$6:$D$58,Census!$G17+L$5-18)+IF(L$5=$B17,INDEX(Decrements!$F$6:$F$58,Census!$G17+L$5-18),0)+INDEX(Decrements!$E$6:$E$58,Census!$G17+L$5-18)*IF((Census!$F17+L$5)&gt;=Assumptions!$B$11,1,0))*MIN(15/26*Census!$D17*(1+Assumptions!$B$9)^L$5*(INT((Census!$F17+L$5))+IF((Census!$F17+L$5)-INT((Census!$F17+L$5))&gt;0.5,1,0)),Assumptions!$B$10))</f>
        <v>39099.49760871246</v>
      </c>
      <c r="M17" s="30">
        <f>IF(M$5&gt;$B17,0,INDEX(Decrements!$G$6:$G$58,Census!$G17+M$5-18)/INDEX(Decrements!$G$6:$G$58,Census!$G17-17)*(INDEX(Decrements!$D$6:$D$58,Census!$G17+M$5-18)+IF(M$5=$B17,INDEX(Decrements!$F$6:$F$58,Census!$G17+M$5-18),0)+INDEX(Decrements!$E$6:$E$58,Census!$G17+M$5-18)*IF((Census!$F17+M$5)&gt;=Assumptions!$B$11,1,0))*MIN(15/26*Census!$D17*(1+Assumptions!$B$9)^M$5*(INT((Census!$F17+M$5))+IF((Census!$F17+M$5)-INT((Census!$F17+M$5))&gt;0.5,1,0)),Assumptions!$B$10))</f>
        <v>38051.851342599381</v>
      </c>
      <c r="N17" s="30">
        <f>IF(N$5&gt;$B17,0,INDEX(Decrements!$G$6:$G$58,Census!$G17+N$5-18)/INDEX(Decrements!$G$6:$G$58,Census!$G17-17)*(INDEX(Decrements!$D$6:$D$58,Census!$G17+N$5-18)+IF(N$5=$B17,INDEX(Decrements!$F$6:$F$58,Census!$G17+N$5-18),0)+INDEX(Decrements!$E$6:$E$58,Census!$G17+N$5-18)*IF((Census!$F17+N$5)&gt;=Assumptions!$B$11,1,0))*MIN(15/26*Census!$D17*(1+Assumptions!$B$9)^N$5*(INT((Census!$F17+N$5))+IF((Census!$F17+N$5)-INT((Census!$F17+N$5))&gt;0.5,1,0)),Assumptions!$B$10))</f>
        <v>37044.624284479985</v>
      </c>
      <c r="O17" s="30">
        <f>IF(O$5&gt;$B17,0,INDEX(Decrements!$G$6:$G$58,Census!$G17+O$5-18)/INDEX(Decrements!$G$6:$G$58,Census!$G17-17)*(INDEX(Decrements!$D$6:$D$58,Census!$G17+O$5-18)+IF(O$5=$B17,INDEX(Decrements!$F$6:$F$58,Census!$G17+O$5-18),0)+INDEX(Decrements!$E$6:$E$58,Census!$G17+O$5-18)*IF((Census!$F17+O$5)&gt;=Assumptions!$B$11,1,0))*MIN(15/26*Census!$D17*(1+Assumptions!$B$9)^O$5*(INT((Census!$F17+O$5))+IF((Census!$F17+O$5)-INT((Census!$F17+O$5))&gt;0.5,1,0)),Assumptions!$B$10))</f>
        <v>25100.506002812483</v>
      </c>
      <c r="P17" s="30">
        <f>IF(P$5&gt;$B17,0,INDEX(Decrements!$G$6:$G$58,Census!$G17+P$5-18)/INDEX(Decrements!$G$6:$G$58,Census!$G17-17)*(INDEX(Decrements!$D$6:$D$58,Census!$G17+P$5-18)+IF(P$5=$B17,INDEX(Decrements!$F$6:$F$58,Census!$G17+P$5-18),0)+INDEX(Decrements!$E$6:$E$58,Census!$G17+P$5-18)*IF((Census!$F17+P$5)&gt;=Assumptions!$B$11,1,0))*MIN(15/26*Census!$D17*(1+Assumptions!$B$9)^P$5*(INT((Census!$F17+P$5))+IF((Census!$F17+P$5)-INT((Census!$F17+P$5))&gt;0.5,1,0)),Assumptions!$B$10))</f>
        <v>24787.070339116537</v>
      </c>
      <c r="Q17" s="30">
        <f>IF(Q$5&gt;$B17,0,INDEX(Decrements!$G$6:$G$58,Census!$G17+Q$5-18)/INDEX(Decrements!$G$6:$G$58,Census!$G17-17)*(INDEX(Decrements!$D$6:$D$58,Census!$G17+Q$5-18)+IF(Q$5=$B17,INDEX(Decrements!$F$6:$F$58,Census!$G17+Q$5-18),0)+INDEX(Decrements!$E$6:$E$58,Census!$G17+Q$5-18)*IF((Census!$F17+Q$5)&gt;=Assumptions!$B$11,1,0))*MIN(15/26*Census!$D17*(1+Assumptions!$B$9)^Q$5*(INT((Census!$F17+Q$5))+IF((Census!$F17+Q$5)-INT((Census!$F17+Q$5))&gt;0.5,1,0)),Assumptions!$B$10))</f>
        <v>24494.071980576187</v>
      </c>
      <c r="R17" s="30">
        <f>IF(R$5&gt;$B17,0,INDEX(Decrements!$G$6:$G$58,Census!$G17+R$5-18)/INDEX(Decrements!$G$6:$G$58,Census!$G17-17)*(INDEX(Decrements!$D$6:$D$58,Census!$G17+R$5-18)+IF(R$5=$B17,INDEX(Decrements!$F$6:$F$58,Census!$G17+R$5-18),0)+INDEX(Decrements!$E$6:$E$58,Census!$G17+R$5-18)*IF((Census!$F17+R$5)&gt;=Assumptions!$B$11,1,0))*MIN(15/26*Census!$D17*(1+Assumptions!$B$9)^R$5*(INT((Census!$F17+R$5))+IF((Census!$F17+R$5)-INT((Census!$F17+R$5))&gt;0.5,1,0)),Assumptions!$B$10))</f>
        <v>24221.941581524996</v>
      </c>
      <c r="S17" s="30">
        <f>IF(S$5&gt;$B17,0,INDEX(Decrements!$G$6:$G$58,Census!$G17+S$5-18)/INDEX(Decrements!$G$6:$G$58,Census!$G17-17)*(INDEX(Decrements!$D$6:$D$58,Census!$G17+S$5-18)+IF(S$5=$B17,INDEX(Decrements!$F$6:$F$58,Census!$G17+S$5-18),0)+INDEX(Decrements!$E$6:$E$58,Census!$G17+S$5-18)*IF((Census!$F17+S$5)&gt;=Assumptions!$B$11,1,0))*MIN(15/26*Census!$D17*(1+Assumptions!$B$9)^S$5*(INT((Census!$F17+S$5))+IF((Census!$F17+S$5)-INT((Census!$F17+S$5))&gt;0.5,1,0)),Assumptions!$B$10))</f>
        <v>23971.124007846913</v>
      </c>
      <c r="T17" s="30">
        <f>IF(T$5&gt;$B17,0,INDEX(Decrements!$G$6:$G$58,Census!$G17+T$5-18)/INDEX(Decrements!$G$6:$G$58,Census!$G17-17)*(INDEX(Decrements!$D$6:$D$58,Census!$G17+T$5-18)+IF(T$5=$B17,INDEX(Decrements!$F$6:$F$58,Census!$G17+T$5-18),0)+INDEX(Decrements!$E$6:$E$58,Census!$G17+T$5-18)*IF((Census!$F17+T$5)&gt;=Assumptions!$B$11,1,0))*MIN(15/26*Census!$D17*(1+Assumptions!$B$9)^T$5*(INT((Census!$F17+T$5))+IF((Census!$F17+T$5)-INT((Census!$F17+T$5))&gt;0.5,1,0)),Assumptions!$B$10))</f>
        <v>14002.450135495274</v>
      </c>
      <c r="U17" s="30">
        <f>IF(U$5&gt;$B17,0,INDEX(Decrements!$G$6:$G$58,Census!$G17+U$5-18)/INDEX(Decrements!$G$6:$G$58,Census!$G17-17)*(INDEX(Decrements!$D$6:$D$58,Census!$G17+U$5-18)+IF(U$5=$B17,INDEX(Decrements!$F$6:$F$58,Census!$G17+U$5-18),0)+INDEX(Decrements!$E$6:$E$58,Census!$G17+U$5-18)*IF((Census!$F17+U$5)&gt;=Assumptions!$B$11,1,0))*MIN(15/26*Census!$D17*(1+Assumptions!$B$9)^U$5*(INT((Census!$F17+U$5))+IF((Census!$F17+U$5)-INT((Census!$F17+U$5))&gt;0.5,1,0)),Assumptions!$B$10))</f>
        <v>14178.996916781822</v>
      </c>
      <c r="V17" s="30">
        <f>IF(V$5&gt;$B17,0,INDEX(Decrements!$G$6:$G$58,Census!$G17+V$5-18)/INDEX(Decrements!$G$6:$G$58,Census!$G17-17)*(INDEX(Decrements!$D$6:$D$58,Census!$G17+V$5-18)+IF(V$5=$B17,INDEX(Decrements!$F$6:$F$58,Census!$G17+V$5-18),0)+INDEX(Decrements!$E$6:$E$58,Census!$G17+V$5-18)*IF((Census!$F17+V$5)&gt;=Assumptions!$B$11,1,0))*MIN(15/26*Census!$D17*(1+Assumptions!$B$9)^V$5*(INT((Census!$F17+V$5))+IF((Census!$F17+V$5)-INT((Census!$F17+V$5))&gt;0.5,1,0)),Assumptions!$B$10))</f>
        <v>14378.902991626848</v>
      </c>
      <c r="W17" s="30">
        <f>IF(W$5&gt;$B17,0,INDEX(Decrements!$G$6:$G$58,Census!$G17+W$5-18)/INDEX(Decrements!$G$6:$G$58,Census!$G17-17)*(INDEX(Decrements!$D$6:$D$58,Census!$G17+W$5-18)+IF(W$5=$B17,INDEX(Decrements!$F$6:$F$58,Census!$G17+W$5-18),0)+INDEX(Decrements!$E$6:$E$58,Census!$G17+W$5-18)*IF((Census!$F17+W$5)&gt;=Assumptions!$B$11,1,0))*MIN(15/26*Census!$D17*(1+Assumptions!$B$9)^W$5*(INT((Census!$F17+W$5))+IF((Census!$F17+W$5)-INT((Census!$F17+W$5))&gt;0.5,1,0)),Assumptions!$B$10))</f>
        <v>14603.527024872632</v>
      </c>
      <c r="X17" s="30">
        <f>IF(X$5&gt;$B17,0,INDEX(Decrements!$G$6:$G$58,Census!$G17+X$5-18)/INDEX(Decrements!$G$6:$G$58,Census!$G17-17)*(INDEX(Decrements!$D$6:$D$58,Census!$G17+X$5-18)+IF(X$5=$B17,INDEX(Decrements!$F$6:$F$58,Census!$G17+X$5-18),0)+INDEX(Decrements!$E$6:$E$58,Census!$G17+X$5-18)*IF((Census!$F17+X$5)&gt;=Assumptions!$B$11,1,0))*MIN(15/26*Census!$D17*(1+Assumptions!$B$9)^X$5*(INT((Census!$F17+X$5))+IF((Census!$F17+X$5)-INT((Census!$F17+X$5))&gt;0.5,1,0)),Assumptions!$B$10))</f>
        <v>921061.19117105263</v>
      </c>
      <c r="Y17" s="30">
        <f>IF(Y$5&gt;$B17,0,INDEX(Decrements!$G$6:$G$58,Census!$G17+Y$5-18)/INDEX(Decrements!$G$6:$G$58,Census!$G17-17)*(INDEX(Decrements!$D$6:$D$58,Census!$G17+Y$5-18)+IF(Y$5=$B17,INDEX(Decrements!$F$6:$F$58,Census!$G17+Y$5-18),0)+INDEX(Decrements!$E$6:$E$58,Census!$G17+Y$5-18)*IF((Census!$F17+Y$5)&gt;=Assumptions!$B$11,1,0))*MIN(15/26*Census!$D17*(1+Assumptions!$B$9)^Y$5*(INT((Census!$F17+Y$5))+IF((Census!$F17+Y$5)-INT((Census!$F17+Y$5))&gt;0.5,1,0)),Assumptions!$B$10))</f>
        <v>0</v>
      </c>
      <c r="Z17" s="30">
        <f>IF(Z$5&gt;$B17,0,INDEX(Decrements!$G$6:$G$58,Census!$G17+Z$5-18)/INDEX(Decrements!$G$6:$G$58,Census!$G17-17)*(INDEX(Decrements!$D$6:$D$58,Census!$G17+Z$5-18)+IF(Z$5=$B17,INDEX(Decrements!$F$6:$F$58,Census!$G17+Z$5-18),0)+INDEX(Decrements!$E$6:$E$58,Census!$G17+Z$5-18)*IF((Census!$F17+Z$5)&gt;=Assumptions!$B$11,1,0))*MIN(15/26*Census!$D17*(1+Assumptions!$B$9)^Z$5*(INT((Census!$F17+Z$5))+IF((Census!$F17+Z$5)-INT((Census!$F17+Z$5))&gt;0.5,1,0)),Assumptions!$B$10))</f>
        <v>0</v>
      </c>
      <c r="AA17" s="30">
        <f>IF(AA$5&gt;$B17,0,INDEX(Decrements!$G$6:$G$58,Census!$G17+AA$5-18)/INDEX(Decrements!$G$6:$G$58,Census!$G17-17)*(INDEX(Decrements!$D$6:$D$58,Census!$G17+AA$5-18)+IF(AA$5=$B17,INDEX(Decrements!$F$6:$F$58,Census!$G17+AA$5-18),0)+INDEX(Decrements!$E$6:$E$58,Census!$G17+AA$5-18)*IF((Census!$F17+AA$5)&gt;=Assumptions!$B$11,1,0))*MIN(15/26*Census!$D17*(1+Assumptions!$B$9)^AA$5*(INT((Census!$F17+AA$5))+IF((Census!$F17+AA$5)-INT((Census!$F17+AA$5))&gt;0.5,1,0)),Assumptions!$B$10))</f>
        <v>0</v>
      </c>
      <c r="AB17" s="30">
        <f>IF(AB$5&gt;$B17,0,INDEX(Decrements!$G$6:$G$58,Census!$G17+AB$5-18)/INDEX(Decrements!$G$6:$G$58,Census!$G17-17)*(INDEX(Decrements!$D$6:$D$58,Census!$G17+AB$5-18)+IF(AB$5=$B17,INDEX(Decrements!$F$6:$F$58,Census!$G17+AB$5-18),0)+INDEX(Decrements!$E$6:$E$58,Census!$G17+AB$5-18)*IF((Census!$F17+AB$5)&gt;=Assumptions!$B$11,1,0))*MIN(15/26*Census!$D17*(1+Assumptions!$B$9)^AB$5*(INT((Census!$F17+AB$5))+IF((Census!$F17+AB$5)-INT((Census!$F17+AB$5))&gt;0.5,1,0)),Assumptions!$B$10))</f>
        <v>0</v>
      </c>
      <c r="AC17" s="30">
        <f>IF(AC$5&gt;$B17,0,INDEX(Decrements!$G$6:$G$58,Census!$G17+AC$5-18)/INDEX(Decrements!$G$6:$G$58,Census!$G17-17)*(INDEX(Decrements!$D$6:$D$58,Census!$G17+AC$5-18)+IF(AC$5=$B17,INDEX(Decrements!$F$6:$F$58,Census!$G17+AC$5-18),0)+INDEX(Decrements!$E$6:$E$58,Census!$G17+AC$5-18)*IF((Census!$F17+AC$5)&gt;=Assumptions!$B$11,1,0))*MIN(15/26*Census!$D17*(1+Assumptions!$B$9)^AC$5*(INT((Census!$F17+AC$5))+IF((Census!$F17+AC$5)-INT((Census!$F17+AC$5))&gt;0.5,1,0)),Assumptions!$B$10))</f>
        <v>0</v>
      </c>
      <c r="AD17" s="30">
        <f>IF(AD$5&gt;$B17,0,INDEX(Decrements!$G$6:$G$58,Census!$G17+AD$5-18)/INDEX(Decrements!$G$6:$G$58,Census!$G17-17)*(INDEX(Decrements!$D$6:$D$58,Census!$G17+AD$5-18)+IF(AD$5=$B17,INDEX(Decrements!$F$6:$F$58,Census!$G17+AD$5-18),0)+INDEX(Decrements!$E$6:$E$58,Census!$G17+AD$5-18)*IF((Census!$F17+AD$5)&gt;=Assumptions!$B$11,1,0))*MIN(15/26*Census!$D17*(1+Assumptions!$B$9)^AD$5*(INT((Census!$F17+AD$5))+IF((Census!$F17+AD$5)-INT((Census!$F17+AD$5))&gt;0.5,1,0)),Assumptions!$B$10))</f>
        <v>0</v>
      </c>
      <c r="AE17" s="30">
        <f>IF(AE$5&gt;$B17,0,INDEX(Decrements!$G$6:$G$58,Census!$G17+AE$5-18)/INDEX(Decrements!$G$6:$G$58,Census!$G17-17)*(INDEX(Decrements!$D$6:$D$58,Census!$G17+AE$5-18)+IF(AE$5=$B17,INDEX(Decrements!$F$6:$F$58,Census!$G17+AE$5-18),0)+INDEX(Decrements!$E$6:$E$58,Census!$G17+AE$5-18)*IF((Census!$F17+AE$5)&gt;=Assumptions!$B$11,1,0))*MIN(15/26*Census!$D17*(1+Assumptions!$B$9)^AE$5*(INT((Census!$F17+AE$5))+IF((Census!$F17+AE$5)-INT((Census!$F17+AE$5))&gt;0.5,1,0)),Assumptions!$B$10))</f>
        <v>0</v>
      </c>
      <c r="AF17" s="30">
        <f>IF(AF$5&gt;$B17,0,INDEX(Decrements!$G$6:$G$58,Census!$G17+AF$5-18)/INDEX(Decrements!$G$6:$G$58,Census!$G17-17)*(INDEX(Decrements!$D$6:$D$58,Census!$G17+AF$5-18)+IF(AF$5=$B17,INDEX(Decrements!$F$6:$F$58,Census!$G17+AF$5-18),0)+INDEX(Decrements!$E$6:$E$58,Census!$G17+AF$5-18)*IF((Census!$F17+AF$5)&gt;=Assumptions!$B$11,1,0))*MIN(15/26*Census!$D17*(1+Assumptions!$B$9)^AF$5*(INT((Census!$F17+AF$5))+IF((Census!$F17+AF$5)-INT((Census!$F17+AF$5))&gt;0.5,1,0)),Assumptions!$B$10))</f>
        <v>0</v>
      </c>
      <c r="AG17" s="30">
        <f>IF(AG$5&gt;$B17,0,INDEX(Decrements!$G$6:$G$58,Census!$G17+AG$5-18)/INDEX(Decrements!$G$6:$G$58,Census!$G17-17)*(INDEX(Decrements!$D$6:$D$58,Census!$G17+AG$5-18)+IF(AG$5=$B17,INDEX(Decrements!$F$6:$F$58,Census!$G17+AG$5-18),0)+INDEX(Decrements!$E$6:$E$58,Census!$G17+AG$5-18)*IF((Census!$F17+AG$5)&gt;=Assumptions!$B$11,1,0))*MIN(15/26*Census!$D17*(1+Assumptions!$B$9)^AG$5*(INT((Census!$F17+AG$5))+IF((Census!$F17+AG$5)-INT((Census!$F17+AG$5))&gt;0.5,1,0)),Assumptions!$B$10))</f>
        <v>0</v>
      </c>
      <c r="AH17" s="30">
        <f>IF(AH$5&gt;$B17,0,INDEX(Decrements!$G$6:$G$58,Census!$G17+AH$5-18)/INDEX(Decrements!$G$6:$G$58,Census!$G17-17)*(INDEX(Decrements!$D$6:$D$58,Census!$G17+AH$5-18)+IF(AH$5=$B17,INDEX(Decrements!$F$6:$F$58,Census!$G17+AH$5-18),0)+INDEX(Decrements!$E$6:$E$58,Census!$G17+AH$5-18)*IF((Census!$F17+AH$5)&gt;=Assumptions!$B$11,1,0))*MIN(15/26*Census!$D17*(1+Assumptions!$B$9)^AH$5*(INT((Census!$F17+AH$5))+IF((Census!$F17+AH$5)-INT((Census!$F17+AH$5))&gt;0.5,1,0)),Assumptions!$B$10))</f>
        <v>0</v>
      </c>
      <c r="AI17" s="30">
        <f>IF(AI$5&gt;$B17,0,INDEX(Decrements!$G$6:$G$58,Census!$G17+AI$5-18)/INDEX(Decrements!$G$6:$G$58,Census!$G17-17)*(INDEX(Decrements!$D$6:$D$58,Census!$G17+AI$5-18)+IF(AI$5=$B17,INDEX(Decrements!$F$6:$F$58,Census!$G17+AI$5-18),0)+INDEX(Decrements!$E$6:$E$58,Census!$G17+AI$5-18)*IF((Census!$F17+AI$5)&gt;=Assumptions!$B$11,1,0))*MIN(15/26*Census!$D17*(1+Assumptions!$B$9)^AI$5*(INT((Census!$F17+AI$5))+IF((Census!$F17+AI$5)-INT((Census!$F17+AI$5))&gt;0.5,1,0)),Assumptions!$B$10))</f>
        <v>0</v>
      </c>
      <c r="AJ17" s="30">
        <f>IF(AJ$5&gt;$B17,0,INDEX(Decrements!$G$6:$G$58,Census!$G17+AJ$5-18)/INDEX(Decrements!$G$6:$G$58,Census!$G17-17)*(INDEX(Decrements!$D$6:$D$58,Census!$G17+AJ$5-18)+IF(AJ$5=$B17,INDEX(Decrements!$F$6:$F$58,Census!$G17+AJ$5-18),0)+INDEX(Decrements!$E$6:$E$58,Census!$G17+AJ$5-18)*IF((Census!$F17+AJ$5)&gt;=Assumptions!$B$11,1,0))*MIN(15/26*Census!$D17*(1+Assumptions!$B$9)^AJ$5*(INT((Census!$F17+AJ$5))+IF((Census!$F17+AJ$5)-INT((Census!$F17+AJ$5))&gt;0.5,1,0)),Assumptions!$B$10))</f>
        <v>0</v>
      </c>
      <c r="AK17" s="30">
        <f>IF(AK$5&gt;$B17,0,INDEX(Decrements!$G$6:$G$58,Census!$G17+AK$5-18)/INDEX(Decrements!$G$6:$G$58,Census!$G17-17)*(INDEX(Decrements!$D$6:$D$58,Census!$G17+AK$5-18)+IF(AK$5=$B17,INDEX(Decrements!$F$6:$F$58,Census!$G17+AK$5-18),0)+INDEX(Decrements!$E$6:$E$58,Census!$G17+AK$5-18)*IF((Census!$F17+AK$5)&gt;=Assumptions!$B$11,1,0))*MIN(15/26*Census!$D17*(1+Assumptions!$B$9)^AK$5*(INT((Census!$F17+AK$5))+IF((Census!$F17+AK$5)-INT((Census!$F17+AK$5))&gt;0.5,1,0)),Assumptions!$B$10))</f>
        <v>0</v>
      </c>
      <c r="AL17" s="30">
        <f>IF(AL$5&gt;$B17,0,INDEX(Decrements!$G$6:$G$58,Census!$G17+AL$5-18)/INDEX(Decrements!$G$6:$G$58,Census!$G17-17)*(INDEX(Decrements!$D$6:$D$58,Census!$G17+AL$5-18)+IF(AL$5=$B17,INDEX(Decrements!$F$6:$F$58,Census!$G17+AL$5-18),0)+INDEX(Decrements!$E$6:$E$58,Census!$G17+AL$5-18)*IF((Census!$F17+AL$5)&gt;=Assumptions!$B$11,1,0))*MIN(15/26*Census!$D17*(1+Assumptions!$B$9)^AL$5*(INT((Census!$F17+AL$5))+IF((Census!$F17+AL$5)-INT((Census!$F17+AL$5))&gt;0.5,1,0)),Assumptions!$B$10))</f>
        <v>0</v>
      </c>
      <c r="AM17" s="30">
        <f>IF(AM$5&gt;$B17,0,INDEX(Decrements!$G$6:$G$58,Census!$G17+AM$5-18)/INDEX(Decrements!$G$6:$G$58,Census!$G17-17)*(INDEX(Decrements!$D$6:$D$58,Census!$G17+AM$5-18)+IF(AM$5=$B17,INDEX(Decrements!$F$6:$F$58,Census!$G17+AM$5-18),0)+INDEX(Decrements!$E$6:$E$58,Census!$G17+AM$5-18)*IF((Census!$F17+AM$5)&gt;=Assumptions!$B$11,1,0))*MIN(15/26*Census!$D17*(1+Assumptions!$B$9)^AM$5*(INT((Census!$F17+AM$5))+IF((Census!$F17+AM$5)-INT((Census!$F17+AM$5))&gt;0.5,1,0)),Assumptions!$B$10))</f>
        <v>0</v>
      </c>
      <c r="AN17" s="30">
        <f>IF(AN$5&gt;$B17,0,INDEX(Decrements!$G$6:$G$58,Census!$G17+AN$5-18)/INDEX(Decrements!$G$6:$G$58,Census!$G17-17)*(INDEX(Decrements!$D$6:$D$58,Census!$G17+AN$5-18)+IF(AN$5=$B17,INDEX(Decrements!$F$6:$F$58,Census!$G17+AN$5-18),0)+INDEX(Decrements!$E$6:$E$58,Census!$G17+AN$5-18)*IF((Census!$F17+AN$5)&gt;=Assumptions!$B$11,1,0))*MIN(15/26*Census!$D17*(1+Assumptions!$B$9)^AN$5*(INT((Census!$F17+AN$5))+IF((Census!$F17+AN$5)-INT((Census!$F17+AN$5))&gt;0.5,1,0)),Assumptions!$B$10))</f>
        <v>0</v>
      </c>
      <c r="AO17" s="30">
        <f>IF(AO$5&gt;$B17,0,INDEX(Decrements!$G$6:$G$58,Census!$G17+AO$5-18)/INDEX(Decrements!$G$6:$G$58,Census!$G17-17)*(INDEX(Decrements!$D$6:$D$58,Census!$G17+AO$5-18)+IF(AO$5=$B17,INDEX(Decrements!$F$6:$F$58,Census!$G17+AO$5-18),0)+INDEX(Decrements!$E$6:$E$58,Census!$G17+AO$5-18)*IF((Census!$F17+AO$5)&gt;=Assumptions!$B$11,1,0))*MIN(15/26*Census!$D17*(1+Assumptions!$B$9)^AO$5*(INT((Census!$F17+AO$5))+IF((Census!$F17+AO$5)-INT((Census!$F17+AO$5))&gt;0.5,1,0)),Assumptions!$B$10))</f>
        <v>0</v>
      </c>
      <c r="AP17" s="30">
        <f>IF(AP$5&gt;$B17,0,INDEX(Decrements!$G$6:$G$58,Census!$G17+AP$5-18)/INDEX(Decrements!$G$6:$G$58,Census!$G17-17)*(INDEX(Decrements!$D$6:$D$58,Census!$G17+AP$5-18)+IF(AP$5=$B17,INDEX(Decrements!$F$6:$F$58,Census!$G17+AP$5-18),0)+INDEX(Decrements!$E$6:$E$58,Census!$G17+AP$5-18)*IF((Census!$F17+AP$5)&gt;=Assumptions!$B$11,1,0))*MIN(15/26*Census!$D17*(1+Assumptions!$B$9)^AP$5*(INT((Census!$F17+AP$5))+IF((Census!$F17+AP$5)-INT((Census!$F17+AP$5))&gt;0.5,1,0)),Assumptions!$B$10))</f>
        <v>0</v>
      </c>
      <c r="AQ17" s="30">
        <f>IF(AQ$5&gt;$B17,0,INDEX(Decrements!$G$6:$G$58,Census!$G17+AQ$5-18)/INDEX(Decrements!$G$6:$G$58,Census!$G17-17)*(INDEX(Decrements!$D$6:$D$58,Census!$G17+AQ$5-18)+IF(AQ$5=$B17,INDEX(Decrements!$F$6:$F$58,Census!$G17+AQ$5-18),0)+INDEX(Decrements!$E$6:$E$58,Census!$G17+AQ$5-18)*IF((Census!$F17+AQ$5)&gt;=Assumptions!$B$11,1,0))*MIN(15/26*Census!$D17*(1+Assumptions!$B$9)^AQ$5*(INT((Census!$F17+AQ$5))+IF((Census!$F17+AQ$5)-INT((Census!$F17+AQ$5))&gt;0.5,1,0)),Assumptions!$B$10))</f>
        <v>0</v>
      </c>
      <c r="AR17" s="30">
        <f>IF(AR$5&gt;$B17,0,INDEX(Decrements!$G$6:$G$58,Census!$G17+AR$5-18)/INDEX(Decrements!$G$6:$G$58,Census!$G17-17)*(INDEX(Decrements!$D$6:$D$58,Census!$G17+AR$5-18)+IF(AR$5=$B17,INDEX(Decrements!$F$6:$F$58,Census!$G17+AR$5-18),0)+INDEX(Decrements!$E$6:$E$58,Census!$G17+AR$5-18)*IF((Census!$F17+AR$5)&gt;=Assumptions!$B$11,1,0))*MIN(15/26*Census!$D17*(1+Assumptions!$B$9)^AR$5*(INT((Census!$F17+AR$5))+IF((Census!$F17+AR$5)-INT((Census!$F17+AR$5))&gt;0.5,1,0)),Assumptions!$B$10))</f>
        <v>0</v>
      </c>
      <c r="AS17" s="30">
        <f>IF(AS$5&gt;$B17,0,INDEX(Decrements!$G$6:$G$58,Census!$G17+AS$5-18)/INDEX(Decrements!$G$6:$G$58,Census!$G17-17)*(INDEX(Decrements!$D$6:$D$58,Census!$G17+AS$5-18)+IF(AS$5=$B17,INDEX(Decrements!$F$6:$F$58,Census!$G17+AS$5-18),0)+INDEX(Decrements!$E$6:$E$58,Census!$G17+AS$5-18)*IF((Census!$F17+AS$5)&gt;=Assumptions!$B$11,1,0))*MIN(15/26*Census!$D17*(1+Assumptions!$B$9)^AS$5*(INT((Census!$F17+AS$5))+IF((Census!$F17+AS$5)-INT((Census!$F17+AS$5))&gt;0.5,1,0)),Assumptions!$B$10))</f>
        <v>0</v>
      </c>
      <c r="AT17" s="30">
        <f>IF(AT$5&gt;$B17,0,INDEX(Decrements!$G$6:$G$58,Census!$G17+AT$5-18)/INDEX(Decrements!$G$6:$G$58,Census!$G17-17)*(INDEX(Decrements!$D$6:$D$58,Census!$G17+AT$5-18)+IF(AT$5=$B17,INDEX(Decrements!$F$6:$F$58,Census!$G17+AT$5-18),0)+INDEX(Decrements!$E$6:$E$58,Census!$G17+AT$5-18)*IF((Census!$F17+AT$5)&gt;=Assumptions!$B$11,1,0))*MIN(15/26*Census!$D17*(1+Assumptions!$B$9)^AT$5*(INT((Census!$F17+AT$5))+IF((Census!$F17+AT$5)-INT((Census!$F17+AT$5))&gt;0.5,1,0)),Assumptions!$B$10))</f>
        <v>0</v>
      </c>
      <c r="AU17" s="30">
        <f>IF(AU$5&gt;$B17,0,INDEX(Decrements!$G$6:$G$58,Census!$G17+AU$5-18)/INDEX(Decrements!$G$6:$G$58,Census!$G17-17)*(INDEX(Decrements!$D$6:$D$58,Census!$G17+AU$5-18)+IF(AU$5=$B17,INDEX(Decrements!$F$6:$F$58,Census!$G17+AU$5-18),0)+INDEX(Decrements!$E$6:$E$58,Census!$G17+AU$5-18)*IF((Census!$F17+AU$5)&gt;=Assumptions!$B$11,1,0))*MIN(15/26*Census!$D17*(1+Assumptions!$B$9)^AU$5*(INT((Census!$F17+AU$5))+IF((Census!$F17+AU$5)-INT((Census!$F17+AU$5))&gt;0.5,1,0)),Assumptions!$B$10))</f>
        <v>0</v>
      </c>
    </row>
    <row r="18" spans="1:47" x14ac:dyDescent="0.3">
      <c r="A18" s="10" t="str">
        <f>Census!A18</f>
        <v>E013</v>
      </c>
      <c r="B18" s="29">
        <f>Census!H18</f>
        <v>21</v>
      </c>
      <c r="C18" s="30">
        <f>IF(C$5&gt;$B18,0,INDEX(Decrements!$G$6:$G$58,Census!$G18+C$5-18)/INDEX(Decrements!$G$6:$G$58,Census!$G18-17)*(INDEX(Decrements!$D$6:$D$58,Census!$G18+C$5-18)+IF(C$5=$B18,INDEX(Decrements!$F$6:$F$58,Census!$G18+C$5-18),0)+INDEX(Decrements!$E$6:$E$58,Census!$G18+C$5-18)*IF((Census!$F18+C$5)&gt;=Assumptions!$B$11,1,0))*MIN(15/26*Census!$D18*(1+Assumptions!$B$9)^C$5*(INT((Census!$F18+C$5))+IF((Census!$F18+C$5)-INT((Census!$F18+C$5))&gt;0.5,1,0)),Assumptions!$B$10))</f>
        <v>39773.233249572171</v>
      </c>
      <c r="D18" s="30">
        <f>IF(D$5&gt;$B18,0,INDEX(Decrements!$G$6:$G$58,Census!$G18+D$5-18)/INDEX(Decrements!$G$6:$G$58,Census!$G18-17)*(INDEX(Decrements!$D$6:$D$58,Census!$G18+D$5-18)+IF(D$5=$B18,INDEX(Decrements!$F$6:$F$58,Census!$G18+D$5-18),0)+INDEX(Decrements!$E$6:$E$58,Census!$G18+D$5-18)*IF((Census!$F18+D$5)&gt;=Assumptions!$B$11,1,0))*MIN(15/26*Census!$D18*(1+Assumptions!$B$9)^D$5*(INT((Census!$F18+D$5))+IF((Census!$F18+D$5)-INT((Census!$F18+D$5))&gt;0.5,1,0)),Assumptions!$B$10))</f>
        <v>26856.389895430049</v>
      </c>
      <c r="E18" s="30">
        <f>IF(E$5&gt;$B18,0,INDEX(Decrements!$G$6:$G$58,Census!$G18+E$5-18)/INDEX(Decrements!$G$6:$G$58,Census!$G18-17)*(INDEX(Decrements!$D$6:$D$58,Census!$G18+E$5-18)+IF(E$5=$B18,INDEX(Decrements!$F$6:$F$58,Census!$G18+E$5-18),0)+INDEX(Decrements!$E$6:$E$58,Census!$G18+E$5-18)*IF((Census!$F18+E$5)&gt;=Assumptions!$B$11,1,0))*MIN(15/26*Census!$D18*(1+Assumptions!$B$9)^E$5*(INT((Census!$F18+E$5))+IF((Census!$F18+E$5)-INT((Census!$F18+E$5))&gt;0.5,1,0)),Assumptions!$B$10))</f>
        <v>29534.824597049315</v>
      </c>
      <c r="F18" s="30">
        <f>IF(F$5&gt;$B18,0,INDEX(Decrements!$G$6:$G$58,Census!$G18+F$5-18)/INDEX(Decrements!$G$6:$G$58,Census!$G18-17)*(INDEX(Decrements!$D$6:$D$58,Census!$G18+F$5-18)+IF(F$5=$B18,INDEX(Decrements!$F$6:$F$58,Census!$G18+F$5-18),0)+INDEX(Decrements!$E$6:$E$58,Census!$G18+F$5-18)*IF((Census!$F18+F$5)&gt;=Assumptions!$B$11,1,0))*MIN(15/26*Census!$D18*(1+Assumptions!$B$9)^F$5*(INT((Census!$F18+F$5))+IF((Census!$F18+F$5)-INT((Census!$F18+F$5))&gt;0.5,1,0)),Assumptions!$B$10))</f>
        <v>32338.511230605531</v>
      </c>
      <c r="G18" s="30">
        <f>IF(G$5&gt;$B18,0,INDEX(Decrements!$G$6:$G$58,Census!$G18+G$5-18)/INDEX(Decrements!$G$6:$G$58,Census!$G18-17)*(INDEX(Decrements!$D$6:$D$58,Census!$G18+G$5-18)+IF(G$5=$B18,INDEX(Decrements!$F$6:$F$58,Census!$G18+G$5-18),0)+INDEX(Decrements!$E$6:$E$58,Census!$G18+G$5-18)*IF((Census!$F18+G$5)&gt;=Assumptions!$B$11,1,0))*MIN(15/26*Census!$D18*(1+Assumptions!$B$9)^G$5*(INT((Census!$F18+G$5))+IF((Census!$F18+G$5)-INT((Census!$F18+G$5))&gt;0.5,1,0)),Assumptions!$B$10))</f>
        <v>35272.98632929517</v>
      </c>
      <c r="H18" s="30">
        <f>IF(H$5&gt;$B18,0,INDEX(Decrements!$G$6:$G$58,Census!$G18+H$5-18)/INDEX(Decrements!$G$6:$G$58,Census!$G18-17)*(INDEX(Decrements!$D$6:$D$58,Census!$G18+H$5-18)+IF(H$5=$B18,INDEX(Decrements!$F$6:$F$58,Census!$G18+H$5-18),0)+INDEX(Decrements!$E$6:$E$58,Census!$G18+H$5-18)*IF((Census!$F18+H$5)&gt;=Assumptions!$B$11,1,0))*MIN(15/26*Census!$D18*(1+Assumptions!$B$9)^H$5*(INT((Census!$F18+H$5))+IF((Census!$F18+H$5)-INT((Census!$F18+H$5))&gt;0.5,1,0)),Assumptions!$B$10))</f>
        <v>38344.111970299033</v>
      </c>
      <c r="I18" s="30">
        <f>IF(I$5&gt;$B18,0,INDEX(Decrements!$G$6:$G$58,Census!$G18+I$5-18)/INDEX(Decrements!$G$6:$G$58,Census!$G18-17)*(INDEX(Decrements!$D$6:$D$58,Census!$G18+I$5-18)+IF(I$5=$B18,INDEX(Decrements!$F$6:$F$58,Census!$G18+I$5-18),0)+INDEX(Decrements!$E$6:$E$58,Census!$G18+I$5-18)*IF((Census!$F18+I$5)&gt;=Assumptions!$B$11,1,0))*MIN(15/26*Census!$D18*(1+Assumptions!$B$9)^I$5*(INT((Census!$F18+I$5))+IF((Census!$F18+I$5)-INT((Census!$F18+I$5))&gt;0.5,1,0)),Assumptions!$B$10))</f>
        <v>25553.105421921704</v>
      </c>
      <c r="J18" s="30">
        <f>IF(J$5&gt;$B18,0,INDEX(Decrements!$G$6:$G$58,Census!$G18+J$5-18)/INDEX(Decrements!$G$6:$G$58,Census!$G18-17)*(INDEX(Decrements!$D$6:$D$58,Census!$G18+J$5-18)+IF(J$5=$B18,INDEX(Decrements!$F$6:$F$58,Census!$G18+J$5-18),0)+INDEX(Decrements!$E$6:$E$58,Census!$G18+J$5-18)*IF((Census!$F18+J$5)&gt;=Assumptions!$B$11,1,0))*MIN(15/26*Census!$D18*(1+Assumptions!$B$9)^J$5*(INT((Census!$F18+J$5))+IF((Census!$F18+J$5)-INT((Census!$F18+J$5))&gt;0.5,1,0)),Assumptions!$B$10))</f>
        <v>28254.696978221658</v>
      </c>
      <c r="K18" s="30">
        <f>IF(K$5&gt;$B18,0,INDEX(Decrements!$G$6:$G$58,Census!$G18+K$5-18)/INDEX(Decrements!$G$6:$G$58,Census!$G18-17)*(INDEX(Decrements!$D$6:$D$58,Census!$G18+K$5-18)+IF(K$5=$B18,INDEX(Decrements!$F$6:$F$58,Census!$G18+K$5-18),0)+INDEX(Decrements!$E$6:$E$58,Census!$G18+K$5-18)*IF((Census!$F18+K$5)&gt;=Assumptions!$B$11,1,0))*MIN(15/26*Census!$D18*(1+Assumptions!$B$9)^K$5*(INT((Census!$F18+K$5))+IF((Census!$F18+K$5)-INT((Census!$F18+K$5))&gt;0.5,1,0)),Assumptions!$B$10))</f>
        <v>31172.693417682101</v>
      </c>
      <c r="L18" s="30">
        <f>IF(L$5&gt;$B18,0,INDEX(Decrements!$G$6:$G$58,Census!$G18+L$5-18)/INDEX(Decrements!$G$6:$G$58,Census!$G18-17)*(INDEX(Decrements!$D$6:$D$58,Census!$G18+L$5-18)+IF(L$5=$B18,INDEX(Decrements!$F$6:$F$58,Census!$G18+L$5-18),0)+INDEX(Decrements!$E$6:$E$58,Census!$G18+L$5-18)*IF((Census!$F18+L$5)&gt;=Assumptions!$B$11,1,0))*MIN(15/26*Census!$D18*(1+Assumptions!$B$9)^L$5*(INT((Census!$F18+L$5))+IF((Census!$F18+L$5)-INT((Census!$F18+L$5))&gt;0.5,1,0)),Assumptions!$B$10))</f>
        <v>34324.647359081995</v>
      </c>
      <c r="M18" s="30">
        <f>IF(M$5&gt;$B18,0,INDEX(Decrements!$G$6:$G$58,Census!$G18+M$5-18)/INDEX(Decrements!$G$6:$G$58,Census!$G18-17)*(INDEX(Decrements!$D$6:$D$58,Census!$G18+M$5-18)+IF(M$5=$B18,INDEX(Decrements!$F$6:$F$58,Census!$G18+M$5-18),0)+INDEX(Decrements!$E$6:$E$58,Census!$G18+M$5-18)*IF((Census!$F18+M$5)&gt;=Assumptions!$B$11,1,0))*MIN(15/26*Census!$D18*(1+Assumptions!$B$9)^M$5*(INT((Census!$F18+M$5))+IF((Census!$F18+M$5)-INT((Census!$F18+M$5))&gt;0.5,1,0)),Assumptions!$B$10))</f>
        <v>37729.790854764738</v>
      </c>
      <c r="N18" s="30">
        <f>IF(N$5&gt;$B18,0,INDEX(Decrements!$G$6:$G$58,Census!$G18+N$5-18)/INDEX(Decrements!$G$6:$G$58,Census!$G18-17)*(INDEX(Decrements!$D$6:$D$58,Census!$G18+N$5-18)+IF(N$5=$B18,INDEX(Decrements!$F$6:$F$58,Census!$G18+N$5-18),0)+INDEX(Decrements!$E$6:$E$58,Census!$G18+N$5-18)*IF((Census!$F18+N$5)&gt;=Assumptions!$B$11,1,0))*MIN(15/26*Census!$D18*(1+Assumptions!$B$9)^N$5*(INT((Census!$F18+N$5))+IF((Census!$F18+N$5)-INT((Census!$F18+N$5))&gt;0.5,1,0)),Assumptions!$B$10))</f>
        <v>27315.505595322913</v>
      </c>
      <c r="O18" s="30">
        <f>IF(O$5&gt;$B18,0,INDEX(Decrements!$G$6:$G$58,Census!$G18+O$5-18)/INDEX(Decrements!$G$6:$G$58,Census!$G18-17)*(INDEX(Decrements!$D$6:$D$58,Census!$G18+O$5-18)+IF(O$5=$B18,INDEX(Decrements!$F$6:$F$58,Census!$G18+O$5-18),0)+INDEX(Decrements!$E$6:$E$58,Census!$G18+O$5-18)*IF((Census!$F18+O$5)&gt;=Assumptions!$B$11,1,0))*MIN(15/26*Census!$D18*(1+Assumptions!$B$9)^O$5*(INT((Census!$F18+O$5))+IF((Census!$F18+O$5)-INT((Census!$F18+O$5))&gt;0.5,1,0)),Assumptions!$B$10))</f>
        <v>26974.410733549972</v>
      </c>
      <c r="P18" s="30">
        <f>IF(P$5&gt;$B18,0,INDEX(Decrements!$G$6:$G$58,Census!$G18+P$5-18)/INDEX(Decrements!$G$6:$G$58,Census!$G18-17)*(INDEX(Decrements!$D$6:$D$58,Census!$G18+P$5-18)+IF(P$5=$B18,INDEX(Decrements!$F$6:$F$58,Census!$G18+P$5-18),0)+INDEX(Decrements!$E$6:$E$58,Census!$G18+P$5-18)*IF((Census!$F18+P$5)&gt;=Assumptions!$B$11,1,0))*MIN(15/26*Census!$D18*(1+Assumptions!$B$9)^P$5*(INT((Census!$F18+P$5))+IF((Census!$F18+P$5)-INT((Census!$F18+P$5))&gt;0.5,1,0)),Assumptions!$B$10))</f>
        <v>26655.556671355662</v>
      </c>
      <c r="Q18" s="30">
        <f>IF(Q$5&gt;$B18,0,INDEX(Decrements!$G$6:$G$58,Census!$G18+Q$5-18)/INDEX(Decrements!$G$6:$G$58,Census!$G18-17)*(INDEX(Decrements!$D$6:$D$58,Census!$G18+Q$5-18)+IF(Q$5=$B18,INDEX(Decrements!$F$6:$F$58,Census!$G18+Q$5-18),0)+INDEX(Decrements!$E$6:$E$58,Census!$G18+Q$5-18)*IF((Census!$F18+Q$5)&gt;=Assumptions!$B$11,1,0))*MIN(15/26*Census!$D18*(1+Assumptions!$B$9)^Q$5*(INT((Census!$F18+Q$5))+IF((Census!$F18+Q$5)-INT((Census!$F18+Q$5))&gt;0.5,1,0)),Assumptions!$B$10))</f>
        <v>26359.412066258559</v>
      </c>
      <c r="R18" s="30">
        <f>IF(R$5&gt;$B18,0,INDEX(Decrements!$G$6:$G$58,Census!$G18+R$5-18)/INDEX(Decrements!$G$6:$G$58,Census!$G18-17)*(INDEX(Decrements!$D$6:$D$58,Census!$G18+R$5-18)+IF(R$5=$B18,INDEX(Decrements!$F$6:$F$58,Census!$G18+R$5-18),0)+INDEX(Decrements!$E$6:$E$58,Census!$G18+R$5-18)*IF((Census!$F18+R$5)&gt;=Assumptions!$B$11,1,0))*MIN(15/26*Census!$D18*(1+Assumptions!$B$9)^R$5*(INT((Census!$F18+R$5))+IF((Census!$F18+R$5)-INT((Census!$F18+R$5))&gt;0.5,1,0)),Assumptions!$B$10))</f>
        <v>26086.461041428975</v>
      </c>
      <c r="S18" s="30">
        <f>IF(S$5&gt;$B18,0,INDEX(Decrements!$G$6:$G$58,Census!$G18+S$5-18)/INDEX(Decrements!$G$6:$G$58,Census!$G18-17)*(INDEX(Decrements!$D$6:$D$58,Census!$G18+S$5-18)+IF(S$5=$B18,INDEX(Decrements!$F$6:$F$58,Census!$G18+S$5-18),0)+INDEX(Decrements!$E$6:$E$58,Census!$G18+S$5-18)*IF((Census!$F18+S$5)&gt;=Assumptions!$B$11,1,0))*MIN(15/26*Census!$D18*(1+Assumptions!$B$9)^S$5*(INT((Census!$F18+S$5))+IF((Census!$F18+S$5)-INT((Census!$F18+S$5))&gt;0.5,1,0)),Assumptions!$B$10))</f>
        <v>15238.09938259788</v>
      </c>
      <c r="T18" s="30">
        <f>IF(T$5&gt;$B18,0,INDEX(Decrements!$G$6:$G$58,Census!$G18+T$5-18)/INDEX(Decrements!$G$6:$G$58,Census!$G18-17)*(INDEX(Decrements!$D$6:$D$58,Census!$G18+T$5-18)+IF(T$5=$B18,INDEX(Decrements!$F$6:$F$58,Census!$G18+T$5-18),0)+INDEX(Decrements!$E$6:$E$58,Census!$G18+T$5-18)*IF((Census!$F18+T$5)&gt;=Assumptions!$B$11,1,0))*MIN(15/26*Census!$D18*(1+Assumptions!$B$9)^T$5*(INT((Census!$F18+T$5))+IF((Census!$F18+T$5)-INT((Census!$F18+T$5))&gt;0.5,1,0)),Assumptions!$B$10))</f>
        <v>15430.22557286387</v>
      </c>
      <c r="U18" s="30">
        <f>IF(U$5&gt;$B18,0,INDEX(Decrements!$G$6:$G$58,Census!$G18+U$5-18)/INDEX(Decrements!$G$6:$G$58,Census!$G18-17)*(INDEX(Decrements!$D$6:$D$58,Census!$G18+U$5-18)+IF(U$5=$B18,INDEX(Decrements!$F$6:$F$58,Census!$G18+U$5-18),0)+INDEX(Decrements!$E$6:$E$58,Census!$G18+U$5-18)*IF((Census!$F18+U$5)&gt;=Assumptions!$B$11,1,0))*MIN(15/26*Census!$D18*(1+Assumptions!$B$9)^U$5*(INT((Census!$F18+U$5))+IF((Census!$F18+U$5)-INT((Census!$F18+U$5))&gt;0.5,1,0)),Assumptions!$B$10))</f>
        <v>15647.772402611306</v>
      </c>
      <c r="V18" s="30">
        <f>IF(V$5&gt;$B18,0,INDEX(Decrements!$G$6:$G$58,Census!$G18+V$5-18)/INDEX(Decrements!$G$6:$G$58,Census!$G18-17)*(INDEX(Decrements!$D$6:$D$58,Census!$G18+V$5-18)+IF(V$5=$B18,INDEX(Decrements!$F$6:$F$58,Census!$G18+V$5-18),0)+INDEX(Decrements!$E$6:$E$58,Census!$G18+V$5-18)*IF((Census!$F18+V$5)&gt;=Assumptions!$B$11,1,0))*MIN(15/26*Census!$D18*(1+Assumptions!$B$9)^V$5*(INT((Census!$F18+V$5))+IF((Census!$F18+V$5)-INT((Census!$F18+V$5))&gt;0.5,1,0)),Assumptions!$B$10))</f>
        <v>15892.218432355952</v>
      </c>
      <c r="W18" s="30">
        <f>IF(W$5&gt;$B18,0,INDEX(Decrements!$G$6:$G$58,Census!$G18+W$5-18)/INDEX(Decrements!$G$6:$G$58,Census!$G18-17)*(INDEX(Decrements!$D$6:$D$58,Census!$G18+W$5-18)+IF(W$5=$B18,INDEX(Decrements!$F$6:$F$58,Census!$G18+W$5-18),0)+INDEX(Decrements!$E$6:$E$58,Census!$G18+W$5-18)*IF((Census!$F18+W$5)&gt;=Assumptions!$B$11,1,0))*MIN(15/26*Census!$D18*(1+Assumptions!$B$9)^W$5*(INT((Census!$F18+W$5))+IF((Census!$F18+W$5)-INT((Census!$F18+W$5))&gt;0.5,1,0)),Assumptions!$B$10))</f>
        <v>1002340.4356170596</v>
      </c>
      <c r="X18" s="30">
        <f>IF(X$5&gt;$B18,0,INDEX(Decrements!$G$6:$G$58,Census!$G18+X$5-18)/INDEX(Decrements!$G$6:$G$58,Census!$G18-17)*(INDEX(Decrements!$D$6:$D$58,Census!$G18+X$5-18)+IF(X$5=$B18,INDEX(Decrements!$F$6:$F$58,Census!$G18+X$5-18),0)+INDEX(Decrements!$E$6:$E$58,Census!$G18+X$5-18)*IF((Census!$F18+X$5)&gt;=Assumptions!$B$11,1,0))*MIN(15/26*Census!$D18*(1+Assumptions!$B$9)^X$5*(INT((Census!$F18+X$5))+IF((Census!$F18+X$5)-INT((Census!$F18+X$5))&gt;0.5,1,0)),Assumptions!$B$10))</f>
        <v>0</v>
      </c>
      <c r="Y18" s="30">
        <f>IF(Y$5&gt;$B18,0,INDEX(Decrements!$G$6:$G$58,Census!$G18+Y$5-18)/INDEX(Decrements!$G$6:$G$58,Census!$G18-17)*(INDEX(Decrements!$D$6:$D$58,Census!$G18+Y$5-18)+IF(Y$5=$B18,INDEX(Decrements!$F$6:$F$58,Census!$G18+Y$5-18),0)+INDEX(Decrements!$E$6:$E$58,Census!$G18+Y$5-18)*IF((Census!$F18+Y$5)&gt;=Assumptions!$B$11,1,0))*MIN(15/26*Census!$D18*(1+Assumptions!$B$9)^Y$5*(INT((Census!$F18+Y$5))+IF((Census!$F18+Y$5)-INT((Census!$F18+Y$5))&gt;0.5,1,0)),Assumptions!$B$10))</f>
        <v>0</v>
      </c>
      <c r="Z18" s="30">
        <f>IF(Z$5&gt;$B18,0,INDEX(Decrements!$G$6:$G$58,Census!$G18+Z$5-18)/INDEX(Decrements!$G$6:$G$58,Census!$G18-17)*(INDEX(Decrements!$D$6:$D$58,Census!$G18+Z$5-18)+IF(Z$5=$B18,INDEX(Decrements!$F$6:$F$58,Census!$G18+Z$5-18),0)+INDEX(Decrements!$E$6:$E$58,Census!$G18+Z$5-18)*IF((Census!$F18+Z$5)&gt;=Assumptions!$B$11,1,0))*MIN(15/26*Census!$D18*(1+Assumptions!$B$9)^Z$5*(INT((Census!$F18+Z$5))+IF((Census!$F18+Z$5)-INT((Census!$F18+Z$5))&gt;0.5,1,0)),Assumptions!$B$10))</f>
        <v>0</v>
      </c>
      <c r="AA18" s="30">
        <f>IF(AA$5&gt;$B18,0,INDEX(Decrements!$G$6:$G$58,Census!$G18+AA$5-18)/INDEX(Decrements!$G$6:$G$58,Census!$G18-17)*(INDEX(Decrements!$D$6:$D$58,Census!$G18+AA$5-18)+IF(AA$5=$B18,INDEX(Decrements!$F$6:$F$58,Census!$G18+AA$5-18),0)+INDEX(Decrements!$E$6:$E$58,Census!$G18+AA$5-18)*IF((Census!$F18+AA$5)&gt;=Assumptions!$B$11,1,0))*MIN(15/26*Census!$D18*(1+Assumptions!$B$9)^AA$5*(INT((Census!$F18+AA$5))+IF((Census!$F18+AA$5)-INT((Census!$F18+AA$5))&gt;0.5,1,0)),Assumptions!$B$10))</f>
        <v>0</v>
      </c>
      <c r="AB18" s="30">
        <f>IF(AB$5&gt;$B18,0,INDEX(Decrements!$G$6:$G$58,Census!$G18+AB$5-18)/INDEX(Decrements!$G$6:$G$58,Census!$G18-17)*(INDEX(Decrements!$D$6:$D$58,Census!$G18+AB$5-18)+IF(AB$5=$B18,INDEX(Decrements!$F$6:$F$58,Census!$G18+AB$5-18),0)+INDEX(Decrements!$E$6:$E$58,Census!$G18+AB$5-18)*IF((Census!$F18+AB$5)&gt;=Assumptions!$B$11,1,0))*MIN(15/26*Census!$D18*(1+Assumptions!$B$9)^AB$5*(INT((Census!$F18+AB$5))+IF((Census!$F18+AB$5)-INT((Census!$F18+AB$5))&gt;0.5,1,0)),Assumptions!$B$10))</f>
        <v>0</v>
      </c>
      <c r="AC18" s="30">
        <f>IF(AC$5&gt;$B18,0,INDEX(Decrements!$G$6:$G$58,Census!$G18+AC$5-18)/INDEX(Decrements!$G$6:$G$58,Census!$G18-17)*(INDEX(Decrements!$D$6:$D$58,Census!$G18+AC$5-18)+IF(AC$5=$B18,INDEX(Decrements!$F$6:$F$58,Census!$G18+AC$5-18),0)+INDEX(Decrements!$E$6:$E$58,Census!$G18+AC$5-18)*IF((Census!$F18+AC$5)&gt;=Assumptions!$B$11,1,0))*MIN(15/26*Census!$D18*(1+Assumptions!$B$9)^AC$5*(INT((Census!$F18+AC$5))+IF((Census!$F18+AC$5)-INT((Census!$F18+AC$5))&gt;0.5,1,0)),Assumptions!$B$10))</f>
        <v>0</v>
      </c>
      <c r="AD18" s="30">
        <f>IF(AD$5&gt;$B18,0,INDEX(Decrements!$G$6:$G$58,Census!$G18+AD$5-18)/INDEX(Decrements!$G$6:$G$58,Census!$G18-17)*(INDEX(Decrements!$D$6:$D$58,Census!$G18+AD$5-18)+IF(AD$5=$B18,INDEX(Decrements!$F$6:$F$58,Census!$G18+AD$5-18),0)+INDEX(Decrements!$E$6:$E$58,Census!$G18+AD$5-18)*IF((Census!$F18+AD$5)&gt;=Assumptions!$B$11,1,0))*MIN(15/26*Census!$D18*(1+Assumptions!$B$9)^AD$5*(INT((Census!$F18+AD$5))+IF((Census!$F18+AD$5)-INT((Census!$F18+AD$5))&gt;0.5,1,0)),Assumptions!$B$10))</f>
        <v>0</v>
      </c>
      <c r="AE18" s="30">
        <f>IF(AE$5&gt;$B18,0,INDEX(Decrements!$G$6:$G$58,Census!$G18+AE$5-18)/INDEX(Decrements!$G$6:$G$58,Census!$G18-17)*(INDEX(Decrements!$D$6:$D$58,Census!$G18+AE$5-18)+IF(AE$5=$B18,INDEX(Decrements!$F$6:$F$58,Census!$G18+AE$5-18),0)+INDEX(Decrements!$E$6:$E$58,Census!$G18+AE$5-18)*IF((Census!$F18+AE$5)&gt;=Assumptions!$B$11,1,0))*MIN(15/26*Census!$D18*(1+Assumptions!$B$9)^AE$5*(INT((Census!$F18+AE$5))+IF((Census!$F18+AE$5)-INT((Census!$F18+AE$5))&gt;0.5,1,0)),Assumptions!$B$10))</f>
        <v>0</v>
      </c>
      <c r="AF18" s="30">
        <f>IF(AF$5&gt;$B18,0,INDEX(Decrements!$G$6:$G$58,Census!$G18+AF$5-18)/INDEX(Decrements!$G$6:$G$58,Census!$G18-17)*(INDEX(Decrements!$D$6:$D$58,Census!$G18+AF$5-18)+IF(AF$5=$B18,INDEX(Decrements!$F$6:$F$58,Census!$G18+AF$5-18),0)+INDEX(Decrements!$E$6:$E$58,Census!$G18+AF$5-18)*IF((Census!$F18+AF$5)&gt;=Assumptions!$B$11,1,0))*MIN(15/26*Census!$D18*(1+Assumptions!$B$9)^AF$5*(INT((Census!$F18+AF$5))+IF((Census!$F18+AF$5)-INT((Census!$F18+AF$5))&gt;0.5,1,0)),Assumptions!$B$10))</f>
        <v>0</v>
      </c>
      <c r="AG18" s="30">
        <f>IF(AG$5&gt;$B18,0,INDEX(Decrements!$G$6:$G$58,Census!$G18+AG$5-18)/INDEX(Decrements!$G$6:$G$58,Census!$G18-17)*(INDEX(Decrements!$D$6:$D$58,Census!$G18+AG$5-18)+IF(AG$5=$B18,INDEX(Decrements!$F$6:$F$58,Census!$G18+AG$5-18),0)+INDEX(Decrements!$E$6:$E$58,Census!$G18+AG$5-18)*IF((Census!$F18+AG$5)&gt;=Assumptions!$B$11,1,0))*MIN(15/26*Census!$D18*(1+Assumptions!$B$9)^AG$5*(INT((Census!$F18+AG$5))+IF((Census!$F18+AG$5)-INT((Census!$F18+AG$5))&gt;0.5,1,0)),Assumptions!$B$10))</f>
        <v>0</v>
      </c>
      <c r="AH18" s="30">
        <f>IF(AH$5&gt;$B18,0,INDEX(Decrements!$G$6:$G$58,Census!$G18+AH$5-18)/INDEX(Decrements!$G$6:$G$58,Census!$G18-17)*(INDEX(Decrements!$D$6:$D$58,Census!$G18+AH$5-18)+IF(AH$5=$B18,INDEX(Decrements!$F$6:$F$58,Census!$G18+AH$5-18),0)+INDEX(Decrements!$E$6:$E$58,Census!$G18+AH$5-18)*IF((Census!$F18+AH$5)&gt;=Assumptions!$B$11,1,0))*MIN(15/26*Census!$D18*(1+Assumptions!$B$9)^AH$5*(INT((Census!$F18+AH$5))+IF((Census!$F18+AH$5)-INT((Census!$F18+AH$5))&gt;0.5,1,0)),Assumptions!$B$10))</f>
        <v>0</v>
      </c>
      <c r="AI18" s="30">
        <f>IF(AI$5&gt;$B18,0,INDEX(Decrements!$G$6:$G$58,Census!$G18+AI$5-18)/INDEX(Decrements!$G$6:$G$58,Census!$G18-17)*(INDEX(Decrements!$D$6:$D$58,Census!$G18+AI$5-18)+IF(AI$5=$B18,INDEX(Decrements!$F$6:$F$58,Census!$G18+AI$5-18),0)+INDEX(Decrements!$E$6:$E$58,Census!$G18+AI$5-18)*IF((Census!$F18+AI$5)&gt;=Assumptions!$B$11,1,0))*MIN(15/26*Census!$D18*(1+Assumptions!$B$9)^AI$5*(INT((Census!$F18+AI$5))+IF((Census!$F18+AI$5)-INT((Census!$F18+AI$5))&gt;0.5,1,0)),Assumptions!$B$10))</f>
        <v>0</v>
      </c>
      <c r="AJ18" s="30">
        <f>IF(AJ$5&gt;$B18,0,INDEX(Decrements!$G$6:$G$58,Census!$G18+AJ$5-18)/INDEX(Decrements!$G$6:$G$58,Census!$G18-17)*(INDEX(Decrements!$D$6:$D$58,Census!$G18+AJ$5-18)+IF(AJ$5=$B18,INDEX(Decrements!$F$6:$F$58,Census!$G18+AJ$5-18),0)+INDEX(Decrements!$E$6:$E$58,Census!$G18+AJ$5-18)*IF((Census!$F18+AJ$5)&gt;=Assumptions!$B$11,1,0))*MIN(15/26*Census!$D18*(1+Assumptions!$B$9)^AJ$5*(INT((Census!$F18+AJ$5))+IF((Census!$F18+AJ$5)-INT((Census!$F18+AJ$5))&gt;0.5,1,0)),Assumptions!$B$10))</f>
        <v>0</v>
      </c>
      <c r="AK18" s="30">
        <f>IF(AK$5&gt;$B18,0,INDEX(Decrements!$G$6:$G$58,Census!$G18+AK$5-18)/INDEX(Decrements!$G$6:$G$58,Census!$G18-17)*(INDEX(Decrements!$D$6:$D$58,Census!$G18+AK$5-18)+IF(AK$5=$B18,INDEX(Decrements!$F$6:$F$58,Census!$G18+AK$5-18),0)+INDEX(Decrements!$E$6:$E$58,Census!$G18+AK$5-18)*IF((Census!$F18+AK$5)&gt;=Assumptions!$B$11,1,0))*MIN(15/26*Census!$D18*(1+Assumptions!$B$9)^AK$5*(INT((Census!$F18+AK$5))+IF((Census!$F18+AK$5)-INT((Census!$F18+AK$5))&gt;0.5,1,0)),Assumptions!$B$10))</f>
        <v>0</v>
      </c>
      <c r="AL18" s="30">
        <f>IF(AL$5&gt;$B18,0,INDEX(Decrements!$G$6:$G$58,Census!$G18+AL$5-18)/INDEX(Decrements!$G$6:$G$58,Census!$G18-17)*(INDEX(Decrements!$D$6:$D$58,Census!$G18+AL$5-18)+IF(AL$5=$B18,INDEX(Decrements!$F$6:$F$58,Census!$G18+AL$5-18),0)+INDEX(Decrements!$E$6:$E$58,Census!$G18+AL$5-18)*IF((Census!$F18+AL$5)&gt;=Assumptions!$B$11,1,0))*MIN(15/26*Census!$D18*(1+Assumptions!$B$9)^AL$5*(INT((Census!$F18+AL$5))+IF((Census!$F18+AL$5)-INT((Census!$F18+AL$5))&gt;0.5,1,0)),Assumptions!$B$10))</f>
        <v>0</v>
      </c>
      <c r="AM18" s="30">
        <f>IF(AM$5&gt;$B18,0,INDEX(Decrements!$G$6:$G$58,Census!$G18+AM$5-18)/INDEX(Decrements!$G$6:$G$58,Census!$G18-17)*(INDEX(Decrements!$D$6:$D$58,Census!$G18+AM$5-18)+IF(AM$5=$B18,INDEX(Decrements!$F$6:$F$58,Census!$G18+AM$5-18),0)+INDEX(Decrements!$E$6:$E$58,Census!$G18+AM$5-18)*IF((Census!$F18+AM$5)&gt;=Assumptions!$B$11,1,0))*MIN(15/26*Census!$D18*(1+Assumptions!$B$9)^AM$5*(INT((Census!$F18+AM$5))+IF((Census!$F18+AM$5)-INT((Census!$F18+AM$5))&gt;0.5,1,0)),Assumptions!$B$10))</f>
        <v>0</v>
      </c>
      <c r="AN18" s="30">
        <f>IF(AN$5&gt;$B18,0,INDEX(Decrements!$G$6:$G$58,Census!$G18+AN$5-18)/INDEX(Decrements!$G$6:$G$58,Census!$G18-17)*(INDEX(Decrements!$D$6:$D$58,Census!$G18+AN$5-18)+IF(AN$5=$B18,INDEX(Decrements!$F$6:$F$58,Census!$G18+AN$5-18),0)+INDEX(Decrements!$E$6:$E$58,Census!$G18+AN$5-18)*IF((Census!$F18+AN$5)&gt;=Assumptions!$B$11,1,0))*MIN(15/26*Census!$D18*(1+Assumptions!$B$9)^AN$5*(INT((Census!$F18+AN$5))+IF((Census!$F18+AN$5)-INT((Census!$F18+AN$5))&gt;0.5,1,0)),Assumptions!$B$10))</f>
        <v>0</v>
      </c>
      <c r="AO18" s="30">
        <f>IF(AO$5&gt;$B18,0,INDEX(Decrements!$G$6:$G$58,Census!$G18+AO$5-18)/INDEX(Decrements!$G$6:$G$58,Census!$G18-17)*(INDEX(Decrements!$D$6:$D$58,Census!$G18+AO$5-18)+IF(AO$5=$B18,INDEX(Decrements!$F$6:$F$58,Census!$G18+AO$5-18),0)+INDEX(Decrements!$E$6:$E$58,Census!$G18+AO$5-18)*IF((Census!$F18+AO$5)&gt;=Assumptions!$B$11,1,0))*MIN(15/26*Census!$D18*(1+Assumptions!$B$9)^AO$5*(INT((Census!$F18+AO$5))+IF((Census!$F18+AO$5)-INT((Census!$F18+AO$5))&gt;0.5,1,0)),Assumptions!$B$10))</f>
        <v>0</v>
      </c>
      <c r="AP18" s="30">
        <f>IF(AP$5&gt;$B18,0,INDEX(Decrements!$G$6:$G$58,Census!$G18+AP$5-18)/INDEX(Decrements!$G$6:$G$58,Census!$G18-17)*(INDEX(Decrements!$D$6:$D$58,Census!$G18+AP$5-18)+IF(AP$5=$B18,INDEX(Decrements!$F$6:$F$58,Census!$G18+AP$5-18),0)+INDEX(Decrements!$E$6:$E$58,Census!$G18+AP$5-18)*IF((Census!$F18+AP$5)&gt;=Assumptions!$B$11,1,0))*MIN(15/26*Census!$D18*(1+Assumptions!$B$9)^AP$5*(INT((Census!$F18+AP$5))+IF((Census!$F18+AP$5)-INT((Census!$F18+AP$5))&gt;0.5,1,0)),Assumptions!$B$10))</f>
        <v>0</v>
      </c>
      <c r="AQ18" s="30">
        <f>IF(AQ$5&gt;$B18,0,INDEX(Decrements!$G$6:$G$58,Census!$G18+AQ$5-18)/INDEX(Decrements!$G$6:$G$58,Census!$G18-17)*(INDEX(Decrements!$D$6:$D$58,Census!$G18+AQ$5-18)+IF(AQ$5=$B18,INDEX(Decrements!$F$6:$F$58,Census!$G18+AQ$5-18),0)+INDEX(Decrements!$E$6:$E$58,Census!$G18+AQ$5-18)*IF((Census!$F18+AQ$5)&gt;=Assumptions!$B$11,1,0))*MIN(15/26*Census!$D18*(1+Assumptions!$B$9)^AQ$5*(INT((Census!$F18+AQ$5))+IF((Census!$F18+AQ$5)-INT((Census!$F18+AQ$5))&gt;0.5,1,0)),Assumptions!$B$10))</f>
        <v>0</v>
      </c>
      <c r="AR18" s="30">
        <f>IF(AR$5&gt;$B18,0,INDEX(Decrements!$G$6:$G$58,Census!$G18+AR$5-18)/INDEX(Decrements!$G$6:$G$58,Census!$G18-17)*(INDEX(Decrements!$D$6:$D$58,Census!$G18+AR$5-18)+IF(AR$5=$B18,INDEX(Decrements!$F$6:$F$58,Census!$G18+AR$5-18),0)+INDEX(Decrements!$E$6:$E$58,Census!$G18+AR$5-18)*IF((Census!$F18+AR$5)&gt;=Assumptions!$B$11,1,0))*MIN(15/26*Census!$D18*(1+Assumptions!$B$9)^AR$5*(INT((Census!$F18+AR$5))+IF((Census!$F18+AR$5)-INT((Census!$F18+AR$5))&gt;0.5,1,0)),Assumptions!$B$10))</f>
        <v>0</v>
      </c>
      <c r="AS18" s="30">
        <f>IF(AS$5&gt;$B18,0,INDEX(Decrements!$G$6:$G$58,Census!$G18+AS$5-18)/INDEX(Decrements!$G$6:$G$58,Census!$G18-17)*(INDEX(Decrements!$D$6:$D$58,Census!$G18+AS$5-18)+IF(AS$5=$B18,INDEX(Decrements!$F$6:$F$58,Census!$G18+AS$5-18),0)+INDEX(Decrements!$E$6:$E$58,Census!$G18+AS$5-18)*IF((Census!$F18+AS$5)&gt;=Assumptions!$B$11,1,0))*MIN(15/26*Census!$D18*(1+Assumptions!$B$9)^AS$5*(INT((Census!$F18+AS$5))+IF((Census!$F18+AS$5)-INT((Census!$F18+AS$5))&gt;0.5,1,0)),Assumptions!$B$10))</f>
        <v>0</v>
      </c>
      <c r="AT18" s="30">
        <f>IF(AT$5&gt;$B18,0,INDEX(Decrements!$G$6:$G$58,Census!$G18+AT$5-18)/INDEX(Decrements!$G$6:$G$58,Census!$G18-17)*(INDEX(Decrements!$D$6:$D$58,Census!$G18+AT$5-18)+IF(AT$5=$B18,INDEX(Decrements!$F$6:$F$58,Census!$G18+AT$5-18),0)+INDEX(Decrements!$E$6:$E$58,Census!$G18+AT$5-18)*IF((Census!$F18+AT$5)&gt;=Assumptions!$B$11,1,0))*MIN(15/26*Census!$D18*(1+Assumptions!$B$9)^AT$5*(INT((Census!$F18+AT$5))+IF((Census!$F18+AT$5)-INT((Census!$F18+AT$5))&gt;0.5,1,0)),Assumptions!$B$10))</f>
        <v>0</v>
      </c>
      <c r="AU18" s="30">
        <f>IF(AU$5&gt;$B18,0,INDEX(Decrements!$G$6:$G$58,Census!$G18+AU$5-18)/INDEX(Decrements!$G$6:$G$58,Census!$G18-17)*(INDEX(Decrements!$D$6:$D$58,Census!$G18+AU$5-18)+IF(AU$5=$B18,INDEX(Decrements!$F$6:$F$58,Census!$G18+AU$5-18),0)+INDEX(Decrements!$E$6:$E$58,Census!$G18+AU$5-18)*IF((Census!$F18+AU$5)&gt;=Assumptions!$B$11,1,0))*MIN(15/26*Census!$D18*(1+Assumptions!$B$9)^AU$5*(INT((Census!$F18+AU$5))+IF((Census!$F18+AU$5)-INT((Census!$F18+AU$5))&gt;0.5,1,0)),Assumptions!$B$10))</f>
        <v>0</v>
      </c>
    </row>
    <row r="19" spans="1:47" x14ac:dyDescent="0.3">
      <c r="A19" s="10" t="str">
        <f>Census!A19</f>
        <v>E014</v>
      </c>
      <c r="B19" s="29">
        <f>Census!H19</f>
        <v>25</v>
      </c>
      <c r="C19" s="30">
        <f>IF(C$5&gt;$B19,0,INDEX(Decrements!$G$6:$G$58,Census!$G19+C$5-18)/INDEX(Decrements!$G$6:$G$58,Census!$G19-17)*(INDEX(Decrements!$D$6:$D$58,Census!$G19+C$5-18)+IF(C$5=$B19,INDEX(Decrements!$F$6:$F$58,Census!$G19+C$5-18),0)+INDEX(Decrements!$E$6:$E$58,Census!$G19+C$5-18)*IF((Census!$F19+C$5)&gt;=Assumptions!$B$11,1,0))*MIN(15/26*Census!$D19*(1+Assumptions!$B$9)^C$5*(INT((Census!$F19+C$5))+IF((Census!$F19+C$5)-INT((Census!$F19+C$5))&gt;0.5,1,0)),Assumptions!$B$10))</f>
        <v>16333.877596201834</v>
      </c>
      <c r="D19" s="30">
        <f>IF(D$5&gt;$B19,0,INDEX(Decrements!$G$6:$G$58,Census!$G19+D$5-18)/INDEX(Decrements!$G$6:$G$58,Census!$G19-17)*(INDEX(Decrements!$D$6:$D$58,Census!$G19+D$5-18)+IF(D$5=$B19,INDEX(Decrements!$F$6:$F$58,Census!$G19+D$5-18),0)+INDEX(Decrements!$E$6:$E$58,Census!$G19+D$5-18)*IF((Census!$F19+D$5)&gt;=Assumptions!$B$11,1,0))*MIN(15/26*Census!$D19*(1+Assumptions!$B$9)^D$5*(INT((Census!$F19+D$5))+IF((Census!$F19+D$5)-INT((Census!$F19+D$5))&gt;0.5,1,0)),Assumptions!$B$10))</f>
        <v>18928.171419442577</v>
      </c>
      <c r="E19" s="30">
        <f>IF(E$5&gt;$B19,0,INDEX(Decrements!$G$6:$G$58,Census!$G19+E$5-18)/INDEX(Decrements!$G$6:$G$58,Census!$G19-17)*(INDEX(Decrements!$D$6:$D$58,Census!$G19+E$5-18)+IF(E$5=$B19,INDEX(Decrements!$F$6:$F$58,Census!$G19+E$5-18),0)+INDEX(Decrements!$E$6:$E$58,Census!$G19+E$5-18)*IF((Census!$F19+E$5)&gt;=Assumptions!$B$11,1,0))*MIN(15/26*Census!$D19*(1+Assumptions!$B$9)^E$5*(INT((Census!$F19+E$5))+IF((Census!$F19+E$5)-INT((Census!$F19+E$5))&gt;0.5,1,0)),Assumptions!$B$10))</f>
        <v>21487.030871152743</v>
      </c>
      <c r="F19" s="30">
        <f>IF(F$5&gt;$B19,0,INDEX(Decrements!$G$6:$G$58,Census!$G19+F$5-18)/INDEX(Decrements!$G$6:$G$58,Census!$G19-17)*(INDEX(Decrements!$D$6:$D$58,Census!$G19+F$5-18)+IF(F$5=$B19,INDEX(Decrements!$F$6:$F$58,Census!$G19+F$5-18),0)+INDEX(Decrements!$E$6:$E$58,Census!$G19+F$5-18)*IF((Census!$F19+F$5)&gt;=Assumptions!$B$11,1,0))*MIN(15/26*Census!$D19*(1+Assumptions!$B$9)^F$5*(INT((Census!$F19+F$5))+IF((Census!$F19+F$5)-INT((Census!$F19+F$5))&gt;0.5,1,0)),Assumptions!$B$10))</f>
        <v>24010.888375020906</v>
      </c>
      <c r="G19" s="30">
        <f>IF(G$5&gt;$B19,0,INDEX(Decrements!$G$6:$G$58,Census!$G19+G$5-18)/INDEX(Decrements!$G$6:$G$58,Census!$G19-17)*(INDEX(Decrements!$D$6:$D$58,Census!$G19+G$5-18)+IF(G$5=$B19,INDEX(Decrements!$F$6:$F$58,Census!$G19+G$5-18),0)+INDEX(Decrements!$E$6:$E$58,Census!$G19+G$5-18)*IF((Census!$F19+G$5)&gt;=Assumptions!$B$11,1,0))*MIN(15/26*Census!$D19*(1+Assumptions!$B$9)^G$5*(INT((Census!$F19+G$5))+IF((Census!$F19+G$5)-INT((Census!$F19+G$5))&gt;0.5,1,0)),Assumptions!$B$10))</f>
        <v>26500.178805286658</v>
      </c>
      <c r="H19" s="30">
        <f>IF(H$5&gt;$B19,0,INDEX(Decrements!$G$6:$G$58,Census!$G19+H$5-18)/INDEX(Decrements!$G$6:$G$58,Census!$G19-17)*(INDEX(Decrements!$D$6:$D$58,Census!$G19+H$5-18)+IF(H$5=$B19,INDEX(Decrements!$F$6:$F$58,Census!$G19+H$5-18),0)+INDEX(Decrements!$E$6:$E$58,Census!$G19+H$5-18)*IF((Census!$F19+H$5)&gt;=Assumptions!$B$11,1,0))*MIN(15/26*Census!$D19*(1+Assumptions!$B$9)^H$5*(INT((Census!$F19+H$5))+IF((Census!$F19+H$5)-INT((Census!$F19+H$5))&gt;0.5,1,0)),Assumptions!$B$10))</f>
        <v>18277.363207228522</v>
      </c>
      <c r="I19" s="30">
        <f>IF(I$5&gt;$B19,0,INDEX(Decrements!$G$6:$G$58,Census!$G19+I$5-18)/INDEX(Decrements!$G$6:$G$58,Census!$G19-17)*(INDEX(Decrements!$D$6:$D$58,Census!$G19+I$5-18)+IF(I$5=$B19,INDEX(Decrements!$F$6:$F$58,Census!$G19+I$5-18),0)+INDEX(Decrements!$E$6:$E$58,Census!$G19+I$5-18)*IF((Census!$F19+I$5)&gt;=Assumptions!$B$11,1,0))*MIN(15/26*Census!$D19*(1+Assumptions!$B$9)^I$5*(INT((Census!$F19+I$5))+IF((Census!$F19+I$5)-INT((Census!$F19+I$5))&gt;0.5,1,0)),Assumptions!$B$10))</f>
        <v>20465.65470322996</v>
      </c>
      <c r="J19" s="30">
        <f>IF(J$5&gt;$B19,0,INDEX(Decrements!$G$6:$G$58,Census!$G19+J$5-18)/INDEX(Decrements!$G$6:$G$58,Census!$G19-17)*(INDEX(Decrements!$D$6:$D$58,Census!$G19+J$5-18)+IF(J$5=$B19,INDEX(Decrements!$F$6:$F$58,Census!$G19+J$5-18),0)+INDEX(Decrements!$E$6:$E$58,Census!$G19+J$5-18)*IF((Census!$F19+J$5)&gt;=Assumptions!$B$11,1,0))*MIN(15/26*Census!$D19*(1+Assumptions!$B$9)^J$5*(INT((Census!$F19+J$5))+IF((Census!$F19+J$5)-INT((Census!$F19+J$5))&gt;0.5,1,0)),Assumptions!$B$10))</f>
        <v>22758.553290984179</v>
      </c>
      <c r="K19" s="30">
        <f>IF(K$5&gt;$B19,0,INDEX(Decrements!$G$6:$G$58,Census!$G19+K$5-18)/INDEX(Decrements!$G$6:$G$58,Census!$G19-17)*(INDEX(Decrements!$D$6:$D$58,Census!$G19+K$5-18)+IF(K$5=$B19,INDEX(Decrements!$F$6:$F$58,Census!$G19+K$5-18),0)+INDEX(Decrements!$E$6:$E$58,Census!$G19+K$5-18)*IF((Census!$F19+K$5)&gt;=Assumptions!$B$11,1,0))*MIN(15/26*Census!$D19*(1+Assumptions!$B$9)^K$5*(INT((Census!$F19+K$5))+IF((Census!$F19+K$5)-INT((Census!$F19+K$5))&gt;0.5,1,0)),Assumptions!$B$10))</f>
        <v>25160.693295774152</v>
      </c>
      <c r="L19" s="30">
        <f>IF(L$5&gt;$B19,0,INDEX(Decrements!$G$6:$G$58,Census!$G19+L$5-18)/INDEX(Decrements!$G$6:$G$58,Census!$G19-17)*(INDEX(Decrements!$D$6:$D$58,Census!$G19+L$5-18)+IF(L$5=$B19,INDEX(Decrements!$F$6:$F$58,Census!$G19+L$5-18),0)+INDEX(Decrements!$E$6:$E$58,Census!$G19+L$5-18)*IF((Census!$F19+L$5)&gt;=Assumptions!$B$11,1,0))*MIN(15/26*Census!$D19*(1+Assumptions!$B$9)^L$5*(INT((Census!$F19+L$5))+IF((Census!$F19+L$5)-INT((Census!$F19+L$5))&gt;0.5,1,0)),Assumptions!$B$10))</f>
        <v>27676.979851768432</v>
      </c>
      <c r="M19" s="30">
        <f>IF(M$5&gt;$B19,0,INDEX(Decrements!$G$6:$G$58,Census!$G19+M$5-18)/INDEX(Decrements!$G$6:$G$58,Census!$G19-17)*(INDEX(Decrements!$D$6:$D$58,Census!$G19+M$5-18)+IF(M$5=$B19,INDEX(Decrements!$F$6:$F$58,Census!$G19+M$5-18),0)+INDEX(Decrements!$E$6:$E$58,Census!$G19+M$5-18)*IF((Census!$F19+M$5)&gt;=Assumptions!$B$11,1,0))*MIN(15/26*Census!$D19*(1+Assumptions!$B$9)^M$5*(INT((Census!$F19+M$5))+IF((Census!$F19+M$5)-INT((Census!$F19+M$5))&gt;0.5,1,0)),Assumptions!$B$10))</f>
        <v>18638.515871390024</v>
      </c>
      <c r="N19" s="30">
        <f>IF(N$5&gt;$B19,0,INDEX(Decrements!$G$6:$G$58,Census!$G19+N$5-18)/INDEX(Decrements!$G$6:$G$58,Census!$G19-17)*(INDEX(Decrements!$D$6:$D$58,Census!$G19+N$5-18)+IF(N$5=$B19,INDEX(Decrements!$F$6:$F$58,Census!$G19+N$5-18),0)+INDEX(Decrements!$E$6:$E$58,Census!$G19+N$5-18)*IF((Census!$F19+N$5)&gt;=Assumptions!$B$11,1,0))*MIN(15/26*Census!$D19*(1+Assumptions!$B$9)^N$5*(INT((Census!$F19+N$5))+IF((Census!$F19+N$5)-INT((Census!$F19+N$5))&gt;0.5,1,0)),Assumptions!$B$10))</f>
        <v>20802.275279750698</v>
      </c>
      <c r="O19" s="30">
        <f>IF(O$5&gt;$B19,0,INDEX(Decrements!$G$6:$G$58,Census!$G19+O$5-18)/INDEX(Decrements!$G$6:$G$58,Census!$G19-17)*(INDEX(Decrements!$D$6:$D$58,Census!$G19+O$5-18)+IF(O$5=$B19,INDEX(Decrements!$F$6:$F$58,Census!$G19+O$5-18),0)+INDEX(Decrements!$E$6:$E$58,Census!$G19+O$5-18)*IF((Census!$F19+O$5)&gt;=Assumptions!$B$11,1,0))*MIN(15/26*Census!$D19*(1+Assumptions!$B$9)^O$5*(INT((Census!$F19+O$5))+IF((Census!$F19+O$5)-INT((Census!$F19+O$5))&gt;0.5,1,0)),Assumptions!$B$10))</f>
        <v>23143.487211159183</v>
      </c>
      <c r="P19" s="30">
        <f>IF(P$5&gt;$B19,0,INDEX(Decrements!$G$6:$G$58,Census!$G19+P$5-18)/INDEX(Decrements!$G$6:$G$58,Census!$G19-17)*(INDEX(Decrements!$D$6:$D$58,Census!$G19+P$5-18)+IF(P$5=$B19,INDEX(Decrements!$F$6:$F$58,Census!$G19+P$5-18),0)+INDEX(Decrements!$E$6:$E$58,Census!$G19+P$5-18)*IF((Census!$F19+P$5)&gt;=Assumptions!$B$11,1,0))*MIN(15/26*Census!$D19*(1+Assumptions!$B$9)^P$5*(INT((Census!$F19+P$5))+IF((Census!$F19+P$5)-INT((Census!$F19+P$5))&gt;0.5,1,0)),Assumptions!$B$10))</f>
        <v>25676.644233194591</v>
      </c>
      <c r="Q19" s="30">
        <f>IF(Q$5&gt;$B19,0,INDEX(Decrements!$G$6:$G$58,Census!$G19+Q$5-18)/INDEX(Decrements!$G$6:$G$58,Census!$G19-17)*(INDEX(Decrements!$D$6:$D$58,Census!$G19+Q$5-18)+IF(Q$5=$B19,INDEX(Decrements!$F$6:$F$58,Census!$G19+Q$5-18),0)+INDEX(Decrements!$E$6:$E$58,Census!$G19+Q$5-18)*IF((Census!$F19+Q$5)&gt;=Assumptions!$B$11,1,0))*MIN(15/26*Census!$D19*(1+Assumptions!$B$9)^Q$5*(INT((Census!$F19+Q$5))+IF((Census!$F19+Q$5)-INT((Census!$F19+Q$5))&gt;0.5,1,0)),Assumptions!$B$10))</f>
        <v>28417.627480717547</v>
      </c>
      <c r="R19" s="30">
        <f>IF(R$5&gt;$B19,0,INDEX(Decrements!$G$6:$G$58,Census!$G19+R$5-18)/INDEX(Decrements!$G$6:$G$58,Census!$G19-17)*(INDEX(Decrements!$D$6:$D$58,Census!$G19+R$5-18)+IF(R$5=$B19,INDEX(Decrements!$F$6:$F$58,Census!$G19+R$5-18),0)+INDEX(Decrements!$E$6:$E$58,Census!$G19+R$5-18)*IF((Census!$F19+R$5)&gt;=Assumptions!$B$11,1,0))*MIN(15/26*Census!$D19*(1+Assumptions!$B$9)^R$5*(INT((Census!$F19+R$5))+IF((Census!$F19+R$5)-INT((Census!$F19+R$5))&gt;0.5,1,0)),Assumptions!$B$10))</f>
        <v>19483.954010982579</v>
      </c>
      <c r="S19" s="30">
        <f>IF(S$5&gt;$B19,0,INDEX(Decrements!$G$6:$G$58,Census!$G19+S$5-18)/INDEX(Decrements!$G$6:$G$58,Census!$G19-17)*(INDEX(Decrements!$D$6:$D$58,Census!$G19+S$5-18)+IF(S$5=$B19,INDEX(Decrements!$F$6:$F$58,Census!$G19+S$5-18),0)+INDEX(Decrements!$E$6:$E$58,Census!$G19+S$5-18)*IF((Census!$F19+S$5)&gt;=Assumptions!$B$11,1,0))*MIN(15/26*Census!$D19*(1+Assumptions!$B$9)^S$5*(INT((Census!$F19+S$5))+IF((Census!$F19+S$5)-INT((Census!$F19+S$5))&gt;0.5,1,0)),Assumptions!$B$10))</f>
        <v>19240.653495201372</v>
      </c>
      <c r="T19" s="30">
        <f>IF(T$5&gt;$B19,0,INDEX(Decrements!$G$6:$G$58,Census!$G19+T$5-18)/INDEX(Decrements!$G$6:$G$58,Census!$G19-17)*(INDEX(Decrements!$D$6:$D$58,Census!$G19+T$5-18)+IF(T$5=$B19,INDEX(Decrements!$F$6:$F$58,Census!$G19+T$5-18),0)+INDEX(Decrements!$E$6:$E$58,Census!$G19+T$5-18)*IF((Census!$F19+T$5)&gt;=Assumptions!$B$11,1,0))*MIN(15/26*Census!$D19*(1+Assumptions!$B$9)^T$5*(INT((Census!$F19+T$5))+IF((Census!$F19+T$5)-INT((Census!$F19+T$5))&gt;0.5,1,0)),Assumptions!$B$10))</f>
        <v>19013.217182066732</v>
      </c>
      <c r="U19" s="30">
        <f>IF(U$5&gt;$B19,0,INDEX(Decrements!$G$6:$G$58,Census!$G19+U$5-18)/INDEX(Decrements!$G$6:$G$58,Census!$G19-17)*(INDEX(Decrements!$D$6:$D$58,Census!$G19+U$5-18)+IF(U$5=$B19,INDEX(Decrements!$F$6:$F$58,Census!$G19+U$5-18),0)+INDEX(Decrements!$E$6:$E$58,Census!$G19+U$5-18)*IF((Census!$F19+U$5)&gt;=Assumptions!$B$11,1,0))*MIN(15/26*Census!$D19*(1+Assumptions!$B$9)^U$5*(INT((Census!$F19+U$5))+IF((Census!$F19+U$5)-INT((Census!$F19+U$5))&gt;0.5,1,0)),Assumptions!$B$10))</f>
        <v>18801.979361621612</v>
      </c>
      <c r="V19" s="30">
        <f>IF(V$5&gt;$B19,0,INDEX(Decrements!$G$6:$G$58,Census!$G19+V$5-18)/INDEX(Decrements!$G$6:$G$58,Census!$G19-17)*(INDEX(Decrements!$D$6:$D$58,Census!$G19+V$5-18)+IF(V$5=$B19,INDEX(Decrements!$F$6:$F$58,Census!$G19+V$5-18),0)+INDEX(Decrements!$E$6:$E$58,Census!$G19+V$5-18)*IF((Census!$F19+V$5)&gt;=Assumptions!$B$11,1,0))*MIN(15/26*Census!$D19*(1+Assumptions!$B$9)^V$5*(INT((Census!$F19+V$5))+IF((Census!$F19+V$5)-INT((Census!$F19+V$5))&gt;0.5,1,0)),Assumptions!$B$10))</f>
        <v>18607.285355447297</v>
      </c>
      <c r="W19" s="30">
        <f>IF(W$5&gt;$B19,0,INDEX(Decrements!$G$6:$G$58,Census!$G19+W$5-18)/INDEX(Decrements!$G$6:$G$58,Census!$G19-17)*(INDEX(Decrements!$D$6:$D$58,Census!$G19+W$5-18)+IF(W$5=$B19,INDEX(Decrements!$F$6:$F$58,Census!$G19+W$5-18),0)+INDEX(Decrements!$E$6:$E$58,Census!$G19+W$5-18)*IF((Census!$F19+W$5)&gt;=Assumptions!$B$11,1,0))*MIN(15/26*Census!$D19*(1+Assumptions!$B$9)^W$5*(INT((Census!$F19+W$5))+IF((Census!$F19+W$5)-INT((Census!$F19+W$5))&gt;0.5,1,0)),Assumptions!$B$10))</f>
        <v>10869.226877358456</v>
      </c>
      <c r="X19" s="30">
        <f>IF(X$5&gt;$B19,0,INDEX(Decrements!$G$6:$G$58,Census!$G19+X$5-18)/INDEX(Decrements!$G$6:$G$58,Census!$G19-17)*(INDEX(Decrements!$D$6:$D$58,Census!$G19+X$5-18)+IF(X$5=$B19,INDEX(Decrements!$F$6:$F$58,Census!$G19+X$5-18),0)+INDEX(Decrements!$E$6:$E$58,Census!$G19+X$5-18)*IF((Census!$F19+X$5)&gt;=Assumptions!$B$11,1,0))*MIN(15/26*Census!$D19*(1+Assumptions!$B$9)^X$5*(INT((Census!$F19+X$5))+IF((Census!$F19+X$5)-INT((Census!$F19+X$5))&gt;0.5,1,0)),Assumptions!$B$10))</f>
        <v>11006.26910937516</v>
      </c>
      <c r="Y19" s="30">
        <f>IF(Y$5&gt;$B19,0,INDEX(Decrements!$G$6:$G$58,Census!$G19+Y$5-18)/INDEX(Decrements!$G$6:$G$58,Census!$G19-17)*(INDEX(Decrements!$D$6:$D$58,Census!$G19+Y$5-18)+IF(Y$5=$B19,INDEX(Decrements!$F$6:$F$58,Census!$G19+Y$5-18),0)+INDEX(Decrements!$E$6:$E$58,Census!$G19+Y$5-18)*IF((Census!$F19+Y$5)&gt;=Assumptions!$B$11,1,0))*MIN(15/26*Census!$D19*(1+Assumptions!$B$9)^Y$5*(INT((Census!$F19+Y$5))+IF((Census!$F19+Y$5)-INT((Census!$F19+Y$5))&gt;0.5,1,0)),Assumptions!$B$10))</f>
        <v>11161.443701009295</v>
      </c>
      <c r="Z19" s="30">
        <f>IF(Z$5&gt;$B19,0,INDEX(Decrements!$G$6:$G$58,Census!$G19+Z$5-18)/INDEX(Decrements!$G$6:$G$58,Census!$G19-17)*(INDEX(Decrements!$D$6:$D$58,Census!$G19+Z$5-18)+IF(Z$5=$B19,INDEX(Decrements!$F$6:$F$58,Census!$G19+Z$5-18),0)+INDEX(Decrements!$E$6:$E$58,Census!$G19+Z$5-18)*IF((Census!$F19+Z$5)&gt;=Assumptions!$B$11,1,0))*MIN(15/26*Census!$D19*(1+Assumptions!$B$9)^Z$5*(INT((Census!$F19+Z$5))+IF((Census!$F19+Z$5)-INT((Census!$F19+Z$5))&gt;0.5,1,0)),Assumptions!$B$10))</f>
        <v>11335.805298860425</v>
      </c>
      <c r="AA19" s="30">
        <f>IF(AA$5&gt;$B19,0,INDEX(Decrements!$G$6:$G$58,Census!$G19+AA$5-18)/INDEX(Decrements!$G$6:$G$58,Census!$G19-17)*(INDEX(Decrements!$D$6:$D$58,Census!$G19+AA$5-18)+IF(AA$5=$B19,INDEX(Decrements!$F$6:$F$58,Census!$G19+AA$5-18),0)+INDEX(Decrements!$E$6:$E$58,Census!$G19+AA$5-18)*IF((Census!$F19+AA$5)&gt;=Assumptions!$B$11,1,0))*MIN(15/26*Census!$D19*(1+Assumptions!$B$9)^AA$5*(INT((Census!$F19+AA$5))+IF((Census!$F19+AA$5)-INT((Census!$F19+AA$5))&gt;0.5,1,0)),Assumptions!$B$10))</f>
        <v>714962.23574404465</v>
      </c>
      <c r="AB19" s="30">
        <f>IF(AB$5&gt;$B19,0,INDEX(Decrements!$G$6:$G$58,Census!$G19+AB$5-18)/INDEX(Decrements!$G$6:$G$58,Census!$G19-17)*(INDEX(Decrements!$D$6:$D$58,Census!$G19+AB$5-18)+IF(AB$5=$B19,INDEX(Decrements!$F$6:$F$58,Census!$G19+AB$5-18),0)+INDEX(Decrements!$E$6:$E$58,Census!$G19+AB$5-18)*IF((Census!$F19+AB$5)&gt;=Assumptions!$B$11,1,0))*MIN(15/26*Census!$D19*(1+Assumptions!$B$9)^AB$5*(INT((Census!$F19+AB$5))+IF((Census!$F19+AB$5)-INT((Census!$F19+AB$5))&gt;0.5,1,0)),Assumptions!$B$10))</f>
        <v>0</v>
      </c>
      <c r="AC19" s="30">
        <f>IF(AC$5&gt;$B19,0,INDEX(Decrements!$G$6:$G$58,Census!$G19+AC$5-18)/INDEX(Decrements!$G$6:$G$58,Census!$G19-17)*(INDEX(Decrements!$D$6:$D$58,Census!$G19+AC$5-18)+IF(AC$5=$B19,INDEX(Decrements!$F$6:$F$58,Census!$G19+AC$5-18),0)+INDEX(Decrements!$E$6:$E$58,Census!$G19+AC$5-18)*IF((Census!$F19+AC$5)&gt;=Assumptions!$B$11,1,0))*MIN(15/26*Census!$D19*(1+Assumptions!$B$9)^AC$5*(INT((Census!$F19+AC$5))+IF((Census!$F19+AC$5)-INT((Census!$F19+AC$5))&gt;0.5,1,0)),Assumptions!$B$10))</f>
        <v>0</v>
      </c>
      <c r="AD19" s="30">
        <f>IF(AD$5&gt;$B19,0,INDEX(Decrements!$G$6:$G$58,Census!$G19+AD$5-18)/INDEX(Decrements!$G$6:$G$58,Census!$G19-17)*(INDEX(Decrements!$D$6:$D$58,Census!$G19+AD$5-18)+IF(AD$5=$B19,INDEX(Decrements!$F$6:$F$58,Census!$G19+AD$5-18),0)+INDEX(Decrements!$E$6:$E$58,Census!$G19+AD$5-18)*IF((Census!$F19+AD$5)&gt;=Assumptions!$B$11,1,0))*MIN(15/26*Census!$D19*(1+Assumptions!$B$9)^AD$5*(INT((Census!$F19+AD$5))+IF((Census!$F19+AD$5)-INT((Census!$F19+AD$5))&gt;0.5,1,0)),Assumptions!$B$10))</f>
        <v>0</v>
      </c>
      <c r="AE19" s="30">
        <f>IF(AE$5&gt;$B19,0,INDEX(Decrements!$G$6:$G$58,Census!$G19+AE$5-18)/INDEX(Decrements!$G$6:$G$58,Census!$G19-17)*(INDEX(Decrements!$D$6:$D$58,Census!$G19+AE$5-18)+IF(AE$5=$B19,INDEX(Decrements!$F$6:$F$58,Census!$G19+AE$5-18),0)+INDEX(Decrements!$E$6:$E$58,Census!$G19+AE$5-18)*IF((Census!$F19+AE$5)&gt;=Assumptions!$B$11,1,0))*MIN(15/26*Census!$D19*(1+Assumptions!$B$9)^AE$5*(INT((Census!$F19+AE$5))+IF((Census!$F19+AE$5)-INT((Census!$F19+AE$5))&gt;0.5,1,0)),Assumptions!$B$10))</f>
        <v>0</v>
      </c>
      <c r="AF19" s="30">
        <f>IF(AF$5&gt;$B19,0,INDEX(Decrements!$G$6:$G$58,Census!$G19+AF$5-18)/INDEX(Decrements!$G$6:$G$58,Census!$G19-17)*(INDEX(Decrements!$D$6:$D$58,Census!$G19+AF$5-18)+IF(AF$5=$B19,INDEX(Decrements!$F$6:$F$58,Census!$G19+AF$5-18),0)+INDEX(Decrements!$E$6:$E$58,Census!$G19+AF$5-18)*IF((Census!$F19+AF$5)&gt;=Assumptions!$B$11,1,0))*MIN(15/26*Census!$D19*(1+Assumptions!$B$9)^AF$5*(INT((Census!$F19+AF$5))+IF((Census!$F19+AF$5)-INT((Census!$F19+AF$5))&gt;0.5,1,0)),Assumptions!$B$10))</f>
        <v>0</v>
      </c>
      <c r="AG19" s="30">
        <f>IF(AG$5&gt;$B19,0,INDEX(Decrements!$G$6:$G$58,Census!$G19+AG$5-18)/INDEX(Decrements!$G$6:$G$58,Census!$G19-17)*(INDEX(Decrements!$D$6:$D$58,Census!$G19+AG$5-18)+IF(AG$5=$B19,INDEX(Decrements!$F$6:$F$58,Census!$G19+AG$5-18),0)+INDEX(Decrements!$E$6:$E$58,Census!$G19+AG$5-18)*IF((Census!$F19+AG$5)&gt;=Assumptions!$B$11,1,0))*MIN(15/26*Census!$D19*(1+Assumptions!$B$9)^AG$5*(INT((Census!$F19+AG$5))+IF((Census!$F19+AG$5)-INT((Census!$F19+AG$5))&gt;0.5,1,0)),Assumptions!$B$10))</f>
        <v>0</v>
      </c>
      <c r="AH19" s="30">
        <f>IF(AH$5&gt;$B19,0,INDEX(Decrements!$G$6:$G$58,Census!$G19+AH$5-18)/INDEX(Decrements!$G$6:$G$58,Census!$G19-17)*(INDEX(Decrements!$D$6:$D$58,Census!$G19+AH$5-18)+IF(AH$5=$B19,INDEX(Decrements!$F$6:$F$58,Census!$G19+AH$5-18),0)+INDEX(Decrements!$E$6:$E$58,Census!$G19+AH$5-18)*IF((Census!$F19+AH$5)&gt;=Assumptions!$B$11,1,0))*MIN(15/26*Census!$D19*(1+Assumptions!$B$9)^AH$5*(INT((Census!$F19+AH$5))+IF((Census!$F19+AH$5)-INT((Census!$F19+AH$5))&gt;0.5,1,0)),Assumptions!$B$10))</f>
        <v>0</v>
      </c>
      <c r="AI19" s="30">
        <f>IF(AI$5&gt;$B19,0,INDEX(Decrements!$G$6:$G$58,Census!$G19+AI$5-18)/INDEX(Decrements!$G$6:$G$58,Census!$G19-17)*(INDEX(Decrements!$D$6:$D$58,Census!$G19+AI$5-18)+IF(AI$5=$B19,INDEX(Decrements!$F$6:$F$58,Census!$G19+AI$5-18),0)+INDEX(Decrements!$E$6:$E$58,Census!$G19+AI$5-18)*IF((Census!$F19+AI$5)&gt;=Assumptions!$B$11,1,0))*MIN(15/26*Census!$D19*(1+Assumptions!$B$9)^AI$5*(INT((Census!$F19+AI$5))+IF((Census!$F19+AI$5)-INT((Census!$F19+AI$5))&gt;0.5,1,0)),Assumptions!$B$10))</f>
        <v>0</v>
      </c>
      <c r="AJ19" s="30">
        <f>IF(AJ$5&gt;$B19,0,INDEX(Decrements!$G$6:$G$58,Census!$G19+AJ$5-18)/INDEX(Decrements!$G$6:$G$58,Census!$G19-17)*(INDEX(Decrements!$D$6:$D$58,Census!$G19+AJ$5-18)+IF(AJ$5=$B19,INDEX(Decrements!$F$6:$F$58,Census!$G19+AJ$5-18),0)+INDEX(Decrements!$E$6:$E$58,Census!$G19+AJ$5-18)*IF((Census!$F19+AJ$5)&gt;=Assumptions!$B$11,1,0))*MIN(15/26*Census!$D19*(1+Assumptions!$B$9)^AJ$5*(INT((Census!$F19+AJ$5))+IF((Census!$F19+AJ$5)-INT((Census!$F19+AJ$5))&gt;0.5,1,0)),Assumptions!$B$10))</f>
        <v>0</v>
      </c>
      <c r="AK19" s="30">
        <f>IF(AK$5&gt;$B19,0,INDEX(Decrements!$G$6:$G$58,Census!$G19+AK$5-18)/INDEX(Decrements!$G$6:$G$58,Census!$G19-17)*(INDEX(Decrements!$D$6:$D$58,Census!$G19+AK$5-18)+IF(AK$5=$B19,INDEX(Decrements!$F$6:$F$58,Census!$G19+AK$5-18),0)+INDEX(Decrements!$E$6:$E$58,Census!$G19+AK$5-18)*IF((Census!$F19+AK$5)&gt;=Assumptions!$B$11,1,0))*MIN(15/26*Census!$D19*(1+Assumptions!$B$9)^AK$5*(INT((Census!$F19+AK$5))+IF((Census!$F19+AK$5)-INT((Census!$F19+AK$5))&gt;0.5,1,0)),Assumptions!$B$10))</f>
        <v>0</v>
      </c>
      <c r="AL19" s="30">
        <f>IF(AL$5&gt;$B19,0,INDEX(Decrements!$G$6:$G$58,Census!$G19+AL$5-18)/INDEX(Decrements!$G$6:$G$58,Census!$G19-17)*(INDEX(Decrements!$D$6:$D$58,Census!$G19+AL$5-18)+IF(AL$5=$B19,INDEX(Decrements!$F$6:$F$58,Census!$G19+AL$5-18),0)+INDEX(Decrements!$E$6:$E$58,Census!$G19+AL$5-18)*IF((Census!$F19+AL$5)&gt;=Assumptions!$B$11,1,0))*MIN(15/26*Census!$D19*(1+Assumptions!$B$9)^AL$5*(INT((Census!$F19+AL$5))+IF((Census!$F19+AL$5)-INT((Census!$F19+AL$5))&gt;0.5,1,0)),Assumptions!$B$10))</f>
        <v>0</v>
      </c>
      <c r="AM19" s="30">
        <f>IF(AM$5&gt;$B19,0,INDEX(Decrements!$G$6:$G$58,Census!$G19+AM$5-18)/INDEX(Decrements!$G$6:$G$58,Census!$G19-17)*(INDEX(Decrements!$D$6:$D$58,Census!$G19+AM$5-18)+IF(AM$5=$B19,INDEX(Decrements!$F$6:$F$58,Census!$G19+AM$5-18),0)+INDEX(Decrements!$E$6:$E$58,Census!$G19+AM$5-18)*IF((Census!$F19+AM$5)&gt;=Assumptions!$B$11,1,0))*MIN(15/26*Census!$D19*(1+Assumptions!$B$9)^AM$5*(INT((Census!$F19+AM$5))+IF((Census!$F19+AM$5)-INT((Census!$F19+AM$5))&gt;0.5,1,0)),Assumptions!$B$10))</f>
        <v>0</v>
      </c>
      <c r="AN19" s="30">
        <f>IF(AN$5&gt;$B19,0,INDEX(Decrements!$G$6:$G$58,Census!$G19+AN$5-18)/INDEX(Decrements!$G$6:$G$58,Census!$G19-17)*(INDEX(Decrements!$D$6:$D$58,Census!$G19+AN$5-18)+IF(AN$5=$B19,INDEX(Decrements!$F$6:$F$58,Census!$G19+AN$5-18),0)+INDEX(Decrements!$E$6:$E$58,Census!$G19+AN$5-18)*IF((Census!$F19+AN$5)&gt;=Assumptions!$B$11,1,0))*MIN(15/26*Census!$D19*(1+Assumptions!$B$9)^AN$5*(INT((Census!$F19+AN$5))+IF((Census!$F19+AN$5)-INT((Census!$F19+AN$5))&gt;0.5,1,0)),Assumptions!$B$10))</f>
        <v>0</v>
      </c>
      <c r="AO19" s="30">
        <f>IF(AO$5&gt;$B19,0,INDEX(Decrements!$G$6:$G$58,Census!$G19+AO$5-18)/INDEX(Decrements!$G$6:$G$58,Census!$G19-17)*(INDEX(Decrements!$D$6:$D$58,Census!$G19+AO$5-18)+IF(AO$5=$B19,INDEX(Decrements!$F$6:$F$58,Census!$G19+AO$5-18),0)+INDEX(Decrements!$E$6:$E$58,Census!$G19+AO$5-18)*IF((Census!$F19+AO$5)&gt;=Assumptions!$B$11,1,0))*MIN(15/26*Census!$D19*(1+Assumptions!$B$9)^AO$5*(INT((Census!$F19+AO$5))+IF((Census!$F19+AO$5)-INT((Census!$F19+AO$5))&gt;0.5,1,0)),Assumptions!$B$10))</f>
        <v>0</v>
      </c>
      <c r="AP19" s="30">
        <f>IF(AP$5&gt;$B19,0,INDEX(Decrements!$G$6:$G$58,Census!$G19+AP$5-18)/INDEX(Decrements!$G$6:$G$58,Census!$G19-17)*(INDEX(Decrements!$D$6:$D$58,Census!$G19+AP$5-18)+IF(AP$5=$B19,INDEX(Decrements!$F$6:$F$58,Census!$G19+AP$5-18),0)+INDEX(Decrements!$E$6:$E$58,Census!$G19+AP$5-18)*IF((Census!$F19+AP$5)&gt;=Assumptions!$B$11,1,0))*MIN(15/26*Census!$D19*(1+Assumptions!$B$9)^AP$5*(INT((Census!$F19+AP$5))+IF((Census!$F19+AP$5)-INT((Census!$F19+AP$5))&gt;0.5,1,0)),Assumptions!$B$10))</f>
        <v>0</v>
      </c>
      <c r="AQ19" s="30">
        <f>IF(AQ$5&gt;$B19,0,INDEX(Decrements!$G$6:$G$58,Census!$G19+AQ$5-18)/INDEX(Decrements!$G$6:$G$58,Census!$G19-17)*(INDEX(Decrements!$D$6:$D$58,Census!$G19+AQ$5-18)+IF(AQ$5=$B19,INDEX(Decrements!$F$6:$F$58,Census!$G19+AQ$5-18),0)+INDEX(Decrements!$E$6:$E$58,Census!$G19+AQ$5-18)*IF((Census!$F19+AQ$5)&gt;=Assumptions!$B$11,1,0))*MIN(15/26*Census!$D19*(1+Assumptions!$B$9)^AQ$5*(INT((Census!$F19+AQ$5))+IF((Census!$F19+AQ$5)-INT((Census!$F19+AQ$5))&gt;0.5,1,0)),Assumptions!$B$10))</f>
        <v>0</v>
      </c>
      <c r="AR19" s="30">
        <f>IF(AR$5&gt;$B19,0,INDEX(Decrements!$G$6:$G$58,Census!$G19+AR$5-18)/INDEX(Decrements!$G$6:$G$58,Census!$G19-17)*(INDEX(Decrements!$D$6:$D$58,Census!$G19+AR$5-18)+IF(AR$5=$B19,INDEX(Decrements!$F$6:$F$58,Census!$G19+AR$5-18),0)+INDEX(Decrements!$E$6:$E$58,Census!$G19+AR$5-18)*IF((Census!$F19+AR$5)&gt;=Assumptions!$B$11,1,0))*MIN(15/26*Census!$D19*(1+Assumptions!$B$9)^AR$5*(INT((Census!$F19+AR$5))+IF((Census!$F19+AR$5)-INT((Census!$F19+AR$5))&gt;0.5,1,0)),Assumptions!$B$10))</f>
        <v>0</v>
      </c>
      <c r="AS19" s="30">
        <f>IF(AS$5&gt;$B19,0,INDEX(Decrements!$G$6:$G$58,Census!$G19+AS$5-18)/INDEX(Decrements!$G$6:$G$58,Census!$G19-17)*(INDEX(Decrements!$D$6:$D$58,Census!$G19+AS$5-18)+IF(AS$5=$B19,INDEX(Decrements!$F$6:$F$58,Census!$G19+AS$5-18),0)+INDEX(Decrements!$E$6:$E$58,Census!$G19+AS$5-18)*IF((Census!$F19+AS$5)&gt;=Assumptions!$B$11,1,0))*MIN(15/26*Census!$D19*(1+Assumptions!$B$9)^AS$5*(INT((Census!$F19+AS$5))+IF((Census!$F19+AS$5)-INT((Census!$F19+AS$5))&gt;0.5,1,0)),Assumptions!$B$10))</f>
        <v>0</v>
      </c>
      <c r="AT19" s="30">
        <f>IF(AT$5&gt;$B19,0,INDEX(Decrements!$G$6:$G$58,Census!$G19+AT$5-18)/INDEX(Decrements!$G$6:$G$58,Census!$G19-17)*(INDEX(Decrements!$D$6:$D$58,Census!$G19+AT$5-18)+IF(AT$5=$B19,INDEX(Decrements!$F$6:$F$58,Census!$G19+AT$5-18),0)+INDEX(Decrements!$E$6:$E$58,Census!$G19+AT$5-18)*IF((Census!$F19+AT$5)&gt;=Assumptions!$B$11,1,0))*MIN(15/26*Census!$D19*(1+Assumptions!$B$9)^AT$5*(INT((Census!$F19+AT$5))+IF((Census!$F19+AT$5)-INT((Census!$F19+AT$5))&gt;0.5,1,0)),Assumptions!$B$10))</f>
        <v>0</v>
      </c>
      <c r="AU19" s="30">
        <f>IF(AU$5&gt;$B19,0,INDEX(Decrements!$G$6:$G$58,Census!$G19+AU$5-18)/INDEX(Decrements!$G$6:$G$58,Census!$G19-17)*(INDEX(Decrements!$D$6:$D$58,Census!$G19+AU$5-18)+IF(AU$5=$B19,INDEX(Decrements!$F$6:$F$58,Census!$G19+AU$5-18),0)+INDEX(Decrements!$E$6:$E$58,Census!$G19+AU$5-18)*IF((Census!$F19+AU$5)&gt;=Assumptions!$B$11,1,0))*MIN(15/26*Census!$D19*(1+Assumptions!$B$9)^AU$5*(INT((Census!$F19+AU$5))+IF((Census!$F19+AU$5)-INT((Census!$F19+AU$5))&gt;0.5,1,0)),Assumptions!$B$10))</f>
        <v>0</v>
      </c>
    </row>
    <row r="20" spans="1:47" x14ac:dyDescent="0.3">
      <c r="A20" s="10" t="str">
        <f>Census!A20</f>
        <v>E015</v>
      </c>
      <c r="B20" s="29">
        <f>Census!H20</f>
        <v>38</v>
      </c>
      <c r="C20" s="30">
        <f>IF(C$5&gt;$B20,0,INDEX(Decrements!$G$6:$G$58,Census!$G20+C$5-18)/INDEX(Decrements!$G$6:$G$58,Census!$G20-17)*(INDEX(Decrements!$D$6:$D$58,Census!$G20+C$5-18)+IF(C$5=$B20,INDEX(Decrements!$F$6:$F$58,Census!$G20+C$5-18),0)+INDEX(Decrements!$E$6:$E$58,Census!$G20+C$5-18)*IF((Census!$F20+C$5)&gt;=Assumptions!$B$11,1,0))*MIN(15/26*Census!$D20*(1+Assumptions!$B$9)^C$5*(INT((Census!$F20+C$5))+IF((Census!$F20+C$5)-INT((Census!$F20+C$5))&gt;0.5,1,0)),Assumptions!$B$10))</f>
        <v>11.904185268246877</v>
      </c>
      <c r="D20" s="30">
        <f>IF(D$5&gt;$B20,0,INDEX(Decrements!$G$6:$G$58,Census!$G20+D$5-18)/INDEX(Decrements!$G$6:$G$58,Census!$G20-17)*(INDEX(Decrements!$D$6:$D$58,Census!$G20+D$5-18)+IF(D$5=$B20,INDEX(Decrements!$F$6:$F$58,Census!$G20+D$5-18),0)+INDEX(Decrements!$E$6:$E$58,Census!$G20+D$5-18)*IF((Census!$F20+D$5)&gt;=Assumptions!$B$11,1,0))*MIN(15/26*Census!$D20*(1+Assumptions!$B$9)^D$5*(INT((Census!$F20+D$5))+IF((Census!$F20+D$5)-INT((Census!$F20+D$5))&gt;0.5,1,0)),Assumptions!$B$10))</f>
        <v>21.173730378083366</v>
      </c>
      <c r="E20" s="30">
        <f>IF(E$5&gt;$B20,0,INDEX(Decrements!$G$6:$G$58,Census!$G20+E$5-18)/INDEX(Decrements!$G$6:$G$58,Census!$G20-17)*(INDEX(Decrements!$D$6:$D$58,Census!$G20+E$5-18)+IF(E$5=$B20,INDEX(Decrements!$F$6:$F$58,Census!$G20+E$5-18),0)+INDEX(Decrements!$E$6:$E$58,Census!$G20+E$5-18)*IF((Census!$F20+E$5)&gt;=Assumptions!$B$11,1,0))*MIN(15/26*Census!$D20*(1+Assumptions!$B$9)^E$5*(INT((Census!$F20+E$5))+IF((Census!$F20+E$5)-INT((Census!$F20+E$5))&gt;0.5,1,0)),Assumptions!$B$10))</f>
        <v>28.301292174277922</v>
      </c>
      <c r="F20" s="30">
        <f>IF(F$5&gt;$B20,0,INDEX(Decrements!$G$6:$G$58,Census!$G20+F$5-18)/INDEX(Decrements!$G$6:$G$58,Census!$G20-17)*(INDEX(Decrements!$D$6:$D$58,Census!$G20+F$5-18)+IF(F$5=$B20,INDEX(Decrements!$F$6:$F$58,Census!$G20+F$5-18),0)+INDEX(Decrements!$E$6:$E$58,Census!$G20+F$5-18)*IF((Census!$F20+F$5)&gt;=Assumptions!$B$11,1,0))*MIN(15/26*Census!$D20*(1+Assumptions!$B$9)^F$5*(INT((Census!$F20+F$5))+IF((Census!$F20+F$5)-INT((Census!$F20+F$5))&gt;0.5,1,0)),Assumptions!$B$10))</f>
        <v>34.628940227364922</v>
      </c>
      <c r="G20" s="30">
        <f>IF(G$5&gt;$B20,0,INDEX(Decrements!$G$6:$G$58,Census!$G20+G$5-18)/INDEX(Decrements!$G$6:$G$58,Census!$G20-17)*(INDEX(Decrements!$D$6:$D$58,Census!$G20+G$5-18)+IF(G$5=$B20,INDEX(Decrements!$F$6:$F$58,Census!$G20+G$5-18),0)+INDEX(Decrements!$E$6:$E$58,Census!$G20+G$5-18)*IF((Census!$F20+G$5)&gt;=Assumptions!$B$11,1,0))*MIN(15/26*Census!$D20*(1+Assumptions!$B$9)^G$5*(INT((Census!$F20+G$5))+IF((Census!$F20+G$5)-INT((Census!$F20+G$5))&gt;0.5,1,0)),Assumptions!$B$10))</f>
        <v>10305.926419574575</v>
      </c>
      <c r="H20" s="30">
        <f>IF(H$5&gt;$B20,0,INDEX(Decrements!$G$6:$G$58,Census!$G20+H$5-18)/INDEX(Decrements!$G$6:$G$58,Census!$G20-17)*(INDEX(Decrements!$D$6:$D$58,Census!$G20+H$5-18)+IF(H$5=$B20,INDEX(Decrements!$F$6:$F$58,Census!$G20+H$5-18),0)+INDEX(Decrements!$E$6:$E$58,Census!$G20+H$5-18)*IF((Census!$F20+H$5)&gt;=Assumptions!$B$11,1,0))*MIN(15/26*Census!$D20*(1+Assumptions!$B$9)^H$5*(INT((Census!$F20+H$5))+IF((Census!$F20+H$5)-INT((Census!$F20+H$5))&gt;0.5,1,0)),Assumptions!$B$10))</f>
        <v>11347.231368628039</v>
      </c>
      <c r="I20" s="30">
        <f>IF(I$5&gt;$B20,0,INDEX(Decrements!$G$6:$G$58,Census!$G20+I$5-18)/INDEX(Decrements!$G$6:$G$58,Census!$G20-17)*(INDEX(Decrements!$D$6:$D$58,Census!$G20+I$5-18)+IF(I$5=$B20,INDEX(Decrements!$F$6:$F$58,Census!$G20+I$5-18),0)+INDEX(Decrements!$E$6:$E$58,Census!$G20+I$5-18)*IF((Census!$F20+I$5)&gt;=Assumptions!$B$11,1,0))*MIN(15/26*Census!$D20*(1+Assumptions!$B$9)^I$5*(INT((Census!$F20+I$5))+IF((Census!$F20+I$5)-INT((Census!$F20+I$5))&gt;0.5,1,0)),Assumptions!$B$10))</f>
        <v>12146.567866496713</v>
      </c>
      <c r="J20" s="30">
        <f>IF(J$5&gt;$B20,0,INDEX(Decrements!$G$6:$G$58,Census!$G20+J$5-18)/INDEX(Decrements!$G$6:$G$58,Census!$G20-17)*(INDEX(Decrements!$D$6:$D$58,Census!$G20+J$5-18)+IF(J$5=$B20,INDEX(Decrements!$F$6:$F$58,Census!$G20+J$5-18),0)+INDEX(Decrements!$E$6:$E$58,Census!$G20+J$5-18)*IF((Census!$F20+J$5)&gt;=Assumptions!$B$11,1,0))*MIN(15/26*Census!$D20*(1+Assumptions!$B$9)^J$5*(INT((Census!$F20+J$5))+IF((Census!$F20+J$5)-INT((Census!$F20+J$5))&gt;0.5,1,0)),Assumptions!$B$10))</f>
        <v>12736.707838430746</v>
      </c>
      <c r="K20" s="30">
        <f>IF(K$5&gt;$B20,0,INDEX(Decrements!$G$6:$G$58,Census!$G20+K$5-18)/INDEX(Decrements!$G$6:$G$58,Census!$G20-17)*(INDEX(Decrements!$D$6:$D$58,Census!$G20+K$5-18)+IF(K$5=$B20,INDEX(Decrements!$F$6:$F$58,Census!$G20+K$5-18),0)+INDEX(Decrements!$E$6:$E$58,Census!$G20+K$5-18)*IF((Census!$F20+K$5)&gt;=Assumptions!$B$11,1,0))*MIN(15/26*Census!$D20*(1+Assumptions!$B$9)^K$5*(INT((Census!$F20+K$5))+IF((Census!$F20+K$5)-INT((Census!$F20+K$5))&gt;0.5,1,0)),Assumptions!$B$10))</f>
        <v>9658.710576891759</v>
      </c>
      <c r="L20" s="30">
        <f>IF(L$5&gt;$B20,0,INDEX(Decrements!$G$6:$G$58,Census!$G20+L$5-18)/INDEX(Decrements!$G$6:$G$58,Census!$G20-17)*(INDEX(Decrements!$D$6:$D$58,Census!$G20+L$5-18)+IF(L$5=$B20,INDEX(Decrements!$F$6:$F$58,Census!$G20+L$5-18),0)+INDEX(Decrements!$E$6:$E$58,Census!$G20+L$5-18)*IF((Census!$F20+L$5)&gt;=Assumptions!$B$11,1,0))*MIN(15/26*Census!$D20*(1+Assumptions!$B$9)^L$5*(INT((Census!$F20+L$5))+IF((Census!$F20+L$5)-INT((Census!$F20+L$5))&gt;0.5,1,0)),Assumptions!$B$10))</f>
        <v>10310.63510752426</v>
      </c>
      <c r="M20" s="30">
        <f>IF(M$5&gt;$B20,0,INDEX(Decrements!$G$6:$G$58,Census!$G20+M$5-18)/INDEX(Decrements!$G$6:$G$58,Census!$G20-17)*(INDEX(Decrements!$D$6:$D$58,Census!$G20+M$5-18)+IF(M$5=$B20,INDEX(Decrements!$F$6:$F$58,Census!$G20+M$5-18),0)+INDEX(Decrements!$E$6:$E$58,Census!$G20+M$5-18)*IF((Census!$F20+M$5)&gt;=Assumptions!$B$11,1,0))*MIN(15/26*Census!$D20*(1+Assumptions!$B$9)^M$5*(INT((Census!$F20+M$5))+IF((Census!$F20+M$5)-INT((Census!$F20+M$5))&gt;0.5,1,0)),Assumptions!$B$10))</f>
        <v>10896.416649615301</v>
      </c>
      <c r="N20" s="30">
        <f>IF(N$5&gt;$B20,0,INDEX(Decrements!$G$6:$G$58,Census!$G20+N$5-18)/INDEX(Decrements!$G$6:$G$58,Census!$G20-17)*(INDEX(Decrements!$D$6:$D$58,Census!$G20+N$5-18)+IF(N$5=$B20,INDEX(Decrements!$F$6:$F$58,Census!$G20+N$5-18),0)+INDEX(Decrements!$E$6:$E$58,Census!$G20+N$5-18)*IF((Census!$F20+N$5)&gt;=Assumptions!$B$11,1,0))*MIN(15/26*Census!$D20*(1+Assumptions!$B$9)^N$5*(INT((Census!$F20+N$5))+IF((Census!$F20+N$5)-INT((Census!$F20+N$5))&gt;0.5,1,0)),Assumptions!$B$10))</f>
        <v>11420.217019797841</v>
      </c>
      <c r="O20" s="30">
        <f>IF(O$5&gt;$B20,0,INDEX(Decrements!$G$6:$G$58,Census!$G20+O$5-18)/INDEX(Decrements!$G$6:$G$58,Census!$G20-17)*(INDEX(Decrements!$D$6:$D$58,Census!$G20+O$5-18)+IF(O$5=$B20,INDEX(Decrements!$F$6:$F$58,Census!$G20+O$5-18),0)+INDEX(Decrements!$E$6:$E$58,Census!$G20+O$5-18)*IF((Census!$F20+O$5)&gt;=Assumptions!$B$11,1,0))*MIN(15/26*Census!$D20*(1+Assumptions!$B$9)^O$5*(INT((Census!$F20+O$5))+IF((Census!$F20+O$5)-INT((Census!$F20+O$5))&gt;0.5,1,0)),Assumptions!$B$10))</f>
        <v>11885.971698713895</v>
      </c>
      <c r="P20" s="30">
        <f>IF(P$5&gt;$B20,0,INDEX(Decrements!$G$6:$G$58,Census!$G20+P$5-18)/INDEX(Decrements!$G$6:$G$58,Census!$G20-17)*(INDEX(Decrements!$D$6:$D$58,Census!$G20+P$5-18)+IF(P$5=$B20,INDEX(Decrements!$F$6:$F$58,Census!$G20+P$5-18),0)+INDEX(Decrements!$E$6:$E$58,Census!$G20+P$5-18)*IF((Census!$F20+P$5)&gt;=Assumptions!$B$11,1,0))*MIN(15/26*Census!$D20*(1+Assumptions!$B$9)^P$5*(INT((Census!$F20+P$5))+IF((Census!$F20+P$5)-INT((Census!$F20+P$5))&gt;0.5,1,0)),Assumptions!$B$10))</f>
        <v>8973.4855104247181</v>
      </c>
      <c r="Q20" s="30">
        <f>IF(Q$5&gt;$B20,0,INDEX(Decrements!$G$6:$G$58,Census!$G20+Q$5-18)/INDEX(Decrements!$G$6:$G$58,Census!$G20-17)*(INDEX(Decrements!$D$6:$D$58,Census!$G20+Q$5-18)+IF(Q$5=$B20,INDEX(Decrements!$F$6:$F$58,Census!$G20+Q$5-18),0)+INDEX(Decrements!$E$6:$E$58,Census!$G20+Q$5-18)*IF((Census!$F20+Q$5)&gt;=Assumptions!$B$11,1,0))*MIN(15/26*Census!$D20*(1+Assumptions!$B$9)^Q$5*(INT((Census!$F20+Q$5))+IF((Census!$F20+Q$5)-INT((Census!$F20+Q$5))&gt;0.5,1,0)),Assumptions!$B$10))</f>
        <v>9549.8590853638452</v>
      </c>
      <c r="R20" s="30">
        <f>IF(R$5&gt;$B20,0,INDEX(Decrements!$G$6:$G$58,Census!$G20+R$5-18)/INDEX(Decrements!$G$6:$G$58,Census!$G20-17)*(INDEX(Decrements!$D$6:$D$58,Census!$G20+R$5-18)+IF(R$5=$B20,INDEX(Decrements!$F$6:$F$58,Census!$G20+R$5-18),0)+INDEX(Decrements!$E$6:$E$58,Census!$G20+R$5-18)*IF((Census!$F20+R$5)&gt;=Assumptions!$B$11,1,0))*MIN(15/26*Census!$D20*(1+Assumptions!$B$9)^R$5*(INT((Census!$F20+R$5))+IF((Census!$F20+R$5)-INT((Census!$F20+R$5))&gt;0.5,1,0)),Assumptions!$B$10))</f>
        <v>10118.158710257503</v>
      </c>
      <c r="S20" s="30">
        <f>IF(S$5&gt;$B20,0,INDEX(Decrements!$G$6:$G$58,Census!$G20+S$5-18)/INDEX(Decrements!$G$6:$G$58,Census!$G20-17)*(INDEX(Decrements!$D$6:$D$58,Census!$G20+S$5-18)+IF(S$5=$B20,INDEX(Decrements!$F$6:$F$58,Census!$G20+S$5-18),0)+INDEX(Decrements!$E$6:$E$58,Census!$G20+S$5-18)*IF((Census!$F20+S$5)&gt;=Assumptions!$B$11,1,0))*MIN(15/26*Census!$D20*(1+Assumptions!$B$9)^S$5*(INT((Census!$F20+S$5))+IF((Census!$F20+S$5)-INT((Census!$F20+S$5))&gt;0.5,1,0)),Assumptions!$B$10))</f>
        <v>10678.487031349387</v>
      </c>
      <c r="T20" s="30">
        <f>IF(T$5&gt;$B20,0,INDEX(Decrements!$G$6:$G$58,Census!$G20+T$5-18)/INDEX(Decrements!$G$6:$G$58,Census!$G20-17)*(INDEX(Decrements!$D$6:$D$58,Census!$G20+T$5-18)+IF(T$5=$B20,INDEX(Decrements!$F$6:$F$58,Census!$G20+T$5-18),0)+INDEX(Decrements!$E$6:$E$58,Census!$G20+T$5-18)*IF((Census!$F20+T$5)&gt;=Assumptions!$B$11,1,0))*MIN(15/26*Census!$D20*(1+Assumptions!$B$9)^T$5*(INT((Census!$F20+T$5))+IF((Census!$F20+T$5)-INT((Census!$F20+T$5))&gt;0.5,1,0)),Assumptions!$B$10))</f>
        <v>11230.947400269493</v>
      </c>
      <c r="U20" s="30">
        <f>IF(U$5&gt;$B20,0,INDEX(Decrements!$G$6:$G$58,Census!$G20+U$5-18)/INDEX(Decrements!$G$6:$G$58,Census!$G20-17)*(INDEX(Decrements!$D$6:$D$58,Census!$G20+U$5-18)+IF(U$5=$B20,INDEX(Decrements!$F$6:$F$58,Census!$G20+U$5-18),0)+INDEX(Decrements!$E$6:$E$58,Census!$G20+U$5-18)*IF((Census!$F20+U$5)&gt;=Assumptions!$B$11,1,0))*MIN(15/26*Census!$D20*(1+Assumptions!$B$9)^U$5*(INT((Census!$F20+U$5))+IF((Census!$F20+U$5)-INT((Census!$F20+U$5))&gt;0.5,1,0)),Assumptions!$B$10))</f>
        <v>7433.0925775001942</v>
      </c>
      <c r="V20" s="30">
        <f>IF(V$5&gt;$B20,0,INDEX(Decrements!$G$6:$G$58,Census!$G20+V$5-18)/INDEX(Decrements!$G$6:$G$58,Census!$G20-17)*(INDEX(Decrements!$D$6:$D$58,Census!$G20+V$5-18)+IF(V$5=$B20,INDEX(Decrements!$F$6:$F$58,Census!$G20+V$5-18),0)+INDEX(Decrements!$E$6:$E$58,Census!$G20+V$5-18)*IF((Census!$F20+V$5)&gt;=Assumptions!$B$11,1,0))*MIN(15/26*Census!$D20*(1+Assumptions!$B$9)^V$5*(INT((Census!$F20+V$5))+IF((Census!$F20+V$5)-INT((Census!$F20+V$5))&gt;0.5,1,0)),Assumptions!$B$10))</f>
        <v>8028.4834271598056</v>
      </c>
      <c r="W20" s="30">
        <f>IF(W$5&gt;$B20,0,INDEX(Decrements!$G$6:$G$58,Census!$G20+W$5-18)/INDEX(Decrements!$G$6:$G$58,Census!$G20-17)*(INDEX(Decrements!$D$6:$D$58,Census!$G20+W$5-18)+IF(W$5=$B20,INDEX(Decrements!$F$6:$F$58,Census!$G20+W$5-18),0)+INDEX(Decrements!$E$6:$E$58,Census!$G20+W$5-18)*IF((Census!$F20+W$5)&gt;=Assumptions!$B$11,1,0))*MIN(15/26*Census!$D20*(1+Assumptions!$B$9)^W$5*(INT((Census!$F20+W$5))+IF((Census!$F20+W$5)-INT((Census!$F20+W$5))&gt;0.5,1,0)),Assumptions!$B$10))</f>
        <v>7630.7401109949433</v>
      </c>
      <c r="X20" s="30">
        <f>IF(X$5&gt;$B20,0,INDEX(Decrements!$G$6:$G$58,Census!$G20+X$5-18)/INDEX(Decrements!$G$6:$G$58,Census!$G20-17)*(INDEX(Decrements!$D$6:$D$58,Census!$G20+X$5-18)+IF(X$5=$B20,INDEX(Decrements!$F$6:$F$58,Census!$G20+X$5-18),0)+INDEX(Decrements!$E$6:$E$58,Census!$G20+X$5-18)*IF((Census!$F20+X$5)&gt;=Assumptions!$B$11,1,0))*MIN(15/26*Census!$D20*(1+Assumptions!$B$9)^X$5*(INT((Census!$F20+X$5))+IF((Census!$F20+X$5)-INT((Census!$F20+X$5))&gt;0.5,1,0)),Assumptions!$B$10))</f>
        <v>7253.3089438142088</v>
      </c>
      <c r="Y20" s="30">
        <f>IF(Y$5&gt;$B20,0,INDEX(Decrements!$G$6:$G$58,Census!$G20+Y$5-18)/INDEX(Decrements!$G$6:$G$58,Census!$G20-17)*(INDEX(Decrements!$D$6:$D$58,Census!$G20+Y$5-18)+IF(Y$5=$B20,INDEX(Decrements!$F$6:$F$58,Census!$G20+Y$5-18),0)+INDEX(Decrements!$E$6:$E$58,Census!$G20+Y$5-18)*IF((Census!$F20+Y$5)&gt;=Assumptions!$B$11,1,0))*MIN(15/26*Census!$D20*(1+Assumptions!$B$9)^Y$5*(INT((Census!$F20+Y$5))+IF((Census!$F20+Y$5)-INT((Census!$F20+Y$5))&gt;0.5,1,0)),Assumptions!$B$10))</f>
        <v>6895.1749655110571</v>
      </c>
      <c r="Z20" s="30">
        <f>IF(Z$5&gt;$B20,0,INDEX(Decrements!$G$6:$G$58,Census!$G20+Z$5-18)/INDEX(Decrements!$G$6:$G$58,Census!$G20-17)*(INDEX(Decrements!$D$6:$D$58,Census!$G20+Z$5-18)+IF(Z$5=$B20,INDEX(Decrements!$F$6:$F$58,Census!$G20+Z$5-18),0)+INDEX(Decrements!$E$6:$E$58,Census!$G20+Z$5-18)*IF((Census!$F20+Z$5)&gt;=Assumptions!$B$11,1,0))*MIN(15/26*Census!$D20*(1+Assumptions!$B$9)^Z$5*(INT((Census!$F20+Z$5))+IF((Census!$F20+Z$5)-INT((Census!$F20+Z$5))&gt;0.5,1,0)),Assumptions!$B$10))</f>
        <v>4030.7460964435345</v>
      </c>
      <c r="AA20" s="30">
        <f>IF(AA$5&gt;$B20,0,INDEX(Decrements!$G$6:$G$58,Census!$G20+AA$5-18)/INDEX(Decrements!$G$6:$G$58,Census!$G20-17)*(INDEX(Decrements!$D$6:$D$58,Census!$G20+AA$5-18)+IF(AA$5=$B20,INDEX(Decrements!$F$6:$F$58,Census!$G20+AA$5-18),0)+INDEX(Decrements!$E$6:$E$58,Census!$G20+AA$5-18)*IF((Census!$F20+AA$5)&gt;=Assumptions!$B$11,1,0))*MIN(15/26*Census!$D20*(1+Assumptions!$B$9)^AA$5*(INT((Census!$F20+AA$5))+IF((Census!$F20+AA$5)-INT((Census!$F20+AA$5))&gt;0.5,1,0)),Assumptions!$B$10))</f>
        <v>3920.4169587930878</v>
      </c>
      <c r="AB20" s="30">
        <f>IF(AB$5&gt;$B20,0,INDEX(Decrements!$G$6:$G$58,Census!$G20+AB$5-18)/INDEX(Decrements!$G$6:$G$58,Census!$G20-17)*(INDEX(Decrements!$D$6:$D$58,Census!$G20+AB$5-18)+IF(AB$5=$B20,INDEX(Decrements!$F$6:$F$58,Census!$G20+AB$5-18),0)+INDEX(Decrements!$E$6:$E$58,Census!$G20+AB$5-18)*IF((Census!$F20+AB$5)&gt;=Assumptions!$B$11,1,0))*MIN(15/26*Census!$D20*(1+Assumptions!$B$9)^AB$5*(INT((Census!$F20+AB$5))+IF((Census!$F20+AB$5)-INT((Census!$F20+AB$5))&gt;0.5,1,0)),Assumptions!$B$10))</f>
        <v>3814.1948806839996</v>
      </c>
      <c r="AC20" s="30">
        <f>IF(AC$5&gt;$B20,0,INDEX(Decrements!$G$6:$G$58,Census!$G20+AC$5-18)/INDEX(Decrements!$G$6:$G$58,Census!$G20-17)*(INDEX(Decrements!$D$6:$D$58,Census!$G20+AC$5-18)+IF(AC$5=$B20,INDEX(Decrements!$F$6:$F$58,Census!$G20+AC$5-18),0)+INDEX(Decrements!$E$6:$E$58,Census!$G20+AC$5-18)*IF((Census!$F20+AC$5)&gt;=Assumptions!$B$11,1,0))*MIN(15/26*Census!$D20*(1+Assumptions!$B$9)^AC$5*(INT((Census!$F20+AC$5))+IF((Census!$F20+AC$5)-INT((Census!$F20+AC$5))&gt;0.5,1,0)),Assumptions!$B$10))</f>
        <v>3711.9959454197815</v>
      </c>
      <c r="AD20" s="30">
        <f>IF(AD$5&gt;$B20,0,INDEX(Decrements!$G$6:$G$58,Census!$G20+AD$5-18)/INDEX(Decrements!$G$6:$G$58,Census!$G20-17)*(INDEX(Decrements!$D$6:$D$58,Census!$G20+AD$5-18)+IF(AD$5=$B20,INDEX(Decrements!$F$6:$F$58,Census!$G20+AD$5-18),0)+INDEX(Decrements!$E$6:$E$58,Census!$G20+AD$5-18)*IF((Census!$F20+AD$5)&gt;=Assumptions!$B$11,1,0))*MIN(15/26*Census!$D20*(1+Assumptions!$B$9)^AD$5*(INT((Census!$F20+AD$5))+IF((Census!$F20+AD$5)-INT((Census!$F20+AD$5))&gt;0.5,1,0)),Assumptions!$B$10))</f>
        <v>3613.739944096907</v>
      </c>
      <c r="AE20" s="30">
        <f>IF(AE$5&gt;$B20,0,INDEX(Decrements!$G$6:$G$58,Census!$G20+AE$5-18)/INDEX(Decrements!$G$6:$G$58,Census!$G20-17)*(INDEX(Decrements!$D$6:$D$58,Census!$G20+AE$5-18)+IF(AE$5=$B20,INDEX(Decrements!$F$6:$F$58,Census!$G20+AE$5-18),0)+INDEX(Decrements!$E$6:$E$58,Census!$G20+AE$5-18)*IF((Census!$F20+AE$5)&gt;=Assumptions!$B$11,1,0))*MIN(15/26*Census!$D20*(1+Assumptions!$B$9)^AE$5*(INT((Census!$F20+AE$5))+IF((Census!$F20+AE$5)-INT((Census!$F20+AE$5))&gt;0.5,1,0)),Assumptions!$B$10))</f>
        <v>2448.5793259188117</v>
      </c>
      <c r="AF20" s="30">
        <f>IF(AF$5&gt;$B20,0,INDEX(Decrements!$G$6:$G$58,Census!$G20+AF$5-18)/INDEX(Decrements!$G$6:$G$58,Census!$G20-17)*(INDEX(Decrements!$D$6:$D$58,Census!$G20+AF$5-18)+IF(AF$5=$B20,INDEX(Decrements!$F$6:$F$58,Census!$G20+AF$5-18),0)+INDEX(Decrements!$E$6:$E$58,Census!$G20+AF$5-18)*IF((Census!$F20+AF$5)&gt;=Assumptions!$B$11,1,0))*MIN(15/26*Census!$D20*(1+Assumptions!$B$9)^AF$5*(INT((Census!$F20+AF$5))+IF((Census!$F20+AF$5)-INT((Census!$F20+AF$5))&gt;0.5,1,0)),Assumptions!$B$10))</f>
        <v>2418.0033651774015</v>
      </c>
      <c r="AG20" s="30">
        <f>IF(AG$5&gt;$B20,0,INDEX(Decrements!$G$6:$G$58,Census!$G20+AG$5-18)/INDEX(Decrements!$G$6:$G$58,Census!$G20-17)*(INDEX(Decrements!$D$6:$D$58,Census!$G20+AG$5-18)+IF(AG$5=$B20,INDEX(Decrements!$F$6:$F$58,Census!$G20+AG$5-18),0)+INDEX(Decrements!$E$6:$E$58,Census!$G20+AG$5-18)*IF((Census!$F20+AG$5)&gt;=Assumptions!$B$11,1,0))*MIN(15/26*Census!$D20*(1+Assumptions!$B$9)^AG$5*(INT((Census!$F20+AG$5))+IF((Census!$F20+AG$5)-INT((Census!$F20+AG$5))&gt;0.5,1,0)),Assumptions!$B$10))</f>
        <v>2389.4210838811737</v>
      </c>
      <c r="AH20" s="30">
        <f>IF(AH$5&gt;$B20,0,INDEX(Decrements!$G$6:$G$58,Census!$G20+AH$5-18)/INDEX(Decrements!$G$6:$G$58,Census!$G20-17)*(INDEX(Decrements!$D$6:$D$58,Census!$G20+AH$5-18)+IF(AH$5=$B20,INDEX(Decrements!$F$6:$F$58,Census!$G20+AH$5-18),0)+INDEX(Decrements!$E$6:$E$58,Census!$G20+AH$5-18)*IF((Census!$F20+AH$5)&gt;=Assumptions!$B$11,1,0))*MIN(15/26*Census!$D20*(1+Assumptions!$B$9)^AH$5*(INT((Census!$F20+AH$5))+IF((Census!$F20+AH$5)-INT((Census!$F20+AH$5))&gt;0.5,1,0)),Assumptions!$B$10))</f>
        <v>2362.8744927887019</v>
      </c>
      <c r="AI20" s="30">
        <f>IF(AI$5&gt;$B20,0,INDEX(Decrements!$G$6:$G$58,Census!$G20+AI$5-18)/INDEX(Decrements!$G$6:$G$58,Census!$G20-17)*(INDEX(Decrements!$D$6:$D$58,Census!$G20+AI$5-18)+IF(AI$5=$B20,INDEX(Decrements!$F$6:$F$58,Census!$G20+AI$5-18),0)+INDEX(Decrements!$E$6:$E$58,Census!$G20+AI$5-18)*IF((Census!$F20+AI$5)&gt;=Assumptions!$B$11,1,0))*MIN(15/26*Census!$D20*(1+Assumptions!$B$9)^AI$5*(INT((Census!$F20+AI$5))+IF((Census!$F20+AI$5)-INT((Census!$F20+AI$5))&gt;0.5,1,0)),Assumptions!$B$10))</f>
        <v>2338.4069890094374</v>
      </c>
      <c r="AJ20" s="30">
        <f>IF(AJ$5&gt;$B20,0,INDEX(Decrements!$G$6:$G$58,Census!$G20+AJ$5-18)/INDEX(Decrements!$G$6:$G$58,Census!$G20-17)*(INDEX(Decrements!$D$6:$D$58,Census!$G20+AJ$5-18)+IF(AJ$5=$B20,INDEX(Decrements!$F$6:$F$58,Census!$G20+AJ$5-18),0)+INDEX(Decrements!$E$6:$E$58,Census!$G20+AJ$5-18)*IF((Census!$F20+AJ$5)&gt;=Assumptions!$B$11,1,0))*MIN(15/26*Census!$D20*(1+Assumptions!$B$9)^AJ$5*(INT((Census!$F20+AJ$5))+IF((Census!$F20+AJ$5)-INT((Census!$F20+AJ$5))&gt;0.5,1,0)),Assumptions!$B$10))</f>
        <v>1365.952937767114</v>
      </c>
      <c r="AK20" s="30">
        <f>IF(AK$5&gt;$B20,0,INDEX(Decrements!$G$6:$G$58,Census!$G20+AK$5-18)/INDEX(Decrements!$G$6:$G$58,Census!$G20-17)*(INDEX(Decrements!$D$6:$D$58,Census!$G20+AK$5-18)+IF(AK$5=$B20,INDEX(Decrements!$F$6:$F$58,Census!$G20+AK$5-18),0)+INDEX(Decrements!$E$6:$E$58,Census!$G20+AK$5-18)*IF((Census!$F20+AK$5)&gt;=Assumptions!$B$11,1,0))*MIN(15/26*Census!$D20*(1+Assumptions!$B$9)^AK$5*(INT((Census!$F20+AK$5))+IF((Census!$F20+AK$5)-INT((Census!$F20+AK$5))&gt;0.5,1,0)),Assumptions!$B$10))</f>
        <v>1383.1752518777266</v>
      </c>
      <c r="AL20" s="30">
        <f>IF(AL$5&gt;$B20,0,INDEX(Decrements!$G$6:$G$58,Census!$G20+AL$5-18)/INDEX(Decrements!$G$6:$G$58,Census!$G20-17)*(INDEX(Decrements!$D$6:$D$58,Census!$G20+AL$5-18)+IF(AL$5=$B20,INDEX(Decrements!$F$6:$F$58,Census!$G20+AL$5-18),0)+INDEX(Decrements!$E$6:$E$58,Census!$G20+AL$5-18)*IF((Census!$F20+AL$5)&gt;=Assumptions!$B$11,1,0))*MIN(15/26*Census!$D20*(1+Assumptions!$B$9)^AL$5*(INT((Census!$F20+AL$5))+IF((Census!$F20+AL$5)-INT((Census!$F20+AL$5))&gt;0.5,1,0)),Assumptions!$B$10))</f>
        <v>1402.6762883084771</v>
      </c>
      <c r="AM20" s="30">
        <f>IF(AM$5&gt;$B20,0,INDEX(Decrements!$G$6:$G$58,Census!$G20+AM$5-18)/INDEX(Decrements!$G$6:$G$58,Census!$G20-17)*(INDEX(Decrements!$D$6:$D$58,Census!$G20+AM$5-18)+IF(AM$5=$B20,INDEX(Decrements!$F$6:$F$58,Census!$G20+AM$5-18),0)+INDEX(Decrements!$E$6:$E$58,Census!$G20+AM$5-18)*IF((Census!$F20+AM$5)&gt;=Assumptions!$B$11,1,0))*MIN(15/26*Census!$D20*(1+Assumptions!$B$9)^AM$5*(INT((Census!$F20+AM$5))+IF((Census!$F20+AM$5)-INT((Census!$F20+AM$5))&gt;0.5,1,0)),Assumptions!$B$10))</f>
        <v>1424.5885861660779</v>
      </c>
      <c r="AN20" s="30">
        <f>IF(AN$5&gt;$B20,0,INDEX(Decrements!$G$6:$G$58,Census!$G20+AN$5-18)/INDEX(Decrements!$G$6:$G$58,Census!$G20-17)*(INDEX(Decrements!$D$6:$D$58,Census!$G20+AN$5-18)+IF(AN$5=$B20,INDEX(Decrements!$F$6:$F$58,Census!$G20+AN$5-18),0)+INDEX(Decrements!$E$6:$E$58,Census!$G20+AN$5-18)*IF((Census!$F20+AN$5)&gt;=Assumptions!$B$11,1,0))*MIN(15/26*Census!$D20*(1+Assumptions!$B$9)^AN$5*(INT((Census!$F20+AN$5))+IF((Census!$F20+AN$5)-INT((Census!$F20+AN$5))&gt;0.5,1,0)),Assumptions!$B$10))</f>
        <v>89850.435300184457</v>
      </c>
      <c r="AO20" s="30">
        <f>IF(AO$5&gt;$B20,0,INDEX(Decrements!$G$6:$G$58,Census!$G20+AO$5-18)/INDEX(Decrements!$G$6:$G$58,Census!$G20-17)*(INDEX(Decrements!$D$6:$D$58,Census!$G20+AO$5-18)+IF(AO$5=$B20,INDEX(Decrements!$F$6:$F$58,Census!$G20+AO$5-18),0)+INDEX(Decrements!$E$6:$E$58,Census!$G20+AO$5-18)*IF((Census!$F20+AO$5)&gt;=Assumptions!$B$11,1,0))*MIN(15/26*Census!$D20*(1+Assumptions!$B$9)^AO$5*(INT((Census!$F20+AO$5))+IF((Census!$F20+AO$5)-INT((Census!$F20+AO$5))&gt;0.5,1,0)),Assumptions!$B$10))</f>
        <v>0</v>
      </c>
      <c r="AP20" s="30">
        <f>IF(AP$5&gt;$B20,0,INDEX(Decrements!$G$6:$G$58,Census!$G20+AP$5-18)/INDEX(Decrements!$G$6:$G$58,Census!$G20-17)*(INDEX(Decrements!$D$6:$D$58,Census!$G20+AP$5-18)+IF(AP$5=$B20,INDEX(Decrements!$F$6:$F$58,Census!$G20+AP$5-18),0)+INDEX(Decrements!$E$6:$E$58,Census!$G20+AP$5-18)*IF((Census!$F20+AP$5)&gt;=Assumptions!$B$11,1,0))*MIN(15/26*Census!$D20*(1+Assumptions!$B$9)^AP$5*(INT((Census!$F20+AP$5))+IF((Census!$F20+AP$5)-INT((Census!$F20+AP$5))&gt;0.5,1,0)),Assumptions!$B$10))</f>
        <v>0</v>
      </c>
      <c r="AQ20" s="30">
        <f>IF(AQ$5&gt;$B20,0,INDEX(Decrements!$G$6:$G$58,Census!$G20+AQ$5-18)/INDEX(Decrements!$G$6:$G$58,Census!$G20-17)*(INDEX(Decrements!$D$6:$D$58,Census!$G20+AQ$5-18)+IF(AQ$5=$B20,INDEX(Decrements!$F$6:$F$58,Census!$G20+AQ$5-18),0)+INDEX(Decrements!$E$6:$E$58,Census!$G20+AQ$5-18)*IF((Census!$F20+AQ$5)&gt;=Assumptions!$B$11,1,0))*MIN(15/26*Census!$D20*(1+Assumptions!$B$9)^AQ$5*(INT((Census!$F20+AQ$5))+IF((Census!$F20+AQ$5)-INT((Census!$F20+AQ$5))&gt;0.5,1,0)),Assumptions!$B$10))</f>
        <v>0</v>
      </c>
      <c r="AR20" s="30">
        <f>IF(AR$5&gt;$B20,0,INDEX(Decrements!$G$6:$G$58,Census!$G20+AR$5-18)/INDEX(Decrements!$G$6:$G$58,Census!$G20-17)*(INDEX(Decrements!$D$6:$D$58,Census!$G20+AR$5-18)+IF(AR$5=$B20,INDEX(Decrements!$F$6:$F$58,Census!$G20+AR$5-18),0)+INDEX(Decrements!$E$6:$E$58,Census!$G20+AR$5-18)*IF((Census!$F20+AR$5)&gt;=Assumptions!$B$11,1,0))*MIN(15/26*Census!$D20*(1+Assumptions!$B$9)^AR$5*(INT((Census!$F20+AR$5))+IF((Census!$F20+AR$5)-INT((Census!$F20+AR$5))&gt;0.5,1,0)),Assumptions!$B$10))</f>
        <v>0</v>
      </c>
      <c r="AS20" s="30">
        <f>IF(AS$5&gt;$B20,0,INDEX(Decrements!$G$6:$G$58,Census!$G20+AS$5-18)/INDEX(Decrements!$G$6:$G$58,Census!$G20-17)*(INDEX(Decrements!$D$6:$D$58,Census!$G20+AS$5-18)+IF(AS$5=$B20,INDEX(Decrements!$F$6:$F$58,Census!$G20+AS$5-18),0)+INDEX(Decrements!$E$6:$E$58,Census!$G20+AS$5-18)*IF((Census!$F20+AS$5)&gt;=Assumptions!$B$11,1,0))*MIN(15/26*Census!$D20*(1+Assumptions!$B$9)^AS$5*(INT((Census!$F20+AS$5))+IF((Census!$F20+AS$5)-INT((Census!$F20+AS$5))&gt;0.5,1,0)),Assumptions!$B$10))</f>
        <v>0</v>
      </c>
      <c r="AT20" s="30">
        <f>IF(AT$5&gt;$B20,0,INDEX(Decrements!$G$6:$G$58,Census!$G20+AT$5-18)/INDEX(Decrements!$G$6:$G$58,Census!$G20-17)*(INDEX(Decrements!$D$6:$D$58,Census!$G20+AT$5-18)+IF(AT$5=$B20,INDEX(Decrements!$F$6:$F$58,Census!$G20+AT$5-18),0)+INDEX(Decrements!$E$6:$E$58,Census!$G20+AT$5-18)*IF((Census!$F20+AT$5)&gt;=Assumptions!$B$11,1,0))*MIN(15/26*Census!$D20*(1+Assumptions!$B$9)^AT$5*(INT((Census!$F20+AT$5))+IF((Census!$F20+AT$5)-INT((Census!$F20+AT$5))&gt;0.5,1,0)),Assumptions!$B$10))</f>
        <v>0</v>
      </c>
      <c r="AU20" s="30">
        <f>IF(AU$5&gt;$B20,0,INDEX(Decrements!$G$6:$G$58,Census!$G20+AU$5-18)/INDEX(Decrements!$G$6:$G$58,Census!$G20-17)*(INDEX(Decrements!$D$6:$D$58,Census!$G20+AU$5-18)+IF(AU$5=$B20,INDEX(Decrements!$F$6:$F$58,Census!$G20+AU$5-18),0)+INDEX(Decrements!$E$6:$E$58,Census!$G20+AU$5-18)*IF((Census!$F20+AU$5)&gt;=Assumptions!$B$11,1,0))*MIN(15/26*Census!$D20*(1+Assumptions!$B$9)^AU$5*(INT((Census!$F20+AU$5))+IF((Census!$F20+AU$5)-INT((Census!$F20+AU$5))&gt;0.5,1,0)),Assumptions!$B$10))</f>
        <v>0</v>
      </c>
    </row>
    <row r="21" spans="1:47" x14ac:dyDescent="0.3">
      <c r="A21" s="10" t="str">
        <f>Census!A21</f>
        <v>E016</v>
      </c>
      <c r="B21" s="29">
        <f>Census!H21</f>
        <v>24</v>
      </c>
      <c r="C21" s="30">
        <f>IF(C$5&gt;$B21,0,INDEX(Decrements!$G$6:$G$58,Census!$G21+C$5-18)/INDEX(Decrements!$G$6:$G$58,Census!$G21-17)*(INDEX(Decrements!$D$6:$D$58,Census!$G21+C$5-18)+IF(C$5=$B21,INDEX(Decrements!$F$6:$F$58,Census!$G21+C$5-18),0)+INDEX(Decrements!$E$6:$E$58,Census!$G21+C$5-18)*IF((Census!$F21+C$5)&gt;=Assumptions!$B$11,1,0))*MIN(15/26*Census!$D21*(1+Assumptions!$B$9)^C$5*(INT((Census!$F21+C$5))+IF((Census!$F21+C$5)-INT((Census!$F21+C$5))&gt;0.5,1,0)),Assumptions!$B$10))</f>
        <v>45629.285919022077</v>
      </c>
      <c r="D21" s="30">
        <f>IF(D$5&gt;$B21,0,INDEX(Decrements!$G$6:$G$58,Census!$G21+D$5-18)/INDEX(Decrements!$G$6:$G$58,Census!$G21-17)*(INDEX(Decrements!$D$6:$D$58,Census!$G21+D$5-18)+IF(D$5=$B21,INDEX(Decrements!$F$6:$F$58,Census!$G21+D$5-18),0)+INDEX(Decrements!$E$6:$E$58,Census!$G21+D$5-18)*IF((Census!$F21+D$5)&gt;=Assumptions!$B$11,1,0))*MIN(15/26*Census!$D21*(1+Assumptions!$B$9)^D$5*(INT((Census!$F21+D$5))+IF((Census!$F21+D$5)-INT((Census!$F21+D$5))&gt;0.5,1,0)),Assumptions!$B$10))</f>
        <v>48344.62505022328</v>
      </c>
      <c r="E21" s="30">
        <f>IF(E$5&gt;$B21,0,INDEX(Decrements!$G$6:$G$58,Census!$G21+E$5-18)/INDEX(Decrements!$G$6:$G$58,Census!$G21-17)*(INDEX(Decrements!$D$6:$D$58,Census!$G21+E$5-18)+IF(E$5=$B21,INDEX(Decrements!$F$6:$F$58,Census!$G21+E$5-18),0)+INDEX(Decrements!$E$6:$E$58,Census!$G21+E$5-18)*IF((Census!$F21+E$5)&gt;=Assumptions!$B$11,1,0))*MIN(15/26*Census!$D21*(1+Assumptions!$B$9)^E$5*(INT((Census!$F21+E$5))+IF((Census!$F21+E$5)-INT((Census!$F21+E$5))&gt;0.5,1,0)),Assumptions!$B$10))</f>
        <v>51021.877242437491</v>
      </c>
      <c r="F21" s="30">
        <f>IF(F$5&gt;$B21,0,INDEX(Decrements!$G$6:$G$58,Census!$G21+F$5-18)/INDEX(Decrements!$G$6:$G$58,Census!$G21-17)*(INDEX(Decrements!$D$6:$D$58,Census!$G21+F$5-18)+IF(F$5=$B21,INDEX(Decrements!$F$6:$F$58,Census!$G21+F$5-18),0)+INDEX(Decrements!$E$6:$E$58,Census!$G21+F$5-18)*IF((Census!$F21+F$5)&gt;=Assumptions!$B$11,1,0))*MIN(15/26*Census!$D21*(1+Assumptions!$B$9)^F$5*(INT((Census!$F21+F$5))+IF((Census!$F21+F$5)-INT((Census!$F21+F$5))&gt;0.5,1,0)),Assumptions!$B$10))</f>
        <v>53661.536310393618</v>
      </c>
      <c r="G21" s="30">
        <f>IF(G$5&gt;$B21,0,INDEX(Decrements!$G$6:$G$58,Census!$G21+G$5-18)/INDEX(Decrements!$G$6:$G$58,Census!$G21-17)*(INDEX(Decrements!$D$6:$D$58,Census!$G21+G$5-18)+IF(G$5=$B21,INDEX(Decrements!$F$6:$F$58,Census!$G21+G$5-18),0)+INDEX(Decrements!$E$6:$E$58,Census!$G21+G$5-18)*IF((Census!$F21+G$5)&gt;=Assumptions!$B$11,1,0))*MIN(15/26*Census!$D21*(1+Assumptions!$B$9)^G$5*(INT((Census!$F21+G$5))+IF((Census!$F21+G$5)-INT((Census!$F21+G$5))&gt;0.5,1,0)),Assumptions!$B$10))</f>
        <v>35515.362420491161</v>
      </c>
      <c r="H21" s="30">
        <f>IF(H$5&gt;$B21,0,INDEX(Decrements!$G$6:$G$58,Census!$G21+H$5-18)/INDEX(Decrements!$G$6:$G$58,Census!$G21-17)*(INDEX(Decrements!$D$6:$D$58,Census!$G21+H$5-18)+IF(H$5=$B21,INDEX(Decrements!$F$6:$F$58,Census!$G21+H$5-18),0)+INDEX(Decrements!$E$6:$E$58,Census!$G21+H$5-18)*IF((Census!$F21+H$5)&gt;=Assumptions!$B$11,1,0))*MIN(15/26*Census!$D21*(1+Assumptions!$B$9)^H$5*(INT((Census!$F21+H$5))+IF((Census!$F21+H$5)-INT((Census!$F21+H$5))&gt;0.5,1,0)),Assumptions!$B$10))</f>
        <v>38372.154540102478</v>
      </c>
      <c r="I21" s="30">
        <f>IF(I$5&gt;$B21,0,INDEX(Decrements!$G$6:$G$58,Census!$G21+I$5-18)/INDEX(Decrements!$G$6:$G$58,Census!$G21-17)*(INDEX(Decrements!$D$6:$D$58,Census!$G21+I$5-18)+IF(I$5=$B21,INDEX(Decrements!$F$6:$F$58,Census!$G21+I$5-18),0)+INDEX(Decrements!$E$6:$E$58,Census!$G21+I$5-18)*IF((Census!$F21+I$5)&gt;=Assumptions!$B$11,1,0))*MIN(15/26*Census!$D21*(1+Assumptions!$B$9)^I$5*(INT((Census!$F21+I$5))+IF((Census!$F21+I$5)-INT((Census!$F21+I$5))&gt;0.5,1,0)),Assumptions!$B$10))</f>
        <v>41358.272157557345</v>
      </c>
      <c r="J21" s="30">
        <f>IF(J$5&gt;$B21,0,INDEX(Decrements!$G$6:$G$58,Census!$G21+J$5-18)/INDEX(Decrements!$G$6:$G$58,Census!$G21-17)*(INDEX(Decrements!$D$6:$D$58,Census!$G21+J$5-18)+IF(J$5=$B21,INDEX(Decrements!$F$6:$F$58,Census!$G21+J$5-18),0)+INDEX(Decrements!$E$6:$E$58,Census!$G21+J$5-18)*IF((Census!$F21+J$5)&gt;=Assumptions!$B$11,1,0))*MIN(15/26*Census!$D21*(1+Assumptions!$B$9)^J$5*(INT((Census!$F21+J$5))+IF((Census!$F21+J$5)-INT((Census!$F21+J$5))&gt;0.5,1,0)),Assumptions!$B$10))</f>
        <v>44479.412446849092</v>
      </c>
      <c r="K21" s="30">
        <f>IF(K$5&gt;$B21,0,INDEX(Decrements!$G$6:$G$58,Census!$G21+K$5-18)/INDEX(Decrements!$G$6:$G$58,Census!$G21-17)*(INDEX(Decrements!$D$6:$D$58,Census!$G21+K$5-18)+IF(K$5=$B21,INDEX(Decrements!$F$6:$F$58,Census!$G21+K$5-18),0)+INDEX(Decrements!$E$6:$E$58,Census!$G21+K$5-18)*IF((Census!$F21+K$5)&gt;=Assumptions!$B$11,1,0))*MIN(15/26*Census!$D21*(1+Assumptions!$B$9)^K$5*(INT((Census!$F21+K$5))+IF((Census!$F21+K$5)-INT((Census!$F21+K$5))&gt;0.5,1,0)),Assumptions!$B$10))</f>
        <v>47741.610732596229</v>
      </c>
      <c r="L21" s="30">
        <f>IF(L$5&gt;$B21,0,INDEX(Decrements!$G$6:$G$58,Census!$G21+L$5-18)/INDEX(Decrements!$G$6:$G$58,Census!$G21-17)*(INDEX(Decrements!$D$6:$D$58,Census!$G21+L$5-18)+IF(L$5=$B21,INDEX(Decrements!$F$6:$F$58,Census!$G21+L$5-18),0)+INDEX(Decrements!$E$6:$E$58,Census!$G21+L$5-18)*IF((Census!$F21+L$5)&gt;=Assumptions!$B$11,1,0))*MIN(15/26*Census!$D21*(1+Assumptions!$B$9)^L$5*(INT((Census!$F21+L$5))+IF((Census!$F21+L$5)-INT((Census!$F21+L$5))&gt;0.5,1,0)),Assumptions!$B$10))</f>
        <v>31451.718481892978</v>
      </c>
      <c r="M21" s="30">
        <f>IF(M$5&gt;$B21,0,INDEX(Decrements!$G$6:$G$58,Census!$G21+M$5-18)/INDEX(Decrements!$G$6:$G$58,Census!$G21-17)*(INDEX(Decrements!$D$6:$D$58,Census!$G21+M$5-18)+IF(M$5=$B21,INDEX(Decrements!$F$6:$F$58,Census!$G21+M$5-18),0)+INDEX(Decrements!$E$6:$E$58,Census!$G21+M$5-18)*IF((Census!$F21+M$5)&gt;=Assumptions!$B$11,1,0))*MIN(15/26*Census!$D21*(1+Assumptions!$B$9)^M$5*(INT((Census!$F21+M$5))+IF((Census!$F21+M$5)-INT((Census!$F21+M$5))&gt;0.5,1,0)),Assumptions!$B$10))</f>
        <v>33941.97995946031</v>
      </c>
      <c r="N21" s="30">
        <f>IF(N$5&gt;$B21,0,INDEX(Decrements!$G$6:$G$58,Census!$G21+N$5-18)/INDEX(Decrements!$G$6:$G$58,Census!$G21-17)*(INDEX(Decrements!$D$6:$D$58,Census!$G21+N$5-18)+IF(N$5=$B21,INDEX(Decrements!$F$6:$F$58,Census!$G21+N$5-18),0)+INDEX(Decrements!$E$6:$E$58,Census!$G21+N$5-18)*IF((Census!$F21+N$5)&gt;=Assumptions!$B$11,1,0))*MIN(15/26*Census!$D21*(1+Assumptions!$B$9)^N$5*(INT((Census!$F21+N$5))+IF((Census!$F21+N$5)-INT((Census!$F21+N$5))&gt;0.5,1,0)),Assumptions!$B$10))</f>
        <v>33022.336032723288</v>
      </c>
      <c r="O21" s="30">
        <f>IF(O$5&gt;$B21,0,INDEX(Decrements!$G$6:$G$58,Census!$G21+O$5-18)/INDEX(Decrements!$G$6:$G$58,Census!$G21-17)*(INDEX(Decrements!$D$6:$D$58,Census!$G21+O$5-18)+IF(O$5=$B21,INDEX(Decrements!$F$6:$F$58,Census!$G21+O$5-18),0)+INDEX(Decrements!$E$6:$E$58,Census!$G21+O$5-18)*IF((Census!$F21+O$5)&gt;=Assumptions!$B$11,1,0))*MIN(15/26*Census!$D21*(1+Assumptions!$B$9)^O$5*(INT((Census!$F21+O$5))+IF((Census!$F21+O$5)-INT((Census!$F21+O$5))&gt;0.5,1,0)),Assumptions!$B$10))</f>
        <v>32137.523460724788</v>
      </c>
      <c r="P21" s="30">
        <f>IF(P$5&gt;$B21,0,INDEX(Decrements!$G$6:$G$58,Census!$G21+P$5-18)/INDEX(Decrements!$G$6:$G$58,Census!$G21-17)*(INDEX(Decrements!$D$6:$D$58,Census!$G21+P$5-18)+IF(P$5=$B21,INDEX(Decrements!$F$6:$F$58,Census!$G21+P$5-18),0)+INDEX(Decrements!$E$6:$E$58,Census!$G21+P$5-18)*IF((Census!$F21+P$5)&gt;=Assumptions!$B$11,1,0))*MIN(15/26*Census!$D21*(1+Assumptions!$B$9)^P$5*(INT((Census!$F21+P$5))+IF((Census!$F21+P$5)-INT((Census!$F21+P$5))&gt;0.5,1,0)),Assumptions!$B$10))</f>
        <v>31286.847815034173</v>
      </c>
      <c r="Q21" s="30">
        <f>IF(Q$5&gt;$B21,0,INDEX(Decrements!$G$6:$G$58,Census!$G21+Q$5-18)/INDEX(Decrements!$G$6:$G$58,Census!$G21-17)*(INDEX(Decrements!$D$6:$D$58,Census!$G21+Q$5-18)+IF(Q$5=$B21,INDEX(Decrements!$F$6:$F$58,Census!$G21+Q$5-18),0)+INDEX(Decrements!$E$6:$E$58,Census!$G21+Q$5-18)*IF((Census!$F21+Q$5)&gt;=Assumptions!$B$11,1,0))*MIN(15/26*Census!$D21*(1+Assumptions!$B$9)^Q$5*(INT((Census!$F21+Q$5))+IF((Census!$F21+Q$5)-INT((Census!$F21+Q$5))&gt;0.5,1,0)),Assumptions!$B$10))</f>
        <v>21199.181434790728</v>
      </c>
      <c r="R21" s="30">
        <f>IF(R$5&gt;$B21,0,INDEX(Decrements!$G$6:$G$58,Census!$G21+R$5-18)/INDEX(Decrements!$G$6:$G$58,Census!$G21-17)*(INDEX(Decrements!$D$6:$D$58,Census!$G21+R$5-18)+IF(R$5=$B21,INDEX(Decrements!$F$6:$F$58,Census!$G21+R$5-18),0)+INDEX(Decrements!$E$6:$E$58,Census!$G21+R$5-18)*IF((Census!$F21+R$5)&gt;=Assumptions!$B$11,1,0))*MIN(15/26*Census!$D21*(1+Assumptions!$B$9)^R$5*(INT((Census!$F21+R$5))+IF((Census!$F21+R$5)-INT((Census!$F21+R$5))&gt;0.5,1,0)),Assumptions!$B$10))</f>
        <v>20934.462488404555</v>
      </c>
      <c r="S21" s="30">
        <f>IF(S$5&gt;$B21,0,INDEX(Decrements!$G$6:$G$58,Census!$G21+S$5-18)/INDEX(Decrements!$G$6:$G$58,Census!$G21-17)*(INDEX(Decrements!$D$6:$D$58,Census!$G21+S$5-18)+IF(S$5=$B21,INDEX(Decrements!$F$6:$F$58,Census!$G21+S$5-18),0)+INDEX(Decrements!$E$6:$E$58,Census!$G21+S$5-18)*IF((Census!$F21+S$5)&gt;=Assumptions!$B$11,1,0))*MIN(15/26*Census!$D21*(1+Assumptions!$B$9)^S$5*(INT((Census!$F21+S$5))+IF((Census!$F21+S$5)-INT((Census!$F21+S$5))&gt;0.5,1,0)),Assumptions!$B$10))</f>
        <v>20687.004315167062</v>
      </c>
      <c r="T21" s="30">
        <f>IF(T$5&gt;$B21,0,INDEX(Decrements!$G$6:$G$58,Census!$G21+T$5-18)/INDEX(Decrements!$G$6:$G$58,Census!$G21-17)*(INDEX(Decrements!$D$6:$D$58,Census!$G21+T$5-18)+IF(T$5=$B21,INDEX(Decrements!$F$6:$F$58,Census!$G21+T$5-18),0)+INDEX(Decrements!$E$6:$E$58,Census!$G21+T$5-18)*IF((Census!$F21+T$5)&gt;=Assumptions!$B$11,1,0))*MIN(15/26*Census!$D21*(1+Assumptions!$B$9)^T$5*(INT((Census!$F21+T$5))+IF((Census!$F21+T$5)-INT((Census!$F21+T$5))&gt;0.5,1,0)),Assumptions!$B$10))</f>
        <v>20457.170633616504</v>
      </c>
      <c r="U21" s="30">
        <f>IF(U$5&gt;$B21,0,INDEX(Decrements!$G$6:$G$58,Census!$G21+U$5-18)/INDEX(Decrements!$G$6:$G$58,Census!$G21-17)*(INDEX(Decrements!$D$6:$D$58,Census!$G21+U$5-18)+IF(U$5=$B21,INDEX(Decrements!$F$6:$F$58,Census!$G21+U$5-18),0)+INDEX(Decrements!$E$6:$E$58,Census!$G21+U$5-18)*IF((Census!$F21+U$5)&gt;=Assumptions!$B$11,1,0))*MIN(15/26*Census!$D21*(1+Assumptions!$B$9)^U$5*(INT((Census!$F21+U$5))+IF((Census!$F21+U$5)-INT((Census!$F21+U$5))&gt;0.5,1,0)),Assumptions!$B$10))</f>
        <v>20245.33716496691</v>
      </c>
      <c r="V21" s="30">
        <f>IF(V$5&gt;$B21,0,INDEX(Decrements!$G$6:$G$58,Census!$G21+V$5-18)/INDEX(Decrements!$G$6:$G$58,Census!$G21-17)*(INDEX(Decrements!$D$6:$D$58,Census!$G21+V$5-18)+IF(V$5=$B21,INDEX(Decrements!$F$6:$F$58,Census!$G21+V$5-18),0)+INDEX(Decrements!$E$6:$E$58,Census!$G21+V$5-18)*IF((Census!$F21+V$5)&gt;=Assumptions!$B$11,1,0))*MIN(15/26*Census!$D21*(1+Assumptions!$B$9)^V$5*(INT((Census!$F21+V$5))+IF((Census!$F21+V$5)-INT((Census!$F21+V$5))&gt;0.5,1,0)),Assumptions!$B$10))</f>
        <v>11826.075574759876</v>
      </c>
      <c r="W21" s="30">
        <f>IF(W$5&gt;$B21,0,INDEX(Decrements!$G$6:$G$58,Census!$G21+W$5-18)/INDEX(Decrements!$G$6:$G$58,Census!$G21-17)*(INDEX(Decrements!$D$6:$D$58,Census!$G21+W$5-18)+IF(W$5=$B21,INDEX(Decrements!$F$6:$F$58,Census!$G21+W$5-18),0)+INDEX(Decrements!$E$6:$E$58,Census!$G21+W$5-18)*IF((Census!$F21+W$5)&gt;=Assumptions!$B$11,1,0))*MIN(15/26*Census!$D21*(1+Assumptions!$B$9)^W$5*(INT((Census!$F21+W$5))+IF((Census!$F21+W$5)-INT((Census!$F21+W$5))&gt;0.5,1,0)),Assumptions!$B$10))</f>
        <v>11975.182020972652</v>
      </c>
      <c r="X21" s="30">
        <f>IF(X$5&gt;$B21,0,INDEX(Decrements!$G$6:$G$58,Census!$G21+X$5-18)/INDEX(Decrements!$G$6:$G$58,Census!$G21-17)*(INDEX(Decrements!$D$6:$D$58,Census!$G21+X$5-18)+IF(X$5=$B21,INDEX(Decrements!$F$6:$F$58,Census!$G21+X$5-18),0)+INDEX(Decrements!$E$6:$E$58,Census!$G21+X$5-18)*IF((Census!$F21+X$5)&gt;=Assumptions!$B$11,1,0))*MIN(15/26*Census!$D21*(1+Assumptions!$B$9)^X$5*(INT((Census!$F21+X$5))+IF((Census!$F21+X$5)-INT((Census!$F21+X$5))&gt;0.5,1,0)),Assumptions!$B$10))</f>
        <v>12144.017069560188</v>
      </c>
      <c r="Y21" s="30">
        <f>IF(Y$5&gt;$B21,0,INDEX(Decrements!$G$6:$G$58,Census!$G21+Y$5-18)/INDEX(Decrements!$G$6:$G$58,Census!$G21-17)*(INDEX(Decrements!$D$6:$D$58,Census!$G21+Y$5-18)+IF(Y$5=$B21,INDEX(Decrements!$F$6:$F$58,Census!$G21+Y$5-18),0)+INDEX(Decrements!$E$6:$E$58,Census!$G21+Y$5-18)*IF((Census!$F21+Y$5)&gt;=Assumptions!$B$11,1,0))*MIN(15/26*Census!$D21*(1+Assumptions!$B$9)^Y$5*(INT((Census!$F21+Y$5))+IF((Census!$F21+Y$5)-INT((Census!$F21+Y$5))&gt;0.5,1,0)),Assumptions!$B$10))</f>
        <v>12333.728210636717</v>
      </c>
      <c r="Z21" s="30">
        <f>IF(Z$5&gt;$B21,0,INDEX(Decrements!$G$6:$G$58,Census!$G21+Z$5-18)/INDEX(Decrements!$G$6:$G$58,Census!$G21-17)*(INDEX(Decrements!$D$6:$D$58,Census!$G21+Z$5-18)+IF(Z$5=$B21,INDEX(Decrements!$F$6:$F$58,Census!$G21+Z$5-18),0)+INDEX(Decrements!$E$6:$E$58,Census!$G21+Z$5-18)*IF((Census!$F21+Z$5)&gt;=Assumptions!$B$11,1,0))*MIN(15/26*Census!$D21*(1+Assumptions!$B$9)^Z$5*(INT((Census!$F21+Z$5))+IF((Census!$F21+Z$5)-INT((Census!$F21+Z$5))&gt;0.5,1,0)),Assumptions!$B$10))</f>
        <v>777902.377824247</v>
      </c>
      <c r="AA21" s="30">
        <f>IF(AA$5&gt;$B21,0,INDEX(Decrements!$G$6:$G$58,Census!$G21+AA$5-18)/INDEX(Decrements!$G$6:$G$58,Census!$G21-17)*(INDEX(Decrements!$D$6:$D$58,Census!$G21+AA$5-18)+IF(AA$5=$B21,INDEX(Decrements!$F$6:$F$58,Census!$G21+AA$5-18),0)+INDEX(Decrements!$E$6:$E$58,Census!$G21+AA$5-18)*IF((Census!$F21+AA$5)&gt;=Assumptions!$B$11,1,0))*MIN(15/26*Census!$D21*(1+Assumptions!$B$9)^AA$5*(INT((Census!$F21+AA$5))+IF((Census!$F21+AA$5)-INT((Census!$F21+AA$5))&gt;0.5,1,0)),Assumptions!$B$10))</f>
        <v>0</v>
      </c>
      <c r="AB21" s="30">
        <f>IF(AB$5&gt;$B21,0,INDEX(Decrements!$G$6:$G$58,Census!$G21+AB$5-18)/INDEX(Decrements!$G$6:$G$58,Census!$G21-17)*(INDEX(Decrements!$D$6:$D$58,Census!$G21+AB$5-18)+IF(AB$5=$B21,INDEX(Decrements!$F$6:$F$58,Census!$G21+AB$5-18),0)+INDEX(Decrements!$E$6:$E$58,Census!$G21+AB$5-18)*IF((Census!$F21+AB$5)&gt;=Assumptions!$B$11,1,0))*MIN(15/26*Census!$D21*(1+Assumptions!$B$9)^AB$5*(INT((Census!$F21+AB$5))+IF((Census!$F21+AB$5)-INT((Census!$F21+AB$5))&gt;0.5,1,0)),Assumptions!$B$10))</f>
        <v>0</v>
      </c>
      <c r="AC21" s="30">
        <f>IF(AC$5&gt;$B21,0,INDEX(Decrements!$G$6:$G$58,Census!$G21+AC$5-18)/INDEX(Decrements!$G$6:$G$58,Census!$G21-17)*(INDEX(Decrements!$D$6:$D$58,Census!$G21+AC$5-18)+IF(AC$5=$B21,INDEX(Decrements!$F$6:$F$58,Census!$G21+AC$5-18),0)+INDEX(Decrements!$E$6:$E$58,Census!$G21+AC$5-18)*IF((Census!$F21+AC$5)&gt;=Assumptions!$B$11,1,0))*MIN(15/26*Census!$D21*(1+Assumptions!$B$9)^AC$5*(INT((Census!$F21+AC$5))+IF((Census!$F21+AC$5)-INT((Census!$F21+AC$5))&gt;0.5,1,0)),Assumptions!$B$10))</f>
        <v>0</v>
      </c>
      <c r="AD21" s="30">
        <f>IF(AD$5&gt;$B21,0,INDEX(Decrements!$G$6:$G$58,Census!$G21+AD$5-18)/INDEX(Decrements!$G$6:$G$58,Census!$G21-17)*(INDEX(Decrements!$D$6:$D$58,Census!$G21+AD$5-18)+IF(AD$5=$B21,INDEX(Decrements!$F$6:$F$58,Census!$G21+AD$5-18),0)+INDEX(Decrements!$E$6:$E$58,Census!$G21+AD$5-18)*IF((Census!$F21+AD$5)&gt;=Assumptions!$B$11,1,0))*MIN(15/26*Census!$D21*(1+Assumptions!$B$9)^AD$5*(INT((Census!$F21+AD$5))+IF((Census!$F21+AD$5)-INT((Census!$F21+AD$5))&gt;0.5,1,0)),Assumptions!$B$10))</f>
        <v>0</v>
      </c>
      <c r="AE21" s="30">
        <f>IF(AE$5&gt;$B21,0,INDEX(Decrements!$G$6:$G$58,Census!$G21+AE$5-18)/INDEX(Decrements!$G$6:$G$58,Census!$G21-17)*(INDEX(Decrements!$D$6:$D$58,Census!$G21+AE$5-18)+IF(AE$5=$B21,INDEX(Decrements!$F$6:$F$58,Census!$G21+AE$5-18),0)+INDEX(Decrements!$E$6:$E$58,Census!$G21+AE$5-18)*IF((Census!$F21+AE$5)&gt;=Assumptions!$B$11,1,0))*MIN(15/26*Census!$D21*(1+Assumptions!$B$9)^AE$5*(INT((Census!$F21+AE$5))+IF((Census!$F21+AE$5)-INT((Census!$F21+AE$5))&gt;0.5,1,0)),Assumptions!$B$10))</f>
        <v>0</v>
      </c>
      <c r="AF21" s="30">
        <f>IF(AF$5&gt;$B21,0,INDEX(Decrements!$G$6:$G$58,Census!$G21+AF$5-18)/INDEX(Decrements!$G$6:$G$58,Census!$G21-17)*(INDEX(Decrements!$D$6:$D$58,Census!$G21+AF$5-18)+IF(AF$5=$B21,INDEX(Decrements!$F$6:$F$58,Census!$G21+AF$5-18),0)+INDEX(Decrements!$E$6:$E$58,Census!$G21+AF$5-18)*IF((Census!$F21+AF$5)&gt;=Assumptions!$B$11,1,0))*MIN(15/26*Census!$D21*(1+Assumptions!$B$9)^AF$5*(INT((Census!$F21+AF$5))+IF((Census!$F21+AF$5)-INT((Census!$F21+AF$5))&gt;0.5,1,0)),Assumptions!$B$10))</f>
        <v>0</v>
      </c>
      <c r="AG21" s="30">
        <f>IF(AG$5&gt;$B21,0,INDEX(Decrements!$G$6:$G$58,Census!$G21+AG$5-18)/INDEX(Decrements!$G$6:$G$58,Census!$G21-17)*(INDEX(Decrements!$D$6:$D$58,Census!$G21+AG$5-18)+IF(AG$5=$B21,INDEX(Decrements!$F$6:$F$58,Census!$G21+AG$5-18),0)+INDEX(Decrements!$E$6:$E$58,Census!$G21+AG$5-18)*IF((Census!$F21+AG$5)&gt;=Assumptions!$B$11,1,0))*MIN(15/26*Census!$D21*(1+Assumptions!$B$9)^AG$5*(INT((Census!$F21+AG$5))+IF((Census!$F21+AG$5)-INT((Census!$F21+AG$5))&gt;0.5,1,0)),Assumptions!$B$10))</f>
        <v>0</v>
      </c>
      <c r="AH21" s="30">
        <f>IF(AH$5&gt;$B21,0,INDEX(Decrements!$G$6:$G$58,Census!$G21+AH$5-18)/INDEX(Decrements!$G$6:$G$58,Census!$G21-17)*(INDEX(Decrements!$D$6:$D$58,Census!$G21+AH$5-18)+IF(AH$5=$B21,INDEX(Decrements!$F$6:$F$58,Census!$G21+AH$5-18),0)+INDEX(Decrements!$E$6:$E$58,Census!$G21+AH$5-18)*IF((Census!$F21+AH$5)&gt;=Assumptions!$B$11,1,0))*MIN(15/26*Census!$D21*(1+Assumptions!$B$9)^AH$5*(INT((Census!$F21+AH$5))+IF((Census!$F21+AH$5)-INT((Census!$F21+AH$5))&gt;0.5,1,0)),Assumptions!$B$10))</f>
        <v>0</v>
      </c>
      <c r="AI21" s="30">
        <f>IF(AI$5&gt;$B21,0,INDEX(Decrements!$G$6:$G$58,Census!$G21+AI$5-18)/INDEX(Decrements!$G$6:$G$58,Census!$G21-17)*(INDEX(Decrements!$D$6:$D$58,Census!$G21+AI$5-18)+IF(AI$5=$B21,INDEX(Decrements!$F$6:$F$58,Census!$G21+AI$5-18),0)+INDEX(Decrements!$E$6:$E$58,Census!$G21+AI$5-18)*IF((Census!$F21+AI$5)&gt;=Assumptions!$B$11,1,0))*MIN(15/26*Census!$D21*(1+Assumptions!$B$9)^AI$5*(INT((Census!$F21+AI$5))+IF((Census!$F21+AI$5)-INT((Census!$F21+AI$5))&gt;0.5,1,0)),Assumptions!$B$10))</f>
        <v>0</v>
      </c>
      <c r="AJ21" s="30">
        <f>IF(AJ$5&gt;$B21,0,INDEX(Decrements!$G$6:$G$58,Census!$G21+AJ$5-18)/INDEX(Decrements!$G$6:$G$58,Census!$G21-17)*(INDEX(Decrements!$D$6:$D$58,Census!$G21+AJ$5-18)+IF(AJ$5=$B21,INDEX(Decrements!$F$6:$F$58,Census!$G21+AJ$5-18),0)+INDEX(Decrements!$E$6:$E$58,Census!$G21+AJ$5-18)*IF((Census!$F21+AJ$5)&gt;=Assumptions!$B$11,1,0))*MIN(15/26*Census!$D21*(1+Assumptions!$B$9)^AJ$5*(INT((Census!$F21+AJ$5))+IF((Census!$F21+AJ$5)-INT((Census!$F21+AJ$5))&gt;0.5,1,0)),Assumptions!$B$10))</f>
        <v>0</v>
      </c>
      <c r="AK21" s="30">
        <f>IF(AK$5&gt;$B21,0,INDEX(Decrements!$G$6:$G$58,Census!$G21+AK$5-18)/INDEX(Decrements!$G$6:$G$58,Census!$G21-17)*(INDEX(Decrements!$D$6:$D$58,Census!$G21+AK$5-18)+IF(AK$5=$B21,INDEX(Decrements!$F$6:$F$58,Census!$G21+AK$5-18),0)+INDEX(Decrements!$E$6:$E$58,Census!$G21+AK$5-18)*IF((Census!$F21+AK$5)&gt;=Assumptions!$B$11,1,0))*MIN(15/26*Census!$D21*(1+Assumptions!$B$9)^AK$5*(INT((Census!$F21+AK$5))+IF((Census!$F21+AK$5)-INT((Census!$F21+AK$5))&gt;0.5,1,0)),Assumptions!$B$10))</f>
        <v>0</v>
      </c>
      <c r="AL21" s="30">
        <f>IF(AL$5&gt;$B21,0,INDEX(Decrements!$G$6:$G$58,Census!$G21+AL$5-18)/INDEX(Decrements!$G$6:$G$58,Census!$G21-17)*(INDEX(Decrements!$D$6:$D$58,Census!$G21+AL$5-18)+IF(AL$5=$B21,INDEX(Decrements!$F$6:$F$58,Census!$G21+AL$5-18),0)+INDEX(Decrements!$E$6:$E$58,Census!$G21+AL$5-18)*IF((Census!$F21+AL$5)&gt;=Assumptions!$B$11,1,0))*MIN(15/26*Census!$D21*(1+Assumptions!$B$9)^AL$5*(INT((Census!$F21+AL$5))+IF((Census!$F21+AL$5)-INT((Census!$F21+AL$5))&gt;0.5,1,0)),Assumptions!$B$10))</f>
        <v>0</v>
      </c>
      <c r="AM21" s="30">
        <f>IF(AM$5&gt;$B21,0,INDEX(Decrements!$G$6:$G$58,Census!$G21+AM$5-18)/INDEX(Decrements!$G$6:$G$58,Census!$G21-17)*(INDEX(Decrements!$D$6:$D$58,Census!$G21+AM$5-18)+IF(AM$5=$B21,INDEX(Decrements!$F$6:$F$58,Census!$G21+AM$5-18),0)+INDEX(Decrements!$E$6:$E$58,Census!$G21+AM$5-18)*IF((Census!$F21+AM$5)&gt;=Assumptions!$B$11,1,0))*MIN(15/26*Census!$D21*(1+Assumptions!$B$9)^AM$5*(INT((Census!$F21+AM$5))+IF((Census!$F21+AM$5)-INT((Census!$F21+AM$5))&gt;0.5,1,0)),Assumptions!$B$10))</f>
        <v>0</v>
      </c>
      <c r="AN21" s="30">
        <f>IF(AN$5&gt;$B21,0,INDEX(Decrements!$G$6:$G$58,Census!$G21+AN$5-18)/INDEX(Decrements!$G$6:$G$58,Census!$G21-17)*(INDEX(Decrements!$D$6:$D$58,Census!$G21+AN$5-18)+IF(AN$5=$B21,INDEX(Decrements!$F$6:$F$58,Census!$G21+AN$5-18),0)+INDEX(Decrements!$E$6:$E$58,Census!$G21+AN$5-18)*IF((Census!$F21+AN$5)&gt;=Assumptions!$B$11,1,0))*MIN(15/26*Census!$D21*(1+Assumptions!$B$9)^AN$5*(INT((Census!$F21+AN$5))+IF((Census!$F21+AN$5)-INT((Census!$F21+AN$5))&gt;0.5,1,0)),Assumptions!$B$10))</f>
        <v>0</v>
      </c>
      <c r="AO21" s="30">
        <f>IF(AO$5&gt;$B21,0,INDEX(Decrements!$G$6:$G$58,Census!$G21+AO$5-18)/INDEX(Decrements!$G$6:$G$58,Census!$G21-17)*(INDEX(Decrements!$D$6:$D$58,Census!$G21+AO$5-18)+IF(AO$5=$B21,INDEX(Decrements!$F$6:$F$58,Census!$G21+AO$5-18),0)+INDEX(Decrements!$E$6:$E$58,Census!$G21+AO$5-18)*IF((Census!$F21+AO$5)&gt;=Assumptions!$B$11,1,0))*MIN(15/26*Census!$D21*(1+Assumptions!$B$9)^AO$5*(INT((Census!$F21+AO$5))+IF((Census!$F21+AO$5)-INT((Census!$F21+AO$5))&gt;0.5,1,0)),Assumptions!$B$10))</f>
        <v>0</v>
      </c>
      <c r="AP21" s="30">
        <f>IF(AP$5&gt;$B21,0,INDEX(Decrements!$G$6:$G$58,Census!$G21+AP$5-18)/INDEX(Decrements!$G$6:$G$58,Census!$G21-17)*(INDEX(Decrements!$D$6:$D$58,Census!$G21+AP$5-18)+IF(AP$5=$B21,INDEX(Decrements!$F$6:$F$58,Census!$G21+AP$5-18),0)+INDEX(Decrements!$E$6:$E$58,Census!$G21+AP$5-18)*IF((Census!$F21+AP$5)&gt;=Assumptions!$B$11,1,0))*MIN(15/26*Census!$D21*(1+Assumptions!$B$9)^AP$5*(INT((Census!$F21+AP$5))+IF((Census!$F21+AP$5)-INT((Census!$F21+AP$5))&gt;0.5,1,0)),Assumptions!$B$10))</f>
        <v>0</v>
      </c>
      <c r="AQ21" s="30">
        <f>IF(AQ$5&gt;$B21,0,INDEX(Decrements!$G$6:$G$58,Census!$G21+AQ$5-18)/INDEX(Decrements!$G$6:$G$58,Census!$G21-17)*(INDEX(Decrements!$D$6:$D$58,Census!$G21+AQ$5-18)+IF(AQ$5=$B21,INDEX(Decrements!$F$6:$F$58,Census!$G21+AQ$5-18),0)+INDEX(Decrements!$E$6:$E$58,Census!$G21+AQ$5-18)*IF((Census!$F21+AQ$5)&gt;=Assumptions!$B$11,1,0))*MIN(15/26*Census!$D21*(1+Assumptions!$B$9)^AQ$5*(INT((Census!$F21+AQ$5))+IF((Census!$F21+AQ$5)-INT((Census!$F21+AQ$5))&gt;0.5,1,0)),Assumptions!$B$10))</f>
        <v>0</v>
      </c>
      <c r="AR21" s="30">
        <f>IF(AR$5&gt;$B21,0,INDEX(Decrements!$G$6:$G$58,Census!$G21+AR$5-18)/INDEX(Decrements!$G$6:$G$58,Census!$G21-17)*(INDEX(Decrements!$D$6:$D$58,Census!$G21+AR$5-18)+IF(AR$5=$B21,INDEX(Decrements!$F$6:$F$58,Census!$G21+AR$5-18),0)+INDEX(Decrements!$E$6:$E$58,Census!$G21+AR$5-18)*IF((Census!$F21+AR$5)&gt;=Assumptions!$B$11,1,0))*MIN(15/26*Census!$D21*(1+Assumptions!$B$9)^AR$5*(INT((Census!$F21+AR$5))+IF((Census!$F21+AR$5)-INT((Census!$F21+AR$5))&gt;0.5,1,0)),Assumptions!$B$10))</f>
        <v>0</v>
      </c>
      <c r="AS21" s="30">
        <f>IF(AS$5&gt;$B21,0,INDEX(Decrements!$G$6:$G$58,Census!$G21+AS$5-18)/INDEX(Decrements!$G$6:$G$58,Census!$G21-17)*(INDEX(Decrements!$D$6:$D$58,Census!$G21+AS$5-18)+IF(AS$5=$B21,INDEX(Decrements!$F$6:$F$58,Census!$G21+AS$5-18),0)+INDEX(Decrements!$E$6:$E$58,Census!$G21+AS$5-18)*IF((Census!$F21+AS$5)&gt;=Assumptions!$B$11,1,0))*MIN(15/26*Census!$D21*(1+Assumptions!$B$9)^AS$5*(INT((Census!$F21+AS$5))+IF((Census!$F21+AS$5)-INT((Census!$F21+AS$5))&gt;0.5,1,0)),Assumptions!$B$10))</f>
        <v>0</v>
      </c>
      <c r="AT21" s="30">
        <f>IF(AT$5&gt;$B21,0,INDEX(Decrements!$G$6:$G$58,Census!$G21+AT$5-18)/INDEX(Decrements!$G$6:$G$58,Census!$G21-17)*(INDEX(Decrements!$D$6:$D$58,Census!$G21+AT$5-18)+IF(AT$5=$B21,INDEX(Decrements!$F$6:$F$58,Census!$G21+AT$5-18),0)+INDEX(Decrements!$E$6:$E$58,Census!$G21+AT$5-18)*IF((Census!$F21+AT$5)&gt;=Assumptions!$B$11,1,0))*MIN(15/26*Census!$D21*(1+Assumptions!$B$9)^AT$5*(INT((Census!$F21+AT$5))+IF((Census!$F21+AT$5)-INT((Census!$F21+AT$5))&gt;0.5,1,0)),Assumptions!$B$10))</f>
        <v>0</v>
      </c>
      <c r="AU21" s="30">
        <f>IF(AU$5&gt;$B21,0,INDEX(Decrements!$G$6:$G$58,Census!$G21+AU$5-18)/INDEX(Decrements!$G$6:$G$58,Census!$G21-17)*(INDEX(Decrements!$D$6:$D$58,Census!$G21+AU$5-18)+IF(AU$5=$B21,INDEX(Decrements!$F$6:$F$58,Census!$G21+AU$5-18),0)+INDEX(Decrements!$E$6:$E$58,Census!$G21+AU$5-18)*IF((Census!$F21+AU$5)&gt;=Assumptions!$B$11,1,0))*MIN(15/26*Census!$D21*(1+Assumptions!$B$9)^AU$5*(INT((Census!$F21+AU$5))+IF((Census!$F21+AU$5)-INT((Census!$F21+AU$5))&gt;0.5,1,0)),Assumptions!$B$10))</f>
        <v>0</v>
      </c>
    </row>
    <row r="22" spans="1:47" x14ac:dyDescent="0.3">
      <c r="A22" s="10" t="str">
        <f>Census!A22</f>
        <v>E017</v>
      </c>
      <c r="B22" s="29">
        <f>Census!H22</f>
        <v>34</v>
      </c>
      <c r="C22" s="30">
        <f>IF(C$5&gt;$B22,0,INDEX(Decrements!$G$6:$G$58,Census!$G22+C$5-18)/INDEX(Decrements!$G$6:$G$58,Census!$G22-17)*(INDEX(Decrements!$D$6:$D$58,Census!$G22+C$5-18)+IF(C$5=$B22,INDEX(Decrements!$F$6:$F$58,Census!$G22+C$5-18),0)+INDEX(Decrements!$E$6:$E$58,Census!$G22+C$5-18)*IF((Census!$F22+C$5)&gt;=Assumptions!$B$11,1,0))*MIN(15/26*Census!$D22*(1+Assumptions!$B$9)^C$5*(INT((Census!$F22+C$5))+IF((Census!$F22+C$5)-INT((Census!$F22+C$5))&gt;0.5,1,0)),Assumptions!$B$10))</f>
        <v>43.448554217421957</v>
      </c>
      <c r="D22" s="30">
        <f>IF(D$5&gt;$B22,0,INDEX(Decrements!$G$6:$G$58,Census!$G22+D$5-18)/INDEX(Decrements!$G$6:$G$58,Census!$G22-17)*(INDEX(Decrements!$D$6:$D$58,Census!$G22+D$5-18)+IF(D$5=$B22,INDEX(Decrements!$F$6:$F$58,Census!$G22+D$5-18),0)+INDEX(Decrements!$E$6:$E$58,Census!$G22+D$5-18)*IF((Census!$F22+D$5)&gt;=Assumptions!$B$11,1,0))*MIN(15/26*Census!$D22*(1+Assumptions!$B$9)^D$5*(INT((Census!$F22+D$5))+IF((Census!$F22+D$5)-INT((Census!$F22+D$5))&gt;0.5,1,0)),Assumptions!$B$10))</f>
        <v>11980.921115304009</v>
      </c>
      <c r="E22" s="30">
        <f>IF(E$5&gt;$B22,0,INDEX(Decrements!$G$6:$G$58,Census!$G22+E$5-18)/INDEX(Decrements!$G$6:$G$58,Census!$G22-17)*(INDEX(Decrements!$D$6:$D$58,Census!$G22+E$5-18)+IF(E$5=$B22,INDEX(Decrements!$F$6:$F$58,Census!$G22+E$5-18),0)+INDEX(Decrements!$E$6:$E$58,Census!$G22+E$5-18)*IF((Census!$F22+E$5)&gt;=Assumptions!$B$11,1,0))*MIN(15/26*Census!$D22*(1+Assumptions!$B$9)^E$5*(INT((Census!$F22+E$5))+IF((Census!$F22+E$5)-INT((Census!$F22+E$5))&gt;0.5,1,0)),Assumptions!$B$10))</f>
        <v>12824.89681425954</v>
      </c>
      <c r="F22" s="30">
        <f>IF(F$5&gt;$B22,0,INDEX(Decrements!$G$6:$G$58,Census!$G22+F$5-18)/INDEX(Decrements!$G$6:$G$58,Census!$G22-17)*(INDEX(Decrements!$D$6:$D$58,Census!$G22+F$5-18)+IF(F$5=$B22,INDEX(Decrements!$F$6:$F$58,Census!$G22+F$5-18),0)+INDEX(Decrements!$E$6:$E$58,Census!$G22+F$5-18)*IF((Census!$F22+F$5)&gt;=Assumptions!$B$11,1,0))*MIN(15/26*Census!$D22*(1+Assumptions!$B$9)^F$5*(INT((Census!$F22+F$5))+IF((Census!$F22+F$5)-INT((Census!$F22+F$5))&gt;0.5,1,0)),Assumptions!$B$10))</f>
        <v>13447.993340719477</v>
      </c>
      <c r="G22" s="30">
        <f>IF(G$5&gt;$B22,0,INDEX(Decrements!$G$6:$G$58,Census!$G22+G$5-18)/INDEX(Decrements!$G$6:$G$58,Census!$G22-17)*(INDEX(Decrements!$D$6:$D$58,Census!$G22+G$5-18)+IF(G$5=$B22,INDEX(Decrements!$F$6:$F$58,Census!$G22+G$5-18),0)+INDEX(Decrements!$E$6:$E$58,Census!$G22+G$5-18)*IF((Census!$F22+G$5)&gt;=Assumptions!$B$11,1,0))*MIN(15/26*Census!$D22*(1+Assumptions!$B$9)^G$5*(INT((Census!$F22+G$5))+IF((Census!$F22+G$5)-INT((Census!$F22+G$5))&gt;0.5,1,0)),Assumptions!$B$10))</f>
        <v>10198.104342635261</v>
      </c>
      <c r="H22" s="30">
        <f>IF(H$5&gt;$B22,0,INDEX(Decrements!$G$6:$G$58,Census!$G22+H$5-18)/INDEX(Decrements!$G$6:$G$58,Census!$G22-17)*(INDEX(Decrements!$D$6:$D$58,Census!$G22+H$5-18)+IF(H$5=$B22,INDEX(Decrements!$F$6:$F$58,Census!$G22+H$5-18),0)+INDEX(Decrements!$E$6:$E$58,Census!$G22+H$5-18)*IF((Census!$F22+H$5)&gt;=Assumptions!$B$11,1,0))*MIN(15/26*Census!$D22*(1+Assumptions!$B$9)^H$5*(INT((Census!$F22+H$5))+IF((Census!$F22+H$5)-INT((Census!$F22+H$5))&gt;0.5,1,0)),Assumptions!$B$10))</f>
        <v>10886.435806135152</v>
      </c>
      <c r="I22" s="30">
        <f>IF(I$5&gt;$B22,0,INDEX(Decrements!$G$6:$G$58,Census!$G22+I$5-18)/INDEX(Decrements!$G$6:$G$58,Census!$G22-17)*(INDEX(Decrements!$D$6:$D$58,Census!$G22+I$5-18)+IF(I$5=$B22,INDEX(Decrements!$F$6:$F$58,Census!$G22+I$5-18),0)+INDEX(Decrements!$E$6:$E$58,Census!$G22+I$5-18)*IF((Census!$F22+I$5)&gt;=Assumptions!$B$11,1,0))*MIN(15/26*Census!$D22*(1+Assumptions!$B$9)^I$5*(INT((Census!$F22+I$5))+IF((Census!$F22+I$5)-INT((Census!$F22+I$5))&gt;0.5,1,0)),Assumptions!$B$10))</f>
        <v>11504.930504850583</v>
      </c>
      <c r="J22" s="30">
        <f>IF(J$5&gt;$B22,0,INDEX(Decrements!$G$6:$G$58,Census!$G22+J$5-18)/INDEX(Decrements!$G$6:$G$58,Census!$G22-17)*(INDEX(Decrements!$D$6:$D$58,Census!$G22+J$5-18)+IF(J$5=$B22,INDEX(Decrements!$F$6:$F$58,Census!$G22+J$5-18),0)+INDEX(Decrements!$E$6:$E$58,Census!$G22+J$5-18)*IF((Census!$F22+J$5)&gt;=Assumptions!$B$11,1,0))*MIN(15/26*Census!$D22*(1+Assumptions!$B$9)^J$5*(INT((Census!$F22+J$5))+IF((Census!$F22+J$5)-INT((Census!$F22+J$5))&gt;0.5,1,0)),Assumptions!$B$10))</f>
        <v>12057.982673388751</v>
      </c>
      <c r="K22" s="30">
        <f>IF(K$5&gt;$B22,0,INDEX(Decrements!$G$6:$G$58,Census!$G22+K$5-18)/INDEX(Decrements!$G$6:$G$58,Census!$G22-17)*(INDEX(Decrements!$D$6:$D$58,Census!$G22+K$5-18)+IF(K$5=$B22,INDEX(Decrements!$F$6:$F$58,Census!$G22+K$5-18),0)+INDEX(Decrements!$E$6:$E$58,Census!$G22+K$5-18)*IF((Census!$F22+K$5)&gt;=Assumptions!$B$11,1,0))*MIN(15/26*Census!$D22*(1+Assumptions!$B$9)^K$5*(INT((Census!$F22+K$5))+IF((Census!$F22+K$5)-INT((Census!$F22+K$5))&gt;0.5,1,0)),Assumptions!$B$10))</f>
        <v>12549.747570560463</v>
      </c>
      <c r="L22" s="30">
        <f>IF(L$5&gt;$B22,0,INDEX(Decrements!$G$6:$G$58,Census!$G22+L$5-18)/INDEX(Decrements!$G$6:$G$58,Census!$G22-17)*(INDEX(Decrements!$D$6:$D$58,Census!$G22+L$5-18)+IF(L$5=$B22,INDEX(Decrements!$F$6:$F$58,Census!$G22+L$5-18),0)+INDEX(Decrements!$E$6:$E$58,Census!$G22+L$5-18)*IF((Census!$F22+L$5)&gt;=Assumptions!$B$11,1,0))*MIN(15/26*Census!$D22*(1+Assumptions!$B$9)^L$5*(INT((Census!$F22+L$5))+IF((Census!$F22+L$5)-INT((Census!$F22+L$5))&gt;0.5,1,0)),Assumptions!$B$10))</f>
        <v>9474.6126642803156</v>
      </c>
      <c r="M22" s="30">
        <f>IF(M$5&gt;$B22,0,INDEX(Decrements!$G$6:$G$58,Census!$G22+M$5-18)/INDEX(Decrements!$G$6:$G$58,Census!$G22-17)*(INDEX(Decrements!$D$6:$D$58,Census!$G22+M$5-18)+IF(M$5=$B22,INDEX(Decrements!$F$6:$F$58,Census!$G22+M$5-18),0)+INDEX(Decrements!$E$6:$E$58,Census!$G22+M$5-18)*IF((Census!$F22+M$5)&gt;=Assumptions!$B$11,1,0))*MIN(15/26*Census!$D22*(1+Assumptions!$B$9)^M$5*(INT((Census!$F22+M$5))+IF((Census!$F22+M$5)-INT((Census!$F22+M$5))&gt;0.5,1,0)),Assumptions!$B$10))</f>
        <v>10083.174004924451</v>
      </c>
      <c r="N22" s="30">
        <f>IF(N$5&gt;$B22,0,INDEX(Decrements!$G$6:$G$58,Census!$G22+N$5-18)/INDEX(Decrements!$G$6:$G$58,Census!$G22-17)*(INDEX(Decrements!$D$6:$D$58,Census!$G22+N$5-18)+IF(N$5=$B22,INDEX(Decrements!$F$6:$F$58,Census!$G22+N$5-18),0)+INDEX(Decrements!$E$6:$E$58,Census!$G22+N$5-18)*IF((Census!$F22+N$5)&gt;=Assumptions!$B$11,1,0))*MIN(15/26*Census!$D22*(1+Assumptions!$B$9)^N$5*(INT((Census!$F22+N$5))+IF((Census!$F22+N$5)-INT((Census!$F22+N$5))&gt;0.5,1,0)),Assumptions!$B$10))</f>
        <v>10683.210503213548</v>
      </c>
      <c r="O22" s="30">
        <f>IF(O$5&gt;$B22,0,INDEX(Decrements!$G$6:$G$58,Census!$G22+O$5-18)/INDEX(Decrements!$G$6:$G$58,Census!$G22-17)*(INDEX(Decrements!$D$6:$D$58,Census!$G22+O$5-18)+IF(O$5=$B22,INDEX(Decrements!$F$6:$F$58,Census!$G22+O$5-18),0)+INDEX(Decrements!$E$6:$E$58,Census!$G22+O$5-18)*IF((Census!$F22+O$5)&gt;=Assumptions!$B$11,1,0))*MIN(15/26*Census!$D22*(1+Assumptions!$B$9)^O$5*(INT((Census!$F22+O$5))+IF((Census!$F22+O$5)-INT((Census!$F22+O$5))&gt;0.5,1,0)),Assumptions!$B$10))</f>
        <v>11274.830537703447</v>
      </c>
      <c r="P22" s="30">
        <f>IF(P$5&gt;$B22,0,INDEX(Decrements!$G$6:$G$58,Census!$G22+P$5-18)/INDEX(Decrements!$G$6:$G$58,Census!$G22-17)*(INDEX(Decrements!$D$6:$D$58,Census!$G22+P$5-18)+IF(P$5=$B22,INDEX(Decrements!$F$6:$F$58,Census!$G22+P$5-18),0)+INDEX(Decrements!$E$6:$E$58,Census!$G22+P$5-18)*IF((Census!$F22+P$5)&gt;=Assumptions!$B$11,1,0))*MIN(15/26*Census!$D22*(1+Assumptions!$B$9)^P$5*(INT((Census!$F22+P$5))+IF((Census!$F22+P$5)-INT((Census!$F22+P$5))&gt;0.5,1,0)),Assumptions!$B$10))</f>
        <v>11858.143231728811</v>
      </c>
      <c r="Q22" s="30">
        <f>IF(Q$5&gt;$B22,0,INDEX(Decrements!$G$6:$G$58,Census!$G22+Q$5-18)/INDEX(Decrements!$G$6:$G$58,Census!$G22-17)*(INDEX(Decrements!$D$6:$D$58,Census!$G22+Q$5-18)+IF(Q$5=$B22,INDEX(Decrements!$F$6:$F$58,Census!$G22+Q$5-18),0)+INDEX(Decrements!$E$6:$E$58,Census!$G22+Q$5-18)*IF((Census!$F22+Q$5)&gt;=Assumptions!$B$11,1,0))*MIN(15/26*Census!$D22*(1+Assumptions!$B$9)^Q$5*(INT((Census!$F22+Q$5))+IF((Census!$F22+Q$5)-INT((Census!$F22+Q$5))&gt;0.5,1,0)),Assumptions!$B$10))</f>
        <v>7848.1959978356408</v>
      </c>
      <c r="R22" s="30">
        <f>IF(R$5&gt;$B22,0,INDEX(Decrements!$G$6:$G$58,Census!$G22+R$5-18)/INDEX(Decrements!$G$6:$G$58,Census!$G22-17)*(INDEX(Decrements!$D$6:$D$58,Census!$G22+R$5-18)+IF(R$5=$B22,INDEX(Decrements!$F$6:$F$58,Census!$G22+R$5-18),0)+INDEX(Decrements!$E$6:$E$58,Census!$G22+R$5-18)*IF((Census!$F22+R$5)&gt;=Assumptions!$B$11,1,0))*MIN(15/26*Census!$D22*(1+Assumptions!$B$9)^R$5*(INT((Census!$F22+R$5))+IF((Census!$F22+R$5)-INT((Census!$F22+R$5))&gt;0.5,1,0)),Assumptions!$B$10))</f>
        <v>8479.4908221521691</v>
      </c>
      <c r="S22" s="30">
        <f>IF(S$5&gt;$B22,0,INDEX(Decrements!$G$6:$G$58,Census!$G22+S$5-18)/INDEX(Decrements!$G$6:$G$58,Census!$G22-17)*(INDEX(Decrements!$D$6:$D$58,Census!$G22+S$5-18)+IF(S$5=$B22,INDEX(Decrements!$F$6:$F$58,Census!$G22+S$5-18),0)+INDEX(Decrements!$E$6:$E$58,Census!$G22+S$5-18)*IF((Census!$F22+S$5)&gt;=Assumptions!$B$11,1,0))*MIN(15/26*Census!$D22*(1+Assumptions!$B$9)^S$5*(INT((Census!$F22+S$5))+IF((Census!$F22+S$5)-INT((Census!$F22+S$5))&gt;0.5,1,0)),Assumptions!$B$10))</f>
        <v>9139.3640358027842</v>
      </c>
      <c r="T22" s="30">
        <f>IF(T$5&gt;$B22,0,INDEX(Decrements!$G$6:$G$58,Census!$G22+T$5-18)/INDEX(Decrements!$G$6:$G$58,Census!$G22-17)*(INDEX(Decrements!$D$6:$D$58,Census!$G22+T$5-18)+IF(T$5=$B22,INDEX(Decrements!$F$6:$F$58,Census!$G22+T$5-18),0)+INDEX(Decrements!$E$6:$E$58,Census!$G22+T$5-18)*IF((Census!$F22+T$5)&gt;=Assumptions!$B$11,1,0))*MIN(15/26*Census!$D22*(1+Assumptions!$B$9)^T$5*(INT((Census!$F22+T$5))+IF((Census!$F22+T$5)-INT((Census!$F22+T$5))&gt;0.5,1,0)),Assumptions!$B$10))</f>
        <v>9829.074602094799</v>
      </c>
      <c r="U22" s="30">
        <f>IF(U$5&gt;$B22,0,INDEX(Decrements!$G$6:$G$58,Census!$G22+U$5-18)/INDEX(Decrements!$G$6:$G$58,Census!$G22-17)*(INDEX(Decrements!$D$6:$D$58,Census!$G22+U$5-18)+IF(U$5=$B22,INDEX(Decrements!$F$6:$F$58,Census!$G22+U$5-18),0)+INDEX(Decrements!$E$6:$E$58,Census!$G22+U$5-18)*IF((Census!$F22+U$5)&gt;=Assumptions!$B$11,1,0))*MIN(15/26*Census!$D22*(1+Assumptions!$B$9)^U$5*(INT((Census!$F22+U$5))+IF((Census!$F22+U$5)-INT((Census!$F22+U$5))&gt;0.5,1,0)),Assumptions!$B$10))</f>
        <v>10549.956208967415</v>
      </c>
      <c r="V22" s="30">
        <f>IF(V$5&gt;$B22,0,INDEX(Decrements!$G$6:$G$58,Census!$G22+V$5-18)/INDEX(Decrements!$G$6:$G$58,Census!$G22-17)*(INDEX(Decrements!$D$6:$D$58,Census!$G22+V$5-18)+IF(V$5=$B22,INDEX(Decrements!$F$6:$F$58,Census!$G22+V$5-18),0)+INDEX(Decrements!$E$6:$E$58,Census!$G22+V$5-18)*IF((Census!$F22+V$5)&gt;=Assumptions!$B$11,1,0))*MIN(15/26*Census!$D22*(1+Assumptions!$B$9)^V$5*(INT((Census!$F22+V$5))+IF((Census!$F22+V$5)-INT((Census!$F22+V$5))&gt;0.5,1,0)),Assumptions!$B$10))</f>
        <v>6950.2106776257406</v>
      </c>
      <c r="W22" s="30">
        <f>IF(W$5&gt;$B22,0,INDEX(Decrements!$G$6:$G$58,Census!$G22+W$5-18)/INDEX(Decrements!$G$6:$G$58,Census!$G22-17)*(INDEX(Decrements!$D$6:$D$58,Census!$G22+W$5-18)+IF(W$5=$B22,INDEX(Decrements!$F$6:$F$58,Census!$G22+W$5-18),0)+INDEX(Decrements!$E$6:$E$58,Census!$G22+W$5-18)*IF((Census!$F22+W$5)&gt;=Assumptions!$B$11,1,0))*MIN(15/26*Census!$D22*(1+Assumptions!$B$9)^W$5*(INT((Census!$F22+W$5))+IF((Census!$F22+W$5)-INT((Census!$F22+W$5))&gt;0.5,1,0)),Assumptions!$B$10))</f>
        <v>7604.9665620873884</v>
      </c>
      <c r="X22" s="30">
        <f>IF(X$5&gt;$B22,0,INDEX(Decrements!$G$6:$G$58,Census!$G22+X$5-18)/INDEX(Decrements!$G$6:$G$58,Census!$G22-17)*(INDEX(Decrements!$D$6:$D$58,Census!$G22+X$5-18)+IF(X$5=$B22,INDEX(Decrements!$F$6:$F$58,Census!$G22+X$5-18),0)+INDEX(Decrements!$E$6:$E$58,Census!$G22+X$5-18)*IF((Census!$F22+X$5)&gt;=Assumptions!$B$11,1,0))*MIN(15/26*Census!$D22*(1+Assumptions!$B$9)^X$5*(INT((Census!$F22+X$5))+IF((Census!$F22+X$5)-INT((Census!$F22+X$5))&gt;0.5,1,0)),Assumptions!$B$10))</f>
        <v>8310.4592326004913</v>
      </c>
      <c r="Y22" s="30">
        <f>IF(Y$5&gt;$B22,0,INDEX(Decrements!$G$6:$G$58,Census!$G22+Y$5-18)/INDEX(Decrements!$G$6:$G$58,Census!$G22-17)*(INDEX(Decrements!$D$6:$D$58,Census!$G22+Y$5-18)+IF(Y$5=$B22,INDEX(Decrements!$F$6:$F$58,Census!$G22+Y$5-18),0)+INDEX(Decrements!$E$6:$E$58,Census!$G22+Y$5-18)*IF((Census!$F22+Y$5)&gt;=Assumptions!$B$11,1,0))*MIN(15/26*Census!$D22*(1+Assumptions!$B$9)^Y$5*(INT((Census!$F22+Y$5))+IF((Census!$F22+Y$5)-INT((Census!$F22+Y$5))&gt;0.5,1,0)),Assumptions!$B$10))</f>
        <v>8549.8356913638654</v>
      </c>
      <c r="Z22" s="30">
        <f>IF(Z$5&gt;$B22,0,INDEX(Decrements!$G$6:$G$58,Census!$G22+Z$5-18)/INDEX(Decrements!$G$6:$G$58,Census!$G22-17)*(INDEX(Decrements!$D$6:$D$58,Census!$G22+Z$5-18)+IF(Z$5=$B22,INDEX(Decrements!$F$6:$F$58,Census!$G22+Z$5-18),0)+INDEX(Decrements!$E$6:$E$58,Census!$G22+Z$5-18)*IF((Census!$F22+Z$5)&gt;=Assumptions!$B$11,1,0))*MIN(15/26*Census!$D22*(1+Assumptions!$B$9)^Z$5*(INT((Census!$F22+Z$5))+IF((Census!$F22+Z$5)-INT((Census!$F22+Z$5))&gt;0.5,1,0)),Assumptions!$B$10))</f>
        <v>8323.5227644767619</v>
      </c>
      <c r="AA22" s="30">
        <f>IF(AA$5&gt;$B22,0,INDEX(Decrements!$G$6:$G$58,Census!$G22+AA$5-18)/INDEX(Decrements!$G$6:$G$58,Census!$G22-17)*(INDEX(Decrements!$D$6:$D$58,Census!$G22+AA$5-18)+IF(AA$5=$B22,INDEX(Decrements!$F$6:$F$58,Census!$G22+AA$5-18),0)+INDEX(Decrements!$E$6:$E$58,Census!$G22+AA$5-18)*IF((Census!$F22+AA$5)&gt;=Assumptions!$B$11,1,0))*MIN(15/26*Census!$D22*(1+Assumptions!$B$9)^AA$5*(INT((Census!$F22+AA$5))+IF((Census!$F22+AA$5)-INT((Census!$F22+AA$5))&gt;0.5,1,0)),Assumptions!$B$10))</f>
        <v>5639.8097470197645</v>
      </c>
      <c r="AB22" s="30">
        <f>IF(AB$5&gt;$B22,0,INDEX(Decrements!$G$6:$G$58,Census!$G22+AB$5-18)/INDEX(Decrements!$G$6:$G$58,Census!$G22-17)*(INDEX(Decrements!$D$6:$D$58,Census!$G22+AB$5-18)+IF(AB$5=$B22,INDEX(Decrements!$F$6:$F$58,Census!$G22+AB$5-18),0)+INDEX(Decrements!$E$6:$E$58,Census!$G22+AB$5-18)*IF((Census!$F22+AB$5)&gt;=Assumptions!$B$11,1,0))*MIN(15/26*Census!$D22*(1+Assumptions!$B$9)^AB$5*(INT((Census!$F22+AB$5))+IF((Census!$F22+AB$5)-INT((Census!$F22+AB$5))&gt;0.5,1,0)),Assumptions!$B$10))</f>
        <v>5569.3841742851782</v>
      </c>
      <c r="AC22" s="30">
        <f>IF(AC$5&gt;$B22,0,INDEX(Decrements!$G$6:$G$58,Census!$G22+AC$5-18)/INDEX(Decrements!$G$6:$G$58,Census!$G22-17)*(INDEX(Decrements!$D$6:$D$58,Census!$G22+AC$5-18)+IF(AC$5=$B22,INDEX(Decrements!$F$6:$F$58,Census!$G22+AC$5-18),0)+INDEX(Decrements!$E$6:$E$58,Census!$G22+AC$5-18)*IF((Census!$F22+AC$5)&gt;=Assumptions!$B$11,1,0))*MIN(15/26*Census!$D22*(1+Assumptions!$B$9)^AC$5*(INT((Census!$F22+AC$5))+IF((Census!$F22+AC$5)-INT((Census!$F22+AC$5))&gt;0.5,1,0)),Assumptions!$B$10))</f>
        <v>5503.550640962324</v>
      </c>
      <c r="AD22" s="30">
        <f>IF(AD$5&gt;$B22,0,INDEX(Decrements!$G$6:$G$58,Census!$G22+AD$5-18)/INDEX(Decrements!$G$6:$G$58,Census!$G22-17)*(INDEX(Decrements!$D$6:$D$58,Census!$G22+AD$5-18)+IF(AD$5=$B22,INDEX(Decrements!$F$6:$F$58,Census!$G22+AD$5-18),0)+INDEX(Decrements!$E$6:$E$58,Census!$G22+AD$5-18)*IF((Census!$F22+AD$5)&gt;=Assumptions!$B$11,1,0))*MIN(15/26*Census!$D22*(1+Assumptions!$B$9)^AD$5*(INT((Census!$F22+AD$5))+IF((Census!$F22+AD$5)-INT((Census!$F22+AD$5))&gt;0.5,1,0)),Assumptions!$B$10))</f>
        <v>5442.405910379709</v>
      </c>
      <c r="AE22" s="30">
        <f>IF(AE$5&gt;$B22,0,INDEX(Decrements!$G$6:$G$58,Census!$G22+AE$5-18)/INDEX(Decrements!$G$6:$G$58,Census!$G22-17)*(INDEX(Decrements!$D$6:$D$58,Census!$G22+AE$5-18)+IF(AE$5=$B22,INDEX(Decrements!$F$6:$F$58,Census!$G22+AE$5-18),0)+INDEX(Decrements!$E$6:$E$58,Census!$G22+AE$5-18)*IF((Census!$F22+AE$5)&gt;=Assumptions!$B$11,1,0))*MIN(15/26*Census!$D22*(1+Assumptions!$B$9)^AE$5*(INT((Census!$F22+AE$5))+IF((Census!$F22+AE$5)-INT((Census!$F22+AE$5))&gt;0.5,1,0)),Assumptions!$B$10))</f>
        <v>5386.0499390461027</v>
      </c>
      <c r="AF22" s="30">
        <f>IF(AF$5&gt;$B22,0,INDEX(Decrements!$G$6:$G$58,Census!$G22+AF$5-18)/INDEX(Decrements!$G$6:$G$58,Census!$G22-17)*(INDEX(Decrements!$D$6:$D$58,Census!$G22+AF$5-18)+IF(AF$5=$B22,INDEX(Decrements!$F$6:$F$58,Census!$G22+AF$5-18),0)+INDEX(Decrements!$E$6:$E$58,Census!$G22+AF$5-18)*IF((Census!$F22+AF$5)&gt;=Assumptions!$B$11,1,0))*MIN(15/26*Census!$D22*(1+Assumptions!$B$9)^AF$5*(INT((Census!$F22+AF$5))+IF((Census!$F22+AF$5)-INT((Census!$F22+AF$5))&gt;0.5,1,0)),Assumptions!$B$10))</f>
        <v>3146.1977199772728</v>
      </c>
      <c r="AG22" s="30">
        <f>IF(AG$5&gt;$B22,0,INDEX(Decrements!$G$6:$G$58,Census!$G22+AG$5-18)/INDEX(Decrements!$G$6:$G$58,Census!$G22-17)*(INDEX(Decrements!$D$6:$D$58,Census!$G22+AG$5-18)+IF(AG$5=$B22,INDEX(Decrements!$F$6:$F$58,Census!$G22+AG$5-18),0)+INDEX(Decrements!$E$6:$E$58,Census!$G22+AG$5-18)*IF((Census!$F22+AG$5)&gt;=Assumptions!$B$11,1,0))*MIN(15/26*Census!$D22*(1+Assumptions!$B$9)^AG$5*(INT((Census!$F22+AG$5))+IF((Census!$F22+AG$5)-INT((Census!$F22+AG$5))&gt;0.5,1,0)),Assumptions!$B$10))</f>
        <v>3185.8658548663966</v>
      </c>
      <c r="AH22" s="30">
        <f>IF(AH$5&gt;$B22,0,INDEX(Decrements!$G$6:$G$58,Census!$G22+AH$5-18)/INDEX(Decrements!$G$6:$G$58,Census!$G22-17)*(INDEX(Decrements!$D$6:$D$58,Census!$G22+AH$5-18)+IF(AH$5=$B22,INDEX(Decrements!$F$6:$F$58,Census!$G22+AH$5-18),0)+INDEX(Decrements!$E$6:$E$58,Census!$G22+AH$5-18)*IF((Census!$F22+AH$5)&gt;=Assumptions!$B$11,1,0))*MIN(15/26*Census!$D22*(1+Assumptions!$B$9)^AH$5*(INT((Census!$F22+AH$5))+IF((Census!$F22+AH$5)-INT((Census!$F22+AH$5))&gt;0.5,1,0)),Assumptions!$B$10))</f>
        <v>3230.7825680702308</v>
      </c>
      <c r="AI22" s="30">
        <f>IF(AI$5&gt;$B22,0,INDEX(Decrements!$G$6:$G$58,Census!$G22+AI$5-18)/INDEX(Decrements!$G$6:$G$58,Census!$G22-17)*(INDEX(Decrements!$D$6:$D$58,Census!$G22+AI$5-18)+IF(AI$5=$B22,INDEX(Decrements!$F$6:$F$58,Census!$G22+AI$5-18),0)+INDEX(Decrements!$E$6:$E$58,Census!$G22+AI$5-18)*IF((Census!$F22+AI$5)&gt;=Assumptions!$B$11,1,0))*MIN(15/26*Census!$D22*(1+Assumptions!$B$9)^AI$5*(INT((Census!$F22+AI$5))+IF((Census!$F22+AI$5)-INT((Census!$F22+AI$5))&gt;0.5,1,0)),Assumptions!$B$10))</f>
        <v>3281.2531367501019</v>
      </c>
      <c r="AJ22" s="30">
        <f>IF(AJ$5&gt;$B22,0,INDEX(Decrements!$G$6:$G$58,Census!$G22+AJ$5-18)/INDEX(Decrements!$G$6:$G$58,Census!$G22-17)*(INDEX(Decrements!$D$6:$D$58,Census!$G22+AJ$5-18)+IF(AJ$5=$B22,INDEX(Decrements!$F$6:$F$58,Census!$G22+AJ$5-18),0)+INDEX(Decrements!$E$6:$E$58,Census!$G22+AJ$5-18)*IF((Census!$F22+AJ$5)&gt;=Assumptions!$B$11,1,0))*MIN(15/26*Census!$D22*(1+Assumptions!$B$9)^AJ$5*(INT((Census!$F22+AJ$5))+IF((Census!$F22+AJ$5)-INT((Census!$F22+AJ$5))&gt;0.5,1,0)),Assumptions!$B$10))</f>
        <v>206952.39701486847</v>
      </c>
      <c r="AK22" s="30">
        <f>IF(AK$5&gt;$B22,0,INDEX(Decrements!$G$6:$G$58,Census!$G22+AK$5-18)/INDEX(Decrements!$G$6:$G$58,Census!$G22-17)*(INDEX(Decrements!$D$6:$D$58,Census!$G22+AK$5-18)+IF(AK$5=$B22,INDEX(Decrements!$F$6:$F$58,Census!$G22+AK$5-18),0)+INDEX(Decrements!$E$6:$E$58,Census!$G22+AK$5-18)*IF((Census!$F22+AK$5)&gt;=Assumptions!$B$11,1,0))*MIN(15/26*Census!$D22*(1+Assumptions!$B$9)^AK$5*(INT((Census!$F22+AK$5))+IF((Census!$F22+AK$5)-INT((Census!$F22+AK$5))&gt;0.5,1,0)),Assumptions!$B$10))</f>
        <v>0</v>
      </c>
      <c r="AL22" s="30">
        <f>IF(AL$5&gt;$B22,0,INDEX(Decrements!$G$6:$G$58,Census!$G22+AL$5-18)/INDEX(Decrements!$G$6:$G$58,Census!$G22-17)*(INDEX(Decrements!$D$6:$D$58,Census!$G22+AL$5-18)+IF(AL$5=$B22,INDEX(Decrements!$F$6:$F$58,Census!$G22+AL$5-18),0)+INDEX(Decrements!$E$6:$E$58,Census!$G22+AL$5-18)*IF((Census!$F22+AL$5)&gt;=Assumptions!$B$11,1,0))*MIN(15/26*Census!$D22*(1+Assumptions!$B$9)^AL$5*(INT((Census!$F22+AL$5))+IF((Census!$F22+AL$5)-INT((Census!$F22+AL$5))&gt;0.5,1,0)),Assumptions!$B$10))</f>
        <v>0</v>
      </c>
      <c r="AM22" s="30">
        <f>IF(AM$5&gt;$B22,0,INDEX(Decrements!$G$6:$G$58,Census!$G22+AM$5-18)/INDEX(Decrements!$G$6:$G$58,Census!$G22-17)*(INDEX(Decrements!$D$6:$D$58,Census!$G22+AM$5-18)+IF(AM$5=$B22,INDEX(Decrements!$F$6:$F$58,Census!$G22+AM$5-18),0)+INDEX(Decrements!$E$6:$E$58,Census!$G22+AM$5-18)*IF((Census!$F22+AM$5)&gt;=Assumptions!$B$11,1,0))*MIN(15/26*Census!$D22*(1+Assumptions!$B$9)^AM$5*(INT((Census!$F22+AM$5))+IF((Census!$F22+AM$5)-INT((Census!$F22+AM$5))&gt;0.5,1,0)),Assumptions!$B$10))</f>
        <v>0</v>
      </c>
      <c r="AN22" s="30">
        <f>IF(AN$5&gt;$B22,0,INDEX(Decrements!$G$6:$G$58,Census!$G22+AN$5-18)/INDEX(Decrements!$G$6:$G$58,Census!$G22-17)*(INDEX(Decrements!$D$6:$D$58,Census!$G22+AN$5-18)+IF(AN$5=$B22,INDEX(Decrements!$F$6:$F$58,Census!$G22+AN$5-18),0)+INDEX(Decrements!$E$6:$E$58,Census!$G22+AN$5-18)*IF((Census!$F22+AN$5)&gt;=Assumptions!$B$11,1,0))*MIN(15/26*Census!$D22*(1+Assumptions!$B$9)^AN$5*(INT((Census!$F22+AN$5))+IF((Census!$F22+AN$5)-INT((Census!$F22+AN$5))&gt;0.5,1,0)),Assumptions!$B$10))</f>
        <v>0</v>
      </c>
      <c r="AO22" s="30">
        <f>IF(AO$5&gt;$B22,0,INDEX(Decrements!$G$6:$G$58,Census!$G22+AO$5-18)/INDEX(Decrements!$G$6:$G$58,Census!$G22-17)*(INDEX(Decrements!$D$6:$D$58,Census!$G22+AO$5-18)+IF(AO$5=$B22,INDEX(Decrements!$F$6:$F$58,Census!$G22+AO$5-18),0)+INDEX(Decrements!$E$6:$E$58,Census!$G22+AO$5-18)*IF((Census!$F22+AO$5)&gt;=Assumptions!$B$11,1,0))*MIN(15/26*Census!$D22*(1+Assumptions!$B$9)^AO$5*(INT((Census!$F22+AO$5))+IF((Census!$F22+AO$5)-INT((Census!$F22+AO$5))&gt;0.5,1,0)),Assumptions!$B$10))</f>
        <v>0</v>
      </c>
      <c r="AP22" s="30">
        <f>IF(AP$5&gt;$B22,0,INDEX(Decrements!$G$6:$G$58,Census!$G22+AP$5-18)/INDEX(Decrements!$G$6:$G$58,Census!$G22-17)*(INDEX(Decrements!$D$6:$D$58,Census!$G22+AP$5-18)+IF(AP$5=$B22,INDEX(Decrements!$F$6:$F$58,Census!$G22+AP$5-18),0)+INDEX(Decrements!$E$6:$E$58,Census!$G22+AP$5-18)*IF((Census!$F22+AP$5)&gt;=Assumptions!$B$11,1,0))*MIN(15/26*Census!$D22*(1+Assumptions!$B$9)^AP$5*(INT((Census!$F22+AP$5))+IF((Census!$F22+AP$5)-INT((Census!$F22+AP$5))&gt;0.5,1,0)),Assumptions!$B$10))</f>
        <v>0</v>
      </c>
      <c r="AQ22" s="30">
        <f>IF(AQ$5&gt;$B22,0,INDEX(Decrements!$G$6:$G$58,Census!$G22+AQ$5-18)/INDEX(Decrements!$G$6:$G$58,Census!$G22-17)*(INDEX(Decrements!$D$6:$D$58,Census!$G22+AQ$5-18)+IF(AQ$5=$B22,INDEX(Decrements!$F$6:$F$58,Census!$G22+AQ$5-18),0)+INDEX(Decrements!$E$6:$E$58,Census!$G22+AQ$5-18)*IF((Census!$F22+AQ$5)&gt;=Assumptions!$B$11,1,0))*MIN(15/26*Census!$D22*(1+Assumptions!$B$9)^AQ$5*(INT((Census!$F22+AQ$5))+IF((Census!$F22+AQ$5)-INT((Census!$F22+AQ$5))&gt;0.5,1,0)),Assumptions!$B$10))</f>
        <v>0</v>
      </c>
      <c r="AR22" s="30">
        <f>IF(AR$5&gt;$B22,0,INDEX(Decrements!$G$6:$G$58,Census!$G22+AR$5-18)/INDEX(Decrements!$G$6:$G$58,Census!$G22-17)*(INDEX(Decrements!$D$6:$D$58,Census!$G22+AR$5-18)+IF(AR$5=$B22,INDEX(Decrements!$F$6:$F$58,Census!$G22+AR$5-18),0)+INDEX(Decrements!$E$6:$E$58,Census!$G22+AR$5-18)*IF((Census!$F22+AR$5)&gt;=Assumptions!$B$11,1,0))*MIN(15/26*Census!$D22*(1+Assumptions!$B$9)^AR$5*(INT((Census!$F22+AR$5))+IF((Census!$F22+AR$5)-INT((Census!$F22+AR$5))&gt;0.5,1,0)),Assumptions!$B$10))</f>
        <v>0</v>
      </c>
      <c r="AS22" s="30">
        <f>IF(AS$5&gt;$B22,0,INDEX(Decrements!$G$6:$G$58,Census!$G22+AS$5-18)/INDEX(Decrements!$G$6:$G$58,Census!$G22-17)*(INDEX(Decrements!$D$6:$D$58,Census!$G22+AS$5-18)+IF(AS$5=$B22,INDEX(Decrements!$F$6:$F$58,Census!$G22+AS$5-18),0)+INDEX(Decrements!$E$6:$E$58,Census!$G22+AS$5-18)*IF((Census!$F22+AS$5)&gt;=Assumptions!$B$11,1,0))*MIN(15/26*Census!$D22*(1+Assumptions!$B$9)^AS$5*(INT((Census!$F22+AS$5))+IF((Census!$F22+AS$5)-INT((Census!$F22+AS$5))&gt;0.5,1,0)),Assumptions!$B$10))</f>
        <v>0</v>
      </c>
      <c r="AT22" s="30">
        <f>IF(AT$5&gt;$B22,0,INDEX(Decrements!$G$6:$G$58,Census!$G22+AT$5-18)/INDEX(Decrements!$G$6:$G$58,Census!$G22-17)*(INDEX(Decrements!$D$6:$D$58,Census!$G22+AT$5-18)+IF(AT$5=$B22,INDEX(Decrements!$F$6:$F$58,Census!$G22+AT$5-18),0)+INDEX(Decrements!$E$6:$E$58,Census!$G22+AT$5-18)*IF((Census!$F22+AT$5)&gt;=Assumptions!$B$11,1,0))*MIN(15/26*Census!$D22*(1+Assumptions!$B$9)^AT$5*(INT((Census!$F22+AT$5))+IF((Census!$F22+AT$5)-INT((Census!$F22+AT$5))&gt;0.5,1,0)),Assumptions!$B$10))</f>
        <v>0</v>
      </c>
      <c r="AU22" s="30">
        <f>IF(AU$5&gt;$B22,0,INDEX(Decrements!$G$6:$G$58,Census!$G22+AU$5-18)/INDEX(Decrements!$G$6:$G$58,Census!$G22-17)*(INDEX(Decrements!$D$6:$D$58,Census!$G22+AU$5-18)+IF(AU$5=$B22,INDEX(Decrements!$F$6:$F$58,Census!$G22+AU$5-18),0)+INDEX(Decrements!$E$6:$E$58,Census!$G22+AU$5-18)*IF((Census!$F22+AU$5)&gt;=Assumptions!$B$11,1,0))*MIN(15/26*Census!$D22*(1+Assumptions!$B$9)^AU$5*(INT((Census!$F22+AU$5))+IF((Census!$F22+AU$5)-INT((Census!$F22+AU$5))&gt;0.5,1,0)),Assumptions!$B$10))</f>
        <v>0</v>
      </c>
    </row>
    <row r="23" spans="1:47" x14ac:dyDescent="0.3">
      <c r="A23" s="10" t="str">
        <f>Census!A23</f>
        <v>E018</v>
      </c>
      <c r="B23" s="29">
        <f>Census!H23</f>
        <v>23</v>
      </c>
      <c r="C23" s="30">
        <f>IF(C$5&gt;$B23,0,INDEX(Decrements!$G$6:$G$58,Census!$G23+C$5-18)/INDEX(Decrements!$G$6:$G$58,Census!$G23-17)*(INDEX(Decrements!$D$6:$D$58,Census!$G23+C$5-18)+IF(C$5=$B23,INDEX(Decrements!$F$6:$F$58,Census!$G23+C$5-18),0)+INDEX(Decrements!$E$6:$E$58,Census!$G23+C$5-18)*IF((Census!$F23+C$5)&gt;=Assumptions!$B$11,1,0))*MIN(15/26*Census!$D23*(1+Assumptions!$B$9)^C$5*(INT((Census!$F23+C$5))+IF((Census!$F23+C$5)-INT((Census!$F23+C$5))&gt;0.5,1,0)),Assumptions!$B$10))</f>
        <v>31820.138065752297</v>
      </c>
      <c r="D23" s="30">
        <f>IF(D$5&gt;$B23,0,INDEX(Decrements!$G$6:$G$58,Census!$G23+D$5-18)/INDEX(Decrements!$G$6:$G$58,Census!$G23-17)*(INDEX(Decrements!$D$6:$D$58,Census!$G23+D$5-18)+IF(D$5=$B23,INDEX(Decrements!$F$6:$F$58,Census!$G23+D$5-18),0)+INDEX(Decrements!$E$6:$E$58,Census!$G23+D$5-18)*IF((Census!$F23+D$5)&gt;=Assumptions!$B$11,1,0))*MIN(15/26*Census!$D23*(1+Assumptions!$B$9)^D$5*(INT((Census!$F23+D$5))+IF((Census!$F23+D$5)-INT((Census!$F23+D$5))&gt;0.5,1,0)),Assumptions!$B$10))</f>
        <v>34480.211339819689</v>
      </c>
      <c r="E23" s="30">
        <f>IF(E$5&gt;$B23,0,INDEX(Decrements!$G$6:$G$58,Census!$G23+E$5-18)/INDEX(Decrements!$G$6:$G$58,Census!$G23-17)*(INDEX(Decrements!$D$6:$D$58,Census!$G23+E$5-18)+IF(E$5=$B23,INDEX(Decrements!$F$6:$F$58,Census!$G23+E$5-18),0)+INDEX(Decrements!$E$6:$E$58,Census!$G23+E$5-18)*IF((Census!$F23+E$5)&gt;=Assumptions!$B$11,1,0))*MIN(15/26*Census!$D23*(1+Assumptions!$B$9)^E$5*(INT((Census!$F23+E$5))+IF((Census!$F23+E$5)-INT((Census!$F23+E$5))&gt;0.5,1,0)),Assumptions!$B$10))</f>
        <v>37103.519773652952</v>
      </c>
      <c r="F23" s="30">
        <f>IF(F$5&gt;$B23,0,INDEX(Decrements!$G$6:$G$58,Census!$G23+F$5-18)/INDEX(Decrements!$G$6:$G$58,Census!$G23-17)*(INDEX(Decrements!$D$6:$D$58,Census!$G23+F$5-18)+IF(F$5=$B23,INDEX(Decrements!$F$6:$F$58,Census!$G23+F$5-18),0)+INDEX(Decrements!$E$6:$E$58,Census!$G23+F$5-18)*IF((Census!$F23+F$5)&gt;=Assumptions!$B$11,1,0))*MIN(15/26*Census!$D23*(1+Assumptions!$B$9)^F$5*(INT((Census!$F23+F$5))+IF((Census!$F23+F$5)-INT((Census!$F23+F$5))&gt;0.5,1,0)),Assumptions!$B$10))</f>
        <v>25053.698483131007</v>
      </c>
      <c r="G23" s="30">
        <f>IF(G$5&gt;$B23,0,INDEX(Decrements!$G$6:$G$58,Census!$G23+G$5-18)/INDEX(Decrements!$G$6:$G$58,Census!$G23-17)*(INDEX(Decrements!$D$6:$D$58,Census!$G23+G$5-18)+IF(G$5=$B23,INDEX(Decrements!$F$6:$F$58,Census!$G23+G$5-18),0)+INDEX(Decrements!$E$6:$E$58,Census!$G23+G$5-18)*IF((Census!$F23+G$5)&gt;=Assumptions!$B$11,1,0))*MIN(15/26*Census!$D23*(1+Assumptions!$B$9)^G$5*(INT((Census!$F23+G$5))+IF((Census!$F23+G$5)-INT((Census!$F23+G$5))&gt;0.5,1,0)),Assumptions!$B$10))</f>
        <v>27552.347619608689</v>
      </c>
      <c r="H23" s="30">
        <f>IF(H$5&gt;$B23,0,INDEX(Decrements!$G$6:$G$58,Census!$G23+H$5-18)/INDEX(Decrements!$G$6:$G$58,Census!$G23-17)*(INDEX(Decrements!$D$6:$D$58,Census!$G23+H$5-18)+IF(H$5=$B23,INDEX(Decrements!$F$6:$F$58,Census!$G23+H$5-18),0)+INDEX(Decrements!$E$6:$E$58,Census!$G23+H$5-18)*IF((Census!$F23+H$5)&gt;=Assumptions!$B$11,1,0))*MIN(15/26*Census!$D23*(1+Assumptions!$B$9)^H$5*(INT((Census!$F23+H$5))+IF((Census!$F23+H$5)-INT((Census!$F23+H$5))&gt;0.5,1,0)),Assumptions!$B$10))</f>
        <v>30167.841356175817</v>
      </c>
      <c r="I23" s="30">
        <f>IF(I$5&gt;$B23,0,INDEX(Decrements!$G$6:$G$58,Census!$G23+I$5-18)/INDEX(Decrements!$G$6:$G$58,Census!$G23-17)*(INDEX(Decrements!$D$6:$D$58,Census!$G23+I$5-18)+IF(I$5=$B23,INDEX(Decrements!$F$6:$F$58,Census!$G23+I$5-18),0)+INDEX(Decrements!$E$6:$E$58,Census!$G23+I$5-18)*IF((Census!$F23+I$5)&gt;=Assumptions!$B$11,1,0))*MIN(15/26*Census!$D23*(1+Assumptions!$B$9)^I$5*(INT((Census!$F23+I$5))+IF((Census!$F23+I$5)-INT((Census!$F23+I$5))&gt;0.5,1,0)),Assumptions!$B$10))</f>
        <v>32905.344595259216</v>
      </c>
      <c r="J23" s="30">
        <f>IF(J$5&gt;$B23,0,INDEX(Decrements!$G$6:$G$58,Census!$G23+J$5-18)/INDEX(Decrements!$G$6:$G$58,Census!$G23-17)*(INDEX(Decrements!$D$6:$D$58,Census!$G23+J$5-18)+IF(J$5=$B23,INDEX(Decrements!$F$6:$F$58,Census!$G23+J$5-18),0)+INDEX(Decrements!$E$6:$E$58,Census!$G23+J$5-18)*IF((Census!$F23+J$5)&gt;=Assumptions!$B$11,1,0))*MIN(15/26*Census!$D23*(1+Assumptions!$B$9)^J$5*(INT((Census!$F23+J$5))+IF((Census!$F23+J$5)-INT((Census!$F23+J$5))&gt;0.5,1,0)),Assumptions!$B$10))</f>
        <v>35770.325931660504</v>
      </c>
      <c r="K23" s="30">
        <f>IF(K$5&gt;$B23,0,INDEX(Decrements!$G$6:$G$58,Census!$G23+K$5-18)/INDEX(Decrements!$G$6:$G$58,Census!$G23-17)*(INDEX(Decrements!$D$6:$D$58,Census!$G23+K$5-18)+IF(K$5=$B23,INDEX(Decrements!$F$6:$F$58,Census!$G23+K$5-18),0)+INDEX(Decrements!$E$6:$E$58,Census!$G23+K$5-18)*IF((Census!$F23+K$5)&gt;=Assumptions!$B$11,1,0))*MIN(15/26*Census!$D23*(1+Assumptions!$B$9)^K$5*(INT((Census!$F23+K$5))+IF((Census!$F23+K$5)-INT((Census!$F23+K$5))&gt;0.5,1,0)),Assumptions!$B$10))</f>
        <v>23837.894856353141</v>
      </c>
      <c r="L23" s="30">
        <f>IF(L$5&gt;$B23,0,INDEX(Decrements!$G$6:$G$58,Census!$G23+L$5-18)/INDEX(Decrements!$G$6:$G$58,Census!$G23-17)*(INDEX(Decrements!$D$6:$D$58,Census!$G23+L$5-18)+IF(L$5=$B23,INDEX(Decrements!$F$6:$F$58,Census!$G23+L$5-18),0)+INDEX(Decrements!$E$6:$E$58,Census!$G23+L$5-18)*IF((Census!$F23+L$5)&gt;=Assumptions!$B$11,1,0))*MIN(15/26*Census!$D23*(1+Assumptions!$B$9)^L$5*(INT((Census!$F23+L$5))+IF((Census!$F23+L$5)-INT((Census!$F23+L$5))&gt;0.5,1,0)),Assumptions!$B$10))</f>
        <v>26358.146481372532</v>
      </c>
      <c r="M23" s="30">
        <f>IF(M$5&gt;$B23,0,INDEX(Decrements!$G$6:$G$58,Census!$G23+M$5-18)/INDEX(Decrements!$G$6:$G$58,Census!$G23-17)*(INDEX(Decrements!$D$6:$D$58,Census!$G23+M$5-18)+IF(M$5=$B23,INDEX(Decrements!$F$6:$F$58,Census!$G23+M$5-18),0)+INDEX(Decrements!$E$6:$E$58,Census!$G23+M$5-18)*IF((Census!$F23+M$5)&gt;=Assumptions!$B$11,1,0))*MIN(15/26*Census!$D23*(1+Assumptions!$B$9)^M$5*(INT((Census!$F23+M$5))+IF((Census!$F23+M$5)-INT((Census!$F23+M$5))&gt;0.5,1,0)),Assumptions!$B$10))</f>
        <v>29080.277164377385</v>
      </c>
      <c r="N23" s="30">
        <f>IF(N$5&gt;$B23,0,INDEX(Decrements!$G$6:$G$58,Census!$G23+N$5-18)/INDEX(Decrements!$G$6:$G$58,Census!$G23-17)*(INDEX(Decrements!$D$6:$D$58,Census!$G23+N$5-18)+IF(N$5=$B23,INDEX(Decrements!$F$6:$F$58,Census!$G23+N$5-18),0)+INDEX(Decrements!$E$6:$E$58,Census!$G23+N$5-18)*IF((Census!$F23+N$5)&gt;=Assumptions!$B$11,1,0))*MIN(15/26*Census!$D23*(1+Assumptions!$B$9)^N$5*(INT((Census!$F23+N$5))+IF((Census!$F23+N$5)-INT((Census!$F23+N$5))&gt;0.5,1,0)),Assumptions!$B$10))</f>
        <v>32020.661333211148</v>
      </c>
      <c r="O23" s="30">
        <f>IF(O$5&gt;$B23,0,INDEX(Decrements!$G$6:$G$58,Census!$G23+O$5-18)/INDEX(Decrements!$G$6:$G$58,Census!$G23-17)*(INDEX(Decrements!$D$6:$D$58,Census!$G23+O$5-18)+IF(O$5=$B23,INDEX(Decrements!$F$6:$F$58,Census!$G23+O$5-18),0)+INDEX(Decrements!$E$6:$E$58,Census!$G23+O$5-18)*IF((Census!$F23+O$5)&gt;=Assumptions!$B$11,1,0))*MIN(15/26*Census!$D23*(1+Assumptions!$B$9)^O$5*(INT((Census!$F23+O$5))+IF((Census!$F23+O$5)-INT((Census!$F23+O$5))&gt;0.5,1,0)),Assumptions!$B$10))</f>
        <v>34043.124749428302</v>
      </c>
      <c r="P23" s="30">
        <f>IF(P$5&gt;$B23,0,INDEX(Decrements!$G$6:$G$58,Census!$G23+P$5-18)/INDEX(Decrements!$G$6:$G$58,Census!$G23-17)*(INDEX(Decrements!$D$6:$D$58,Census!$G23+P$5-18)+IF(P$5=$B23,INDEX(Decrements!$F$6:$F$58,Census!$G23+P$5-18),0)+INDEX(Decrements!$E$6:$E$58,Census!$G23+P$5-18)*IF((Census!$F23+P$5)&gt;=Assumptions!$B$11,1,0))*MIN(15/26*Census!$D23*(1+Assumptions!$B$9)^P$5*(INT((Census!$F23+P$5))+IF((Census!$F23+P$5)-INT((Census!$F23+P$5))&gt;0.5,1,0)),Assumptions!$B$10))</f>
        <v>23066.765384512637</v>
      </c>
      <c r="Q23" s="30">
        <f>IF(Q$5&gt;$B23,0,INDEX(Decrements!$G$6:$G$58,Census!$G23+Q$5-18)/INDEX(Decrements!$G$6:$G$58,Census!$G23-17)*(INDEX(Decrements!$D$6:$D$58,Census!$G23+Q$5-18)+IF(Q$5=$B23,INDEX(Decrements!$F$6:$F$58,Census!$G23+Q$5-18),0)+INDEX(Decrements!$E$6:$E$58,Census!$G23+Q$5-18)*IF((Census!$F23+Q$5)&gt;=Assumptions!$B$11,1,0))*MIN(15/26*Census!$D23*(1+Assumptions!$B$9)^Q$5*(INT((Census!$F23+Q$5))+IF((Census!$F23+Q$5)-INT((Census!$F23+Q$5))&gt;0.5,1,0)),Assumptions!$B$10))</f>
        <v>22778.725497316609</v>
      </c>
      <c r="R23" s="30">
        <f>IF(R$5&gt;$B23,0,INDEX(Decrements!$G$6:$G$58,Census!$G23+R$5-18)/INDEX(Decrements!$G$6:$G$58,Census!$G23-17)*(INDEX(Decrements!$D$6:$D$58,Census!$G23+R$5-18)+IF(R$5=$B23,INDEX(Decrements!$F$6:$F$58,Census!$G23+R$5-18),0)+INDEX(Decrements!$E$6:$E$58,Census!$G23+R$5-18)*IF((Census!$F23+R$5)&gt;=Assumptions!$B$11,1,0))*MIN(15/26*Census!$D23*(1+Assumptions!$B$9)^R$5*(INT((Census!$F23+R$5))+IF((Census!$F23+R$5)-INT((Census!$F23+R$5))&gt;0.5,1,0)),Assumptions!$B$10))</f>
        <v>22509.467005326831</v>
      </c>
      <c r="S23" s="30">
        <f>IF(S$5&gt;$B23,0,INDEX(Decrements!$G$6:$G$58,Census!$G23+S$5-18)/INDEX(Decrements!$G$6:$G$58,Census!$G23-17)*(INDEX(Decrements!$D$6:$D$58,Census!$G23+S$5-18)+IF(S$5=$B23,INDEX(Decrements!$F$6:$F$58,Census!$G23+S$5-18),0)+INDEX(Decrements!$E$6:$E$58,Census!$G23+S$5-18)*IF((Census!$F23+S$5)&gt;=Assumptions!$B$11,1,0))*MIN(15/26*Census!$D23*(1+Assumptions!$B$9)^S$5*(INT((Census!$F23+S$5))+IF((Census!$F23+S$5)-INT((Census!$F23+S$5))&gt;0.5,1,0)),Assumptions!$B$10))</f>
        <v>22259.385669587849</v>
      </c>
      <c r="T23" s="30">
        <f>IF(T$5&gt;$B23,0,INDEX(Decrements!$G$6:$G$58,Census!$G23+T$5-18)/INDEX(Decrements!$G$6:$G$58,Census!$G23-17)*(INDEX(Decrements!$D$6:$D$58,Census!$G23+T$5-18)+IF(T$5=$B23,INDEX(Decrements!$F$6:$F$58,Census!$G23+T$5-18),0)+INDEX(Decrements!$E$6:$E$58,Census!$G23+T$5-18)*IF((Census!$F23+T$5)&gt;=Assumptions!$B$11,1,0))*MIN(15/26*Census!$D23*(1+Assumptions!$B$9)^T$5*(INT((Census!$F23+T$5))+IF((Census!$F23+T$5)-INT((Census!$F23+T$5))&gt;0.5,1,0)),Assumptions!$B$10))</f>
        <v>22028.890311219508</v>
      </c>
      <c r="U23" s="30">
        <f>IF(U$5&gt;$B23,0,INDEX(Decrements!$G$6:$G$58,Census!$G23+U$5-18)/INDEX(Decrements!$G$6:$G$58,Census!$G23-17)*(INDEX(Decrements!$D$6:$D$58,Census!$G23+U$5-18)+IF(U$5=$B23,INDEX(Decrements!$F$6:$F$58,Census!$G23+U$5-18),0)+INDEX(Decrements!$E$6:$E$58,Census!$G23+U$5-18)*IF((Census!$F23+U$5)&gt;=Assumptions!$B$11,1,0))*MIN(15/26*Census!$D23*(1+Assumptions!$B$9)^U$5*(INT((Census!$F23+U$5))+IF((Census!$F23+U$5)-INT((Census!$F23+U$5))&gt;0.5,1,0)),Assumptions!$B$10))</f>
        <v>12867.917166594803</v>
      </c>
      <c r="V23" s="30">
        <f>IF(V$5&gt;$B23,0,INDEX(Decrements!$G$6:$G$58,Census!$G23+V$5-18)/INDEX(Decrements!$G$6:$G$58,Census!$G23-17)*(INDEX(Decrements!$D$6:$D$58,Census!$G23+V$5-18)+IF(V$5=$B23,INDEX(Decrements!$F$6:$F$58,Census!$G23+V$5-18),0)+INDEX(Decrements!$E$6:$E$58,Census!$G23+V$5-18)*IF((Census!$F23+V$5)&gt;=Assumptions!$B$11,1,0))*MIN(15/26*Census!$D23*(1+Assumptions!$B$9)^V$5*(INT((Census!$F23+V$5))+IF((Census!$F23+V$5)-INT((Census!$F23+V$5))&gt;0.5,1,0)),Assumptions!$B$10))</f>
        <v>13030.159441028292</v>
      </c>
      <c r="W23" s="30">
        <f>IF(W$5&gt;$B23,0,INDEX(Decrements!$G$6:$G$58,Census!$G23+W$5-18)/INDEX(Decrements!$G$6:$G$58,Census!$G23-17)*(INDEX(Decrements!$D$6:$D$58,Census!$G23+W$5-18)+IF(W$5=$B23,INDEX(Decrements!$F$6:$F$58,Census!$G23+W$5-18),0)+INDEX(Decrements!$E$6:$E$58,Census!$G23+W$5-18)*IF((Census!$F23+W$5)&gt;=Assumptions!$B$11,1,0))*MIN(15/26*Census!$D23*(1+Assumptions!$B$9)^W$5*(INT((Census!$F23+W$5))+IF((Census!$F23+W$5)-INT((Census!$F23+W$5))&gt;0.5,1,0)),Assumptions!$B$10))</f>
        <v>13213.868348206193</v>
      </c>
      <c r="X23" s="30">
        <f>IF(X$5&gt;$B23,0,INDEX(Decrements!$G$6:$G$58,Census!$G23+X$5-18)/INDEX(Decrements!$G$6:$G$58,Census!$G23-17)*(INDEX(Decrements!$D$6:$D$58,Census!$G23+X$5-18)+IF(X$5=$B23,INDEX(Decrements!$F$6:$F$58,Census!$G23+X$5-18),0)+INDEX(Decrements!$E$6:$E$58,Census!$G23+X$5-18)*IF((Census!$F23+X$5)&gt;=Assumptions!$B$11,1,0))*MIN(15/26*Census!$D23*(1+Assumptions!$B$9)^X$5*(INT((Census!$F23+X$5))+IF((Census!$F23+X$5)-INT((Census!$F23+X$5))&gt;0.5,1,0)),Assumptions!$B$10))</f>
        <v>13420.29246866109</v>
      </c>
      <c r="Y23" s="30">
        <f>IF(Y$5&gt;$B23,0,INDEX(Decrements!$G$6:$G$58,Census!$G23+Y$5-18)/INDEX(Decrements!$G$6:$G$58,Census!$G23-17)*(INDEX(Decrements!$D$6:$D$58,Census!$G23+Y$5-18)+IF(Y$5=$B23,INDEX(Decrements!$F$6:$F$58,Census!$G23+Y$5-18),0)+INDEX(Decrements!$E$6:$E$58,Census!$G23+Y$5-18)*IF((Census!$F23+Y$5)&gt;=Assumptions!$B$11,1,0))*MIN(15/26*Census!$D23*(1+Assumptions!$B$9)^Y$5*(INT((Census!$F23+Y$5))+IF((Census!$F23+Y$5)-INT((Census!$F23+Y$5))&gt;0.5,1,0)),Assumptions!$B$10))</f>
        <v>846433.23123214475</v>
      </c>
      <c r="Z23" s="30">
        <f>IF(Z$5&gt;$B23,0,INDEX(Decrements!$G$6:$G$58,Census!$G23+Z$5-18)/INDEX(Decrements!$G$6:$G$58,Census!$G23-17)*(INDEX(Decrements!$D$6:$D$58,Census!$G23+Z$5-18)+IF(Z$5=$B23,INDEX(Decrements!$F$6:$F$58,Census!$G23+Z$5-18),0)+INDEX(Decrements!$E$6:$E$58,Census!$G23+Z$5-18)*IF((Census!$F23+Z$5)&gt;=Assumptions!$B$11,1,0))*MIN(15/26*Census!$D23*(1+Assumptions!$B$9)^Z$5*(INT((Census!$F23+Z$5))+IF((Census!$F23+Z$5)-INT((Census!$F23+Z$5))&gt;0.5,1,0)),Assumptions!$B$10))</f>
        <v>0</v>
      </c>
      <c r="AA23" s="30">
        <f>IF(AA$5&gt;$B23,0,INDEX(Decrements!$G$6:$G$58,Census!$G23+AA$5-18)/INDEX(Decrements!$G$6:$G$58,Census!$G23-17)*(INDEX(Decrements!$D$6:$D$58,Census!$G23+AA$5-18)+IF(AA$5=$B23,INDEX(Decrements!$F$6:$F$58,Census!$G23+AA$5-18),0)+INDEX(Decrements!$E$6:$E$58,Census!$G23+AA$5-18)*IF((Census!$F23+AA$5)&gt;=Assumptions!$B$11,1,0))*MIN(15/26*Census!$D23*(1+Assumptions!$B$9)^AA$5*(INT((Census!$F23+AA$5))+IF((Census!$F23+AA$5)-INT((Census!$F23+AA$5))&gt;0.5,1,0)),Assumptions!$B$10))</f>
        <v>0</v>
      </c>
      <c r="AB23" s="30">
        <f>IF(AB$5&gt;$B23,0,INDEX(Decrements!$G$6:$G$58,Census!$G23+AB$5-18)/INDEX(Decrements!$G$6:$G$58,Census!$G23-17)*(INDEX(Decrements!$D$6:$D$58,Census!$G23+AB$5-18)+IF(AB$5=$B23,INDEX(Decrements!$F$6:$F$58,Census!$G23+AB$5-18),0)+INDEX(Decrements!$E$6:$E$58,Census!$G23+AB$5-18)*IF((Census!$F23+AB$5)&gt;=Assumptions!$B$11,1,0))*MIN(15/26*Census!$D23*(1+Assumptions!$B$9)^AB$5*(INT((Census!$F23+AB$5))+IF((Census!$F23+AB$5)-INT((Census!$F23+AB$5))&gt;0.5,1,0)),Assumptions!$B$10))</f>
        <v>0</v>
      </c>
      <c r="AC23" s="30">
        <f>IF(AC$5&gt;$B23,0,INDEX(Decrements!$G$6:$G$58,Census!$G23+AC$5-18)/INDEX(Decrements!$G$6:$G$58,Census!$G23-17)*(INDEX(Decrements!$D$6:$D$58,Census!$G23+AC$5-18)+IF(AC$5=$B23,INDEX(Decrements!$F$6:$F$58,Census!$G23+AC$5-18),0)+INDEX(Decrements!$E$6:$E$58,Census!$G23+AC$5-18)*IF((Census!$F23+AC$5)&gt;=Assumptions!$B$11,1,0))*MIN(15/26*Census!$D23*(1+Assumptions!$B$9)^AC$5*(INT((Census!$F23+AC$5))+IF((Census!$F23+AC$5)-INT((Census!$F23+AC$5))&gt;0.5,1,0)),Assumptions!$B$10))</f>
        <v>0</v>
      </c>
      <c r="AD23" s="30">
        <f>IF(AD$5&gt;$B23,0,INDEX(Decrements!$G$6:$G$58,Census!$G23+AD$5-18)/INDEX(Decrements!$G$6:$G$58,Census!$G23-17)*(INDEX(Decrements!$D$6:$D$58,Census!$G23+AD$5-18)+IF(AD$5=$B23,INDEX(Decrements!$F$6:$F$58,Census!$G23+AD$5-18),0)+INDEX(Decrements!$E$6:$E$58,Census!$G23+AD$5-18)*IF((Census!$F23+AD$5)&gt;=Assumptions!$B$11,1,0))*MIN(15/26*Census!$D23*(1+Assumptions!$B$9)^AD$5*(INT((Census!$F23+AD$5))+IF((Census!$F23+AD$5)-INT((Census!$F23+AD$5))&gt;0.5,1,0)),Assumptions!$B$10))</f>
        <v>0</v>
      </c>
      <c r="AE23" s="30">
        <f>IF(AE$5&gt;$B23,0,INDEX(Decrements!$G$6:$G$58,Census!$G23+AE$5-18)/INDEX(Decrements!$G$6:$G$58,Census!$G23-17)*(INDEX(Decrements!$D$6:$D$58,Census!$G23+AE$5-18)+IF(AE$5=$B23,INDEX(Decrements!$F$6:$F$58,Census!$G23+AE$5-18),0)+INDEX(Decrements!$E$6:$E$58,Census!$G23+AE$5-18)*IF((Census!$F23+AE$5)&gt;=Assumptions!$B$11,1,0))*MIN(15/26*Census!$D23*(1+Assumptions!$B$9)^AE$5*(INT((Census!$F23+AE$5))+IF((Census!$F23+AE$5)-INT((Census!$F23+AE$5))&gt;0.5,1,0)),Assumptions!$B$10))</f>
        <v>0</v>
      </c>
      <c r="AF23" s="30">
        <f>IF(AF$5&gt;$B23,0,INDEX(Decrements!$G$6:$G$58,Census!$G23+AF$5-18)/INDEX(Decrements!$G$6:$G$58,Census!$G23-17)*(INDEX(Decrements!$D$6:$D$58,Census!$G23+AF$5-18)+IF(AF$5=$B23,INDEX(Decrements!$F$6:$F$58,Census!$G23+AF$5-18),0)+INDEX(Decrements!$E$6:$E$58,Census!$G23+AF$5-18)*IF((Census!$F23+AF$5)&gt;=Assumptions!$B$11,1,0))*MIN(15/26*Census!$D23*(1+Assumptions!$B$9)^AF$5*(INT((Census!$F23+AF$5))+IF((Census!$F23+AF$5)-INT((Census!$F23+AF$5))&gt;0.5,1,0)),Assumptions!$B$10))</f>
        <v>0</v>
      </c>
      <c r="AG23" s="30">
        <f>IF(AG$5&gt;$B23,0,INDEX(Decrements!$G$6:$G$58,Census!$G23+AG$5-18)/INDEX(Decrements!$G$6:$G$58,Census!$G23-17)*(INDEX(Decrements!$D$6:$D$58,Census!$G23+AG$5-18)+IF(AG$5=$B23,INDEX(Decrements!$F$6:$F$58,Census!$G23+AG$5-18),0)+INDEX(Decrements!$E$6:$E$58,Census!$G23+AG$5-18)*IF((Census!$F23+AG$5)&gt;=Assumptions!$B$11,1,0))*MIN(15/26*Census!$D23*(1+Assumptions!$B$9)^AG$5*(INT((Census!$F23+AG$5))+IF((Census!$F23+AG$5)-INT((Census!$F23+AG$5))&gt;0.5,1,0)),Assumptions!$B$10))</f>
        <v>0</v>
      </c>
      <c r="AH23" s="30">
        <f>IF(AH$5&gt;$B23,0,INDEX(Decrements!$G$6:$G$58,Census!$G23+AH$5-18)/INDEX(Decrements!$G$6:$G$58,Census!$G23-17)*(INDEX(Decrements!$D$6:$D$58,Census!$G23+AH$5-18)+IF(AH$5=$B23,INDEX(Decrements!$F$6:$F$58,Census!$G23+AH$5-18),0)+INDEX(Decrements!$E$6:$E$58,Census!$G23+AH$5-18)*IF((Census!$F23+AH$5)&gt;=Assumptions!$B$11,1,0))*MIN(15/26*Census!$D23*(1+Assumptions!$B$9)^AH$5*(INT((Census!$F23+AH$5))+IF((Census!$F23+AH$5)-INT((Census!$F23+AH$5))&gt;0.5,1,0)),Assumptions!$B$10))</f>
        <v>0</v>
      </c>
      <c r="AI23" s="30">
        <f>IF(AI$5&gt;$B23,0,INDEX(Decrements!$G$6:$G$58,Census!$G23+AI$5-18)/INDEX(Decrements!$G$6:$G$58,Census!$G23-17)*(INDEX(Decrements!$D$6:$D$58,Census!$G23+AI$5-18)+IF(AI$5=$B23,INDEX(Decrements!$F$6:$F$58,Census!$G23+AI$5-18),0)+INDEX(Decrements!$E$6:$E$58,Census!$G23+AI$5-18)*IF((Census!$F23+AI$5)&gt;=Assumptions!$B$11,1,0))*MIN(15/26*Census!$D23*(1+Assumptions!$B$9)^AI$5*(INT((Census!$F23+AI$5))+IF((Census!$F23+AI$5)-INT((Census!$F23+AI$5))&gt;0.5,1,0)),Assumptions!$B$10))</f>
        <v>0</v>
      </c>
      <c r="AJ23" s="30">
        <f>IF(AJ$5&gt;$B23,0,INDEX(Decrements!$G$6:$G$58,Census!$G23+AJ$5-18)/INDEX(Decrements!$G$6:$G$58,Census!$G23-17)*(INDEX(Decrements!$D$6:$D$58,Census!$G23+AJ$5-18)+IF(AJ$5=$B23,INDEX(Decrements!$F$6:$F$58,Census!$G23+AJ$5-18),0)+INDEX(Decrements!$E$6:$E$58,Census!$G23+AJ$5-18)*IF((Census!$F23+AJ$5)&gt;=Assumptions!$B$11,1,0))*MIN(15/26*Census!$D23*(1+Assumptions!$B$9)^AJ$5*(INT((Census!$F23+AJ$5))+IF((Census!$F23+AJ$5)-INT((Census!$F23+AJ$5))&gt;0.5,1,0)),Assumptions!$B$10))</f>
        <v>0</v>
      </c>
      <c r="AK23" s="30">
        <f>IF(AK$5&gt;$B23,0,INDEX(Decrements!$G$6:$G$58,Census!$G23+AK$5-18)/INDEX(Decrements!$G$6:$G$58,Census!$G23-17)*(INDEX(Decrements!$D$6:$D$58,Census!$G23+AK$5-18)+IF(AK$5=$B23,INDEX(Decrements!$F$6:$F$58,Census!$G23+AK$5-18),0)+INDEX(Decrements!$E$6:$E$58,Census!$G23+AK$5-18)*IF((Census!$F23+AK$5)&gt;=Assumptions!$B$11,1,0))*MIN(15/26*Census!$D23*(1+Assumptions!$B$9)^AK$5*(INT((Census!$F23+AK$5))+IF((Census!$F23+AK$5)-INT((Census!$F23+AK$5))&gt;0.5,1,0)),Assumptions!$B$10))</f>
        <v>0</v>
      </c>
      <c r="AL23" s="30">
        <f>IF(AL$5&gt;$B23,0,INDEX(Decrements!$G$6:$G$58,Census!$G23+AL$5-18)/INDEX(Decrements!$G$6:$G$58,Census!$G23-17)*(INDEX(Decrements!$D$6:$D$58,Census!$G23+AL$5-18)+IF(AL$5=$B23,INDEX(Decrements!$F$6:$F$58,Census!$G23+AL$5-18),0)+INDEX(Decrements!$E$6:$E$58,Census!$G23+AL$5-18)*IF((Census!$F23+AL$5)&gt;=Assumptions!$B$11,1,0))*MIN(15/26*Census!$D23*(1+Assumptions!$B$9)^AL$5*(INT((Census!$F23+AL$5))+IF((Census!$F23+AL$5)-INT((Census!$F23+AL$5))&gt;0.5,1,0)),Assumptions!$B$10))</f>
        <v>0</v>
      </c>
      <c r="AM23" s="30">
        <f>IF(AM$5&gt;$B23,0,INDEX(Decrements!$G$6:$G$58,Census!$G23+AM$5-18)/INDEX(Decrements!$G$6:$G$58,Census!$G23-17)*(INDEX(Decrements!$D$6:$D$58,Census!$G23+AM$5-18)+IF(AM$5=$B23,INDEX(Decrements!$F$6:$F$58,Census!$G23+AM$5-18),0)+INDEX(Decrements!$E$6:$E$58,Census!$G23+AM$5-18)*IF((Census!$F23+AM$5)&gt;=Assumptions!$B$11,1,0))*MIN(15/26*Census!$D23*(1+Assumptions!$B$9)^AM$5*(INT((Census!$F23+AM$5))+IF((Census!$F23+AM$5)-INT((Census!$F23+AM$5))&gt;0.5,1,0)),Assumptions!$B$10))</f>
        <v>0</v>
      </c>
      <c r="AN23" s="30">
        <f>IF(AN$5&gt;$B23,0,INDEX(Decrements!$G$6:$G$58,Census!$G23+AN$5-18)/INDEX(Decrements!$G$6:$G$58,Census!$G23-17)*(INDEX(Decrements!$D$6:$D$58,Census!$G23+AN$5-18)+IF(AN$5=$B23,INDEX(Decrements!$F$6:$F$58,Census!$G23+AN$5-18),0)+INDEX(Decrements!$E$6:$E$58,Census!$G23+AN$5-18)*IF((Census!$F23+AN$5)&gt;=Assumptions!$B$11,1,0))*MIN(15/26*Census!$D23*(1+Assumptions!$B$9)^AN$5*(INT((Census!$F23+AN$5))+IF((Census!$F23+AN$5)-INT((Census!$F23+AN$5))&gt;0.5,1,0)),Assumptions!$B$10))</f>
        <v>0</v>
      </c>
      <c r="AO23" s="30">
        <f>IF(AO$5&gt;$B23,0,INDEX(Decrements!$G$6:$G$58,Census!$G23+AO$5-18)/INDEX(Decrements!$G$6:$G$58,Census!$G23-17)*(INDEX(Decrements!$D$6:$D$58,Census!$G23+AO$5-18)+IF(AO$5=$B23,INDEX(Decrements!$F$6:$F$58,Census!$G23+AO$5-18),0)+INDEX(Decrements!$E$6:$E$58,Census!$G23+AO$5-18)*IF((Census!$F23+AO$5)&gt;=Assumptions!$B$11,1,0))*MIN(15/26*Census!$D23*(1+Assumptions!$B$9)^AO$5*(INT((Census!$F23+AO$5))+IF((Census!$F23+AO$5)-INT((Census!$F23+AO$5))&gt;0.5,1,0)),Assumptions!$B$10))</f>
        <v>0</v>
      </c>
      <c r="AP23" s="30">
        <f>IF(AP$5&gt;$B23,0,INDEX(Decrements!$G$6:$G$58,Census!$G23+AP$5-18)/INDEX(Decrements!$G$6:$G$58,Census!$G23-17)*(INDEX(Decrements!$D$6:$D$58,Census!$G23+AP$5-18)+IF(AP$5=$B23,INDEX(Decrements!$F$6:$F$58,Census!$G23+AP$5-18),0)+INDEX(Decrements!$E$6:$E$58,Census!$G23+AP$5-18)*IF((Census!$F23+AP$5)&gt;=Assumptions!$B$11,1,0))*MIN(15/26*Census!$D23*(1+Assumptions!$B$9)^AP$5*(INT((Census!$F23+AP$5))+IF((Census!$F23+AP$5)-INT((Census!$F23+AP$5))&gt;0.5,1,0)),Assumptions!$B$10))</f>
        <v>0</v>
      </c>
      <c r="AQ23" s="30">
        <f>IF(AQ$5&gt;$B23,0,INDEX(Decrements!$G$6:$G$58,Census!$G23+AQ$5-18)/INDEX(Decrements!$G$6:$G$58,Census!$G23-17)*(INDEX(Decrements!$D$6:$D$58,Census!$G23+AQ$5-18)+IF(AQ$5=$B23,INDEX(Decrements!$F$6:$F$58,Census!$G23+AQ$5-18),0)+INDEX(Decrements!$E$6:$E$58,Census!$G23+AQ$5-18)*IF((Census!$F23+AQ$5)&gt;=Assumptions!$B$11,1,0))*MIN(15/26*Census!$D23*(1+Assumptions!$B$9)^AQ$5*(INT((Census!$F23+AQ$5))+IF((Census!$F23+AQ$5)-INT((Census!$F23+AQ$5))&gt;0.5,1,0)),Assumptions!$B$10))</f>
        <v>0</v>
      </c>
      <c r="AR23" s="30">
        <f>IF(AR$5&gt;$B23,0,INDEX(Decrements!$G$6:$G$58,Census!$G23+AR$5-18)/INDEX(Decrements!$G$6:$G$58,Census!$G23-17)*(INDEX(Decrements!$D$6:$D$58,Census!$G23+AR$5-18)+IF(AR$5=$B23,INDEX(Decrements!$F$6:$F$58,Census!$G23+AR$5-18),0)+INDEX(Decrements!$E$6:$E$58,Census!$G23+AR$5-18)*IF((Census!$F23+AR$5)&gt;=Assumptions!$B$11,1,0))*MIN(15/26*Census!$D23*(1+Assumptions!$B$9)^AR$5*(INT((Census!$F23+AR$5))+IF((Census!$F23+AR$5)-INT((Census!$F23+AR$5))&gt;0.5,1,0)),Assumptions!$B$10))</f>
        <v>0</v>
      </c>
      <c r="AS23" s="30">
        <f>IF(AS$5&gt;$B23,0,INDEX(Decrements!$G$6:$G$58,Census!$G23+AS$5-18)/INDEX(Decrements!$G$6:$G$58,Census!$G23-17)*(INDEX(Decrements!$D$6:$D$58,Census!$G23+AS$5-18)+IF(AS$5=$B23,INDEX(Decrements!$F$6:$F$58,Census!$G23+AS$5-18),0)+INDEX(Decrements!$E$6:$E$58,Census!$G23+AS$5-18)*IF((Census!$F23+AS$5)&gt;=Assumptions!$B$11,1,0))*MIN(15/26*Census!$D23*(1+Assumptions!$B$9)^AS$5*(INT((Census!$F23+AS$5))+IF((Census!$F23+AS$5)-INT((Census!$F23+AS$5))&gt;0.5,1,0)),Assumptions!$B$10))</f>
        <v>0</v>
      </c>
      <c r="AT23" s="30">
        <f>IF(AT$5&gt;$B23,0,INDEX(Decrements!$G$6:$G$58,Census!$G23+AT$5-18)/INDEX(Decrements!$G$6:$G$58,Census!$G23-17)*(INDEX(Decrements!$D$6:$D$58,Census!$G23+AT$5-18)+IF(AT$5=$B23,INDEX(Decrements!$F$6:$F$58,Census!$G23+AT$5-18),0)+INDEX(Decrements!$E$6:$E$58,Census!$G23+AT$5-18)*IF((Census!$F23+AT$5)&gt;=Assumptions!$B$11,1,0))*MIN(15/26*Census!$D23*(1+Assumptions!$B$9)^AT$5*(INT((Census!$F23+AT$5))+IF((Census!$F23+AT$5)-INT((Census!$F23+AT$5))&gt;0.5,1,0)),Assumptions!$B$10))</f>
        <v>0</v>
      </c>
      <c r="AU23" s="30">
        <f>IF(AU$5&gt;$B23,0,INDEX(Decrements!$G$6:$G$58,Census!$G23+AU$5-18)/INDEX(Decrements!$G$6:$G$58,Census!$G23-17)*(INDEX(Decrements!$D$6:$D$58,Census!$G23+AU$5-18)+IF(AU$5=$B23,INDEX(Decrements!$F$6:$F$58,Census!$G23+AU$5-18),0)+INDEX(Decrements!$E$6:$E$58,Census!$G23+AU$5-18)*IF((Census!$F23+AU$5)&gt;=Assumptions!$B$11,1,0))*MIN(15/26*Census!$D23*(1+Assumptions!$B$9)^AU$5*(INT((Census!$F23+AU$5))+IF((Census!$F23+AU$5)-INT((Census!$F23+AU$5))&gt;0.5,1,0)),Assumptions!$B$10))</f>
        <v>0</v>
      </c>
    </row>
    <row r="24" spans="1:47" x14ac:dyDescent="0.3">
      <c r="A24" s="10" t="str">
        <f>Census!A24</f>
        <v>E019</v>
      </c>
      <c r="B24" s="29">
        <f>Census!H24</f>
        <v>13</v>
      </c>
      <c r="C24" s="30">
        <f>IF(C$5&gt;$B24,0,INDEX(Decrements!$G$6:$G$58,Census!$G24+C$5-18)/INDEX(Decrements!$G$6:$G$58,Census!$G24-17)*(INDEX(Decrements!$D$6:$D$58,Census!$G24+C$5-18)+IF(C$5=$B24,INDEX(Decrements!$F$6:$F$58,Census!$G24+C$5-18),0)+INDEX(Decrements!$E$6:$E$58,Census!$G24+C$5-18)*IF((Census!$F24+C$5)&gt;=Assumptions!$B$11,1,0))*MIN(15/26*Census!$D24*(1+Assumptions!$B$9)^C$5*(INT((Census!$F24+C$5))+IF((Census!$F24+C$5)-INT((Census!$F24+C$5))&gt;0.5,1,0)),Assumptions!$B$10))</f>
        <v>29757.829293113984</v>
      </c>
      <c r="D24" s="30">
        <f>IF(D$5&gt;$B24,0,INDEX(Decrements!$G$6:$G$58,Census!$G24+D$5-18)/INDEX(Decrements!$G$6:$G$58,Census!$G24-17)*(INDEX(Decrements!$D$6:$D$58,Census!$G24+D$5-18)+IF(D$5=$B24,INDEX(Decrements!$F$6:$F$58,Census!$G24+D$5-18),0)+INDEX(Decrements!$E$6:$E$58,Census!$G24+D$5-18)*IF((Census!$F24+D$5)&gt;=Assumptions!$B$11,1,0))*MIN(15/26*Census!$D24*(1+Assumptions!$B$9)^D$5*(INT((Census!$F24+D$5))+IF((Census!$F24+D$5)-INT((Census!$F24+D$5))&gt;0.5,1,0)),Assumptions!$B$10))</f>
        <v>33117.168790353833</v>
      </c>
      <c r="E24" s="30">
        <f>IF(E$5&gt;$B24,0,INDEX(Decrements!$G$6:$G$58,Census!$G24+E$5-18)/INDEX(Decrements!$G$6:$G$58,Census!$G24-17)*(INDEX(Decrements!$D$6:$D$58,Census!$G24+E$5-18)+IF(E$5=$B24,INDEX(Decrements!$F$6:$F$58,Census!$G24+E$5-18),0)+INDEX(Decrements!$E$6:$E$58,Census!$G24+E$5-18)*IF((Census!$F24+E$5)&gt;=Assumptions!$B$11,1,0))*MIN(15/26*Census!$D24*(1+Assumptions!$B$9)^E$5*(INT((Census!$F24+E$5))+IF((Census!$F24+E$5)-INT((Census!$F24+E$5))&gt;0.5,1,0)),Assumptions!$B$10))</f>
        <v>36754.2407632416</v>
      </c>
      <c r="F24" s="30">
        <f>IF(F$5&gt;$B24,0,INDEX(Decrements!$G$6:$G$58,Census!$G24+F$5-18)/INDEX(Decrements!$G$6:$G$58,Census!$G24-17)*(INDEX(Decrements!$D$6:$D$58,Census!$G24+F$5-18)+IF(F$5=$B24,INDEX(Decrements!$F$6:$F$58,Census!$G24+F$5-18),0)+INDEX(Decrements!$E$6:$E$58,Census!$G24+F$5-18)*IF((Census!$F24+F$5)&gt;=Assumptions!$B$11,1,0))*MIN(15/26*Census!$D24*(1+Assumptions!$B$9)^F$5*(INT((Census!$F24+F$5))+IF((Census!$F24+F$5)-INT((Census!$F24+F$5))&gt;0.5,1,0)),Assumptions!$B$10))</f>
        <v>28311.630930866919</v>
      </c>
      <c r="G24" s="30">
        <f>IF(G$5&gt;$B24,0,INDEX(Decrements!$G$6:$G$58,Census!$G24+G$5-18)/INDEX(Decrements!$G$6:$G$58,Census!$G24-17)*(INDEX(Decrements!$D$6:$D$58,Census!$G24+G$5-18)+IF(G$5=$B24,INDEX(Decrements!$F$6:$F$58,Census!$G24+G$5-18),0)+INDEX(Decrements!$E$6:$E$58,Census!$G24+G$5-18)*IF((Census!$F24+G$5)&gt;=Assumptions!$B$11,1,0))*MIN(15/26*Census!$D24*(1+Assumptions!$B$9)^G$5*(INT((Census!$F24+G$5))+IF((Census!$F24+G$5)-INT((Census!$F24+G$5))&gt;0.5,1,0)),Assumptions!$B$10))</f>
        <v>31704.482256546427</v>
      </c>
      <c r="H24" s="30">
        <f>IF(H$5&gt;$B24,0,INDEX(Decrements!$G$6:$G$58,Census!$G24+H$5-18)/INDEX(Decrements!$G$6:$G$58,Census!$G24-17)*(INDEX(Decrements!$D$6:$D$58,Census!$G24+H$5-18)+IF(H$5=$B24,INDEX(Decrements!$F$6:$F$58,Census!$G24+H$5-18),0)+INDEX(Decrements!$E$6:$E$58,Census!$G24+H$5-18)*IF((Census!$F24+H$5)&gt;=Assumptions!$B$11,1,0))*MIN(15/26*Census!$D24*(1+Assumptions!$B$9)^H$5*(INT((Census!$F24+H$5))+IF((Census!$F24+H$5)-INT((Census!$F24+H$5))&gt;0.5,1,0)),Assumptions!$B$10))</f>
        <v>35447.335648353568</v>
      </c>
      <c r="I24" s="30">
        <f>IF(I$5&gt;$B24,0,INDEX(Decrements!$G$6:$G$58,Census!$G24+I$5-18)/INDEX(Decrements!$G$6:$G$58,Census!$G24-17)*(INDEX(Decrements!$D$6:$D$58,Census!$G24+I$5-18)+IF(I$5=$B24,INDEX(Decrements!$F$6:$F$58,Census!$G24+I$5-18),0)+INDEX(Decrements!$E$6:$E$58,Census!$G24+I$5-18)*IF((Census!$F24+I$5)&gt;=Assumptions!$B$11,1,0))*MIN(15/26*Census!$D24*(1+Assumptions!$B$9)^I$5*(INT((Census!$F24+I$5))+IF((Census!$F24+I$5)-INT((Census!$F24+I$5))&gt;0.5,1,0)),Assumptions!$B$10))</f>
        <v>39578.603906439581</v>
      </c>
      <c r="J24" s="30">
        <f>IF(J$5&gt;$B24,0,INDEX(Decrements!$G$6:$G$58,Census!$G24+J$5-18)/INDEX(Decrements!$G$6:$G$58,Census!$G24-17)*(INDEX(Decrements!$D$6:$D$58,Census!$G24+J$5-18)+IF(J$5=$B24,INDEX(Decrements!$F$6:$F$58,Census!$G24+J$5-18),0)+INDEX(Decrements!$E$6:$E$58,Census!$G24+J$5-18)*IF((Census!$F24+J$5)&gt;=Assumptions!$B$11,1,0))*MIN(15/26*Census!$D24*(1+Assumptions!$B$9)^J$5*(INT((Census!$F24+J$5))+IF((Census!$F24+J$5)-INT((Census!$F24+J$5))&gt;0.5,1,0)),Assumptions!$B$10))</f>
        <v>39458.778191701262</v>
      </c>
      <c r="K24" s="30">
        <f>IF(K$5&gt;$B24,0,INDEX(Decrements!$G$6:$G$58,Census!$G24+K$5-18)/INDEX(Decrements!$G$6:$G$58,Census!$G24-17)*(INDEX(Decrements!$D$6:$D$58,Census!$G24+K$5-18)+IF(K$5=$B24,INDEX(Decrements!$F$6:$F$58,Census!$G24+K$5-18),0)+INDEX(Decrements!$E$6:$E$58,Census!$G24+K$5-18)*IF((Census!$F24+K$5)&gt;=Assumptions!$B$11,1,0))*MIN(15/26*Census!$D24*(1+Assumptions!$B$9)^K$5*(INT((Census!$F24+K$5))+IF((Census!$F24+K$5)-INT((Census!$F24+K$5))&gt;0.5,1,0)),Assumptions!$B$10))</f>
        <v>23049.381157762928</v>
      </c>
      <c r="L24" s="30">
        <f>IF(L$5&gt;$B24,0,INDEX(Decrements!$G$6:$G$58,Census!$G24+L$5-18)/INDEX(Decrements!$G$6:$G$58,Census!$G24-17)*(INDEX(Decrements!$D$6:$D$58,Census!$G24+L$5-18)+IF(L$5=$B24,INDEX(Decrements!$F$6:$F$58,Census!$G24+L$5-18),0)+INDEX(Decrements!$E$6:$E$58,Census!$G24+L$5-18)*IF((Census!$F24+L$5)&gt;=Assumptions!$B$11,1,0))*MIN(15/26*Census!$D24*(1+Assumptions!$B$9)^L$5*(INT((Census!$F24+L$5))+IF((Census!$F24+L$5)-INT((Census!$F24+L$5))&gt;0.5,1,0)),Assumptions!$B$10))</f>
        <v>23339.994158678714</v>
      </c>
      <c r="M24" s="30">
        <f>IF(M$5&gt;$B24,0,INDEX(Decrements!$G$6:$G$58,Census!$G24+M$5-18)/INDEX(Decrements!$G$6:$G$58,Census!$G24-17)*(INDEX(Decrements!$D$6:$D$58,Census!$G24+M$5-18)+IF(M$5=$B24,INDEX(Decrements!$F$6:$F$58,Census!$G24+M$5-18),0)+INDEX(Decrements!$E$6:$E$58,Census!$G24+M$5-18)*IF((Census!$F24+M$5)&gt;=Assumptions!$B$11,1,0))*MIN(15/26*Census!$D24*(1+Assumptions!$B$9)^M$5*(INT((Census!$F24+M$5))+IF((Census!$F24+M$5)-INT((Census!$F24+M$5))&gt;0.5,1,0)),Assumptions!$B$10))</f>
        <v>23669.05880595605</v>
      </c>
      <c r="N24" s="30">
        <f>IF(N$5&gt;$B24,0,INDEX(Decrements!$G$6:$G$58,Census!$G24+N$5-18)/INDEX(Decrements!$G$6:$G$58,Census!$G24-17)*(INDEX(Decrements!$D$6:$D$58,Census!$G24+N$5-18)+IF(N$5=$B24,INDEX(Decrements!$F$6:$F$58,Census!$G24+N$5-18),0)+INDEX(Decrements!$E$6:$E$58,Census!$G24+N$5-18)*IF((Census!$F24+N$5)&gt;=Assumptions!$B$11,1,0))*MIN(15/26*Census!$D24*(1+Assumptions!$B$9)^N$5*(INT((Census!$F24+N$5))+IF((Census!$F24+N$5)-INT((Census!$F24+N$5))&gt;0.5,1,0)),Assumptions!$B$10))</f>
        <v>24038.811592745242</v>
      </c>
      <c r="O24" s="30">
        <f>IF(O$5&gt;$B24,0,INDEX(Decrements!$G$6:$G$58,Census!$G24+O$5-18)/INDEX(Decrements!$G$6:$G$58,Census!$G24-17)*(INDEX(Decrements!$D$6:$D$58,Census!$G24+O$5-18)+IF(O$5=$B24,INDEX(Decrements!$F$6:$F$58,Census!$G24+O$5-18),0)+INDEX(Decrements!$E$6:$E$58,Census!$G24+O$5-18)*IF((Census!$F24+O$5)&gt;=Assumptions!$B$11,1,0))*MIN(15/26*Census!$D24*(1+Assumptions!$B$9)^O$5*(INT((Census!$F24+O$5))+IF((Census!$F24+O$5)-INT((Census!$F24+O$5))&gt;0.5,1,0)),Assumptions!$B$10))</f>
        <v>1516155.4056249335</v>
      </c>
      <c r="P24" s="30">
        <f>IF(P$5&gt;$B24,0,INDEX(Decrements!$G$6:$G$58,Census!$G24+P$5-18)/INDEX(Decrements!$G$6:$G$58,Census!$G24-17)*(INDEX(Decrements!$D$6:$D$58,Census!$G24+P$5-18)+IF(P$5=$B24,INDEX(Decrements!$F$6:$F$58,Census!$G24+P$5-18),0)+INDEX(Decrements!$E$6:$E$58,Census!$G24+P$5-18)*IF((Census!$F24+P$5)&gt;=Assumptions!$B$11,1,0))*MIN(15/26*Census!$D24*(1+Assumptions!$B$9)^P$5*(INT((Census!$F24+P$5))+IF((Census!$F24+P$5)-INT((Census!$F24+P$5))&gt;0.5,1,0)),Assumptions!$B$10))</f>
        <v>0</v>
      </c>
      <c r="Q24" s="30">
        <f>IF(Q$5&gt;$B24,0,INDEX(Decrements!$G$6:$G$58,Census!$G24+Q$5-18)/INDEX(Decrements!$G$6:$G$58,Census!$G24-17)*(INDEX(Decrements!$D$6:$D$58,Census!$G24+Q$5-18)+IF(Q$5=$B24,INDEX(Decrements!$F$6:$F$58,Census!$G24+Q$5-18),0)+INDEX(Decrements!$E$6:$E$58,Census!$G24+Q$5-18)*IF((Census!$F24+Q$5)&gt;=Assumptions!$B$11,1,0))*MIN(15/26*Census!$D24*(1+Assumptions!$B$9)^Q$5*(INT((Census!$F24+Q$5))+IF((Census!$F24+Q$5)-INT((Census!$F24+Q$5))&gt;0.5,1,0)),Assumptions!$B$10))</f>
        <v>0</v>
      </c>
      <c r="R24" s="30">
        <f>IF(R$5&gt;$B24,0,INDEX(Decrements!$G$6:$G$58,Census!$G24+R$5-18)/INDEX(Decrements!$G$6:$G$58,Census!$G24-17)*(INDEX(Decrements!$D$6:$D$58,Census!$G24+R$5-18)+IF(R$5=$B24,INDEX(Decrements!$F$6:$F$58,Census!$G24+R$5-18),0)+INDEX(Decrements!$E$6:$E$58,Census!$G24+R$5-18)*IF((Census!$F24+R$5)&gt;=Assumptions!$B$11,1,0))*MIN(15/26*Census!$D24*(1+Assumptions!$B$9)^R$5*(INT((Census!$F24+R$5))+IF((Census!$F24+R$5)-INT((Census!$F24+R$5))&gt;0.5,1,0)),Assumptions!$B$10))</f>
        <v>0</v>
      </c>
      <c r="S24" s="30">
        <f>IF(S$5&gt;$B24,0,INDEX(Decrements!$G$6:$G$58,Census!$G24+S$5-18)/INDEX(Decrements!$G$6:$G$58,Census!$G24-17)*(INDEX(Decrements!$D$6:$D$58,Census!$G24+S$5-18)+IF(S$5=$B24,INDEX(Decrements!$F$6:$F$58,Census!$G24+S$5-18),0)+INDEX(Decrements!$E$6:$E$58,Census!$G24+S$5-18)*IF((Census!$F24+S$5)&gt;=Assumptions!$B$11,1,0))*MIN(15/26*Census!$D24*(1+Assumptions!$B$9)^S$5*(INT((Census!$F24+S$5))+IF((Census!$F24+S$5)-INT((Census!$F24+S$5))&gt;0.5,1,0)),Assumptions!$B$10))</f>
        <v>0</v>
      </c>
      <c r="T24" s="30">
        <f>IF(T$5&gt;$B24,0,INDEX(Decrements!$G$6:$G$58,Census!$G24+T$5-18)/INDEX(Decrements!$G$6:$G$58,Census!$G24-17)*(INDEX(Decrements!$D$6:$D$58,Census!$G24+T$5-18)+IF(T$5=$B24,INDEX(Decrements!$F$6:$F$58,Census!$G24+T$5-18),0)+INDEX(Decrements!$E$6:$E$58,Census!$G24+T$5-18)*IF((Census!$F24+T$5)&gt;=Assumptions!$B$11,1,0))*MIN(15/26*Census!$D24*(1+Assumptions!$B$9)^T$5*(INT((Census!$F24+T$5))+IF((Census!$F24+T$5)-INT((Census!$F24+T$5))&gt;0.5,1,0)),Assumptions!$B$10))</f>
        <v>0</v>
      </c>
      <c r="U24" s="30">
        <f>IF(U$5&gt;$B24,0,INDEX(Decrements!$G$6:$G$58,Census!$G24+U$5-18)/INDEX(Decrements!$G$6:$G$58,Census!$G24-17)*(INDEX(Decrements!$D$6:$D$58,Census!$G24+U$5-18)+IF(U$5=$B24,INDEX(Decrements!$F$6:$F$58,Census!$G24+U$5-18),0)+INDEX(Decrements!$E$6:$E$58,Census!$G24+U$5-18)*IF((Census!$F24+U$5)&gt;=Assumptions!$B$11,1,0))*MIN(15/26*Census!$D24*(1+Assumptions!$B$9)^U$5*(INT((Census!$F24+U$5))+IF((Census!$F24+U$5)-INT((Census!$F24+U$5))&gt;0.5,1,0)),Assumptions!$B$10))</f>
        <v>0</v>
      </c>
      <c r="V24" s="30">
        <f>IF(V$5&gt;$B24,0,INDEX(Decrements!$G$6:$G$58,Census!$G24+V$5-18)/INDEX(Decrements!$G$6:$G$58,Census!$G24-17)*(INDEX(Decrements!$D$6:$D$58,Census!$G24+V$5-18)+IF(V$5=$B24,INDEX(Decrements!$F$6:$F$58,Census!$G24+V$5-18),0)+INDEX(Decrements!$E$6:$E$58,Census!$G24+V$5-18)*IF((Census!$F24+V$5)&gt;=Assumptions!$B$11,1,0))*MIN(15/26*Census!$D24*(1+Assumptions!$B$9)^V$5*(INT((Census!$F24+V$5))+IF((Census!$F24+V$5)-INT((Census!$F24+V$5))&gt;0.5,1,0)),Assumptions!$B$10))</f>
        <v>0</v>
      </c>
      <c r="W24" s="30">
        <f>IF(W$5&gt;$B24,0,INDEX(Decrements!$G$6:$G$58,Census!$G24+W$5-18)/INDEX(Decrements!$G$6:$G$58,Census!$G24-17)*(INDEX(Decrements!$D$6:$D$58,Census!$G24+W$5-18)+IF(W$5=$B24,INDEX(Decrements!$F$6:$F$58,Census!$G24+W$5-18),0)+INDEX(Decrements!$E$6:$E$58,Census!$G24+W$5-18)*IF((Census!$F24+W$5)&gt;=Assumptions!$B$11,1,0))*MIN(15/26*Census!$D24*(1+Assumptions!$B$9)^W$5*(INT((Census!$F24+W$5))+IF((Census!$F24+W$5)-INT((Census!$F24+W$5))&gt;0.5,1,0)),Assumptions!$B$10))</f>
        <v>0</v>
      </c>
      <c r="X24" s="30">
        <f>IF(X$5&gt;$B24,0,INDEX(Decrements!$G$6:$G$58,Census!$G24+X$5-18)/INDEX(Decrements!$G$6:$G$58,Census!$G24-17)*(INDEX(Decrements!$D$6:$D$58,Census!$G24+X$5-18)+IF(X$5=$B24,INDEX(Decrements!$F$6:$F$58,Census!$G24+X$5-18),0)+INDEX(Decrements!$E$6:$E$58,Census!$G24+X$5-18)*IF((Census!$F24+X$5)&gt;=Assumptions!$B$11,1,0))*MIN(15/26*Census!$D24*(1+Assumptions!$B$9)^X$5*(INT((Census!$F24+X$5))+IF((Census!$F24+X$5)-INT((Census!$F24+X$5))&gt;0.5,1,0)),Assumptions!$B$10))</f>
        <v>0</v>
      </c>
      <c r="Y24" s="30">
        <f>IF(Y$5&gt;$B24,0,INDEX(Decrements!$G$6:$G$58,Census!$G24+Y$5-18)/INDEX(Decrements!$G$6:$G$58,Census!$G24-17)*(INDEX(Decrements!$D$6:$D$58,Census!$G24+Y$5-18)+IF(Y$5=$B24,INDEX(Decrements!$F$6:$F$58,Census!$G24+Y$5-18),0)+INDEX(Decrements!$E$6:$E$58,Census!$G24+Y$5-18)*IF((Census!$F24+Y$5)&gt;=Assumptions!$B$11,1,0))*MIN(15/26*Census!$D24*(1+Assumptions!$B$9)^Y$5*(INT((Census!$F24+Y$5))+IF((Census!$F24+Y$5)-INT((Census!$F24+Y$5))&gt;0.5,1,0)),Assumptions!$B$10))</f>
        <v>0</v>
      </c>
      <c r="Z24" s="30">
        <f>IF(Z$5&gt;$B24,0,INDEX(Decrements!$G$6:$G$58,Census!$G24+Z$5-18)/INDEX(Decrements!$G$6:$G$58,Census!$G24-17)*(INDEX(Decrements!$D$6:$D$58,Census!$G24+Z$5-18)+IF(Z$5=$B24,INDEX(Decrements!$F$6:$F$58,Census!$G24+Z$5-18),0)+INDEX(Decrements!$E$6:$E$58,Census!$G24+Z$5-18)*IF((Census!$F24+Z$5)&gt;=Assumptions!$B$11,1,0))*MIN(15/26*Census!$D24*(1+Assumptions!$B$9)^Z$5*(INT((Census!$F24+Z$5))+IF((Census!$F24+Z$5)-INT((Census!$F24+Z$5))&gt;0.5,1,0)),Assumptions!$B$10))</f>
        <v>0</v>
      </c>
      <c r="AA24" s="30">
        <f>IF(AA$5&gt;$B24,0,INDEX(Decrements!$G$6:$G$58,Census!$G24+AA$5-18)/INDEX(Decrements!$G$6:$G$58,Census!$G24-17)*(INDEX(Decrements!$D$6:$D$58,Census!$G24+AA$5-18)+IF(AA$5=$B24,INDEX(Decrements!$F$6:$F$58,Census!$G24+AA$5-18),0)+INDEX(Decrements!$E$6:$E$58,Census!$G24+AA$5-18)*IF((Census!$F24+AA$5)&gt;=Assumptions!$B$11,1,0))*MIN(15/26*Census!$D24*(1+Assumptions!$B$9)^AA$5*(INT((Census!$F24+AA$5))+IF((Census!$F24+AA$5)-INT((Census!$F24+AA$5))&gt;0.5,1,0)),Assumptions!$B$10))</f>
        <v>0</v>
      </c>
      <c r="AB24" s="30">
        <f>IF(AB$5&gt;$B24,0,INDEX(Decrements!$G$6:$G$58,Census!$G24+AB$5-18)/INDEX(Decrements!$G$6:$G$58,Census!$G24-17)*(INDEX(Decrements!$D$6:$D$58,Census!$G24+AB$5-18)+IF(AB$5=$B24,INDEX(Decrements!$F$6:$F$58,Census!$G24+AB$5-18),0)+INDEX(Decrements!$E$6:$E$58,Census!$G24+AB$5-18)*IF((Census!$F24+AB$5)&gt;=Assumptions!$B$11,1,0))*MIN(15/26*Census!$D24*(1+Assumptions!$B$9)^AB$5*(INT((Census!$F24+AB$5))+IF((Census!$F24+AB$5)-INT((Census!$F24+AB$5))&gt;0.5,1,0)),Assumptions!$B$10))</f>
        <v>0</v>
      </c>
      <c r="AC24" s="30">
        <f>IF(AC$5&gt;$B24,0,INDEX(Decrements!$G$6:$G$58,Census!$G24+AC$5-18)/INDEX(Decrements!$G$6:$G$58,Census!$G24-17)*(INDEX(Decrements!$D$6:$D$58,Census!$G24+AC$5-18)+IF(AC$5=$B24,INDEX(Decrements!$F$6:$F$58,Census!$G24+AC$5-18),0)+INDEX(Decrements!$E$6:$E$58,Census!$G24+AC$5-18)*IF((Census!$F24+AC$5)&gt;=Assumptions!$B$11,1,0))*MIN(15/26*Census!$D24*(1+Assumptions!$B$9)^AC$5*(INT((Census!$F24+AC$5))+IF((Census!$F24+AC$5)-INT((Census!$F24+AC$5))&gt;0.5,1,0)),Assumptions!$B$10))</f>
        <v>0</v>
      </c>
      <c r="AD24" s="30">
        <f>IF(AD$5&gt;$B24,0,INDEX(Decrements!$G$6:$G$58,Census!$G24+AD$5-18)/INDEX(Decrements!$G$6:$G$58,Census!$G24-17)*(INDEX(Decrements!$D$6:$D$58,Census!$G24+AD$5-18)+IF(AD$5=$B24,INDEX(Decrements!$F$6:$F$58,Census!$G24+AD$5-18),0)+INDEX(Decrements!$E$6:$E$58,Census!$G24+AD$5-18)*IF((Census!$F24+AD$5)&gt;=Assumptions!$B$11,1,0))*MIN(15/26*Census!$D24*(1+Assumptions!$B$9)^AD$5*(INT((Census!$F24+AD$5))+IF((Census!$F24+AD$5)-INT((Census!$F24+AD$5))&gt;0.5,1,0)),Assumptions!$B$10))</f>
        <v>0</v>
      </c>
      <c r="AE24" s="30">
        <f>IF(AE$5&gt;$B24,0,INDEX(Decrements!$G$6:$G$58,Census!$G24+AE$5-18)/INDEX(Decrements!$G$6:$G$58,Census!$G24-17)*(INDEX(Decrements!$D$6:$D$58,Census!$G24+AE$5-18)+IF(AE$5=$B24,INDEX(Decrements!$F$6:$F$58,Census!$G24+AE$5-18),0)+INDEX(Decrements!$E$6:$E$58,Census!$G24+AE$5-18)*IF((Census!$F24+AE$5)&gt;=Assumptions!$B$11,1,0))*MIN(15/26*Census!$D24*(1+Assumptions!$B$9)^AE$5*(INT((Census!$F24+AE$5))+IF((Census!$F24+AE$5)-INT((Census!$F24+AE$5))&gt;0.5,1,0)),Assumptions!$B$10))</f>
        <v>0</v>
      </c>
      <c r="AF24" s="30">
        <f>IF(AF$5&gt;$B24,0,INDEX(Decrements!$G$6:$G$58,Census!$G24+AF$5-18)/INDEX(Decrements!$G$6:$G$58,Census!$G24-17)*(INDEX(Decrements!$D$6:$D$58,Census!$G24+AF$5-18)+IF(AF$5=$B24,INDEX(Decrements!$F$6:$F$58,Census!$G24+AF$5-18),0)+INDEX(Decrements!$E$6:$E$58,Census!$G24+AF$5-18)*IF((Census!$F24+AF$5)&gt;=Assumptions!$B$11,1,0))*MIN(15/26*Census!$D24*(1+Assumptions!$B$9)^AF$5*(INT((Census!$F24+AF$5))+IF((Census!$F24+AF$5)-INT((Census!$F24+AF$5))&gt;0.5,1,0)),Assumptions!$B$10))</f>
        <v>0</v>
      </c>
      <c r="AG24" s="30">
        <f>IF(AG$5&gt;$B24,0,INDEX(Decrements!$G$6:$G$58,Census!$G24+AG$5-18)/INDEX(Decrements!$G$6:$G$58,Census!$G24-17)*(INDEX(Decrements!$D$6:$D$58,Census!$G24+AG$5-18)+IF(AG$5=$B24,INDEX(Decrements!$F$6:$F$58,Census!$G24+AG$5-18),0)+INDEX(Decrements!$E$6:$E$58,Census!$G24+AG$5-18)*IF((Census!$F24+AG$5)&gt;=Assumptions!$B$11,1,0))*MIN(15/26*Census!$D24*(1+Assumptions!$B$9)^AG$5*(INT((Census!$F24+AG$5))+IF((Census!$F24+AG$5)-INT((Census!$F24+AG$5))&gt;0.5,1,0)),Assumptions!$B$10))</f>
        <v>0</v>
      </c>
      <c r="AH24" s="30">
        <f>IF(AH$5&gt;$B24,0,INDEX(Decrements!$G$6:$G$58,Census!$G24+AH$5-18)/INDEX(Decrements!$G$6:$G$58,Census!$G24-17)*(INDEX(Decrements!$D$6:$D$58,Census!$G24+AH$5-18)+IF(AH$5=$B24,INDEX(Decrements!$F$6:$F$58,Census!$G24+AH$5-18),0)+INDEX(Decrements!$E$6:$E$58,Census!$G24+AH$5-18)*IF((Census!$F24+AH$5)&gt;=Assumptions!$B$11,1,0))*MIN(15/26*Census!$D24*(1+Assumptions!$B$9)^AH$5*(INT((Census!$F24+AH$5))+IF((Census!$F24+AH$5)-INT((Census!$F24+AH$5))&gt;0.5,1,0)),Assumptions!$B$10))</f>
        <v>0</v>
      </c>
      <c r="AI24" s="30">
        <f>IF(AI$5&gt;$B24,0,INDEX(Decrements!$G$6:$G$58,Census!$G24+AI$5-18)/INDEX(Decrements!$G$6:$G$58,Census!$G24-17)*(INDEX(Decrements!$D$6:$D$58,Census!$G24+AI$5-18)+IF(AI$5=$B24,INDEX(Decrements!$F$6:$F$58,Census!$G24+AI$5-18),0)+INDEX(Decrements!$E$6:$E$58,Census!$G24+AI$5-18)*IF((Census!$F24+AI$5)&gt;=Assumptions!$B$11,1,0))*MIN(15/26*Census!$D24*(1+Assumptions!$B$9)^AI$5*(INT((Census!$F24+AI$5))+IF((Census!$F24+AI$5)-INT((Census!$F24+AI$5))&gt;0.5,1,0)),Assumptions!$B$10))</f>
        <v>0</v>
      </c>
      <c r="AJ24" s="30">
        <f>IF(AJ$5&gt;$B24,0,INDEX(Decrements!$G$6:$G$58,Census!$G24+AJ$5-18)/INDEX(Decrements!$G$6:$G$58,Census!$G24-17)*(INDEX(Decrements!$D$6:$D$58,Census!$G24+AJ$5-18)+IF(AJ$5=$B24,INDEX(Decrements!$F$6:$F$58,Census!$G24+AJ$5-18),0)+INDEX(Decrements!$E$6:$E$58,Census!$G24+AJ$5-18)*IF((Census!$F24+AJ$5)&gt;=Assumptions!$B$11,1,0))*MIN(15/26*Census!$D24*(1+Assumptions!$B$9)^AJ$5*(INT((Census!$F24+AJ$5))+IF((Census!$F24+AJ$5)-INT((Census!$F24+AJ$5))&gt;0.5,1,0)),Assumptions!$B$10))</f>
        <v>0</v>
      </c>
      <c r="AK24" s="30">
        <f>IF(AK$5&gt;$B24,0,INDEX(Decrements!$G$6:$G$58,Census!$G24+AK$5-18)/INDEX(Decrements!$G$6:$G$58,Census!$G24-17)*(INDEX(Decrements!$D$6:$D$58,Census!$G24+AK$5-18)+IF(AK$5=$B24,INDEX(Decrements!$F$6:$F$58,Census!$G24+AK$5-18),0)+INDEX(Decrements!$E$6:$E$58,Census!$G24+AK$5-18)*IF((Census!$F24+AK$5)&gt;=Assumptions!$B$11,1,0))*MIN(15/26*Census!$D24*(1+Assumptions!$B$9)^AK$5*(INT((Census!$F24+AK$5))+IF((Census!$F24+AK$5)-INT((Census!$F24+AK$5))&gt;0.5,1,0)),Assumptions!$B$10))</f>
        <v>0</v>
      </c>
      <c r="AL24" s="30">
        <f>IF(AL$5&gt;$B24,0,INDEX(Decrements!$G$6:$G$58,Census!$G24+AL$5-18)/INDEX(Decrements!$G$6:$G$58,Census!$G24-17)*(INDEX(Decrements!$D$6:$D$58,Census!$G24+AL$5-18)+IF(AL$5=$B24,INDEX(Decrements!$F$6:$F$58,Census!$G24+AL$5-18),0)+INDEX(Decrements!$E$6:$E$58,Census!$G24+AL$5-18)*IF((Census!$F24+AL$5)&gt;=Assumptions!$B$11,1,0))*MIN(15/26*Census!$D24*(1+Assumptions!$B$9)^AL$5*(INT((Census!$F24+AL$5))+IF((Census!$F24+AL$5)-INT((Census!$F24+AL$5))&gt;0.5,1,0)),Assumptions!$B$10))</f>
        <v>0</v>
      </c>
      <c r="AM24" s="30">
        <f>IF(AM$5&gt;$B24,0,INDEX(Decrements!$G$6:$G$58,Census!$G24+AM$5-18)/INDEX(Decrements!$G$6:$G$58,Census!$G24-17)*(INDEX(Decrements!$D$6:$D$58,Census!$G24+AM$5-18)+IF(AM$5=$B24,INDEX(Decrements!$F$6:$F$58,Census!$G24+AM$5-18),0)+INDEX(Decrements!$E$6:$E$58,Census!$G24+AM$5-18)*IF((Census!$F24+AM$5)&gt;=Assumptions!$B$11,1,0))*MIN(15/26*Census!$D24*(1+Assumptions!$B$9)^AM$5*(INT((Census!$F24+AM$5))+IF((Census!$F24+AM$5)-INT((Census!$F24+AM$5))&gt;0.5,1,0)),Assumptions!$B$10))</f>
        <v>0</v>
      </c>
      <c r="AN24" s="30">
        <f>IF(AN$5&gt;$B24,0,INDEX(Decrements!$G$6:$G$58,Census!$G24+AN$5-18)/INDEX(Decrements!$G$6:$G$58,Census!$G24-17)*(INDEX(Decrements!$D$6:$D$58,Census!$G24+AN$5-18)+IF(AN$5=$B24,INDEX(Decrements!$F$6:$F$58,Census!$G24+AN$5-18),0)+INDEX(Decrements!$E$6:$E$58,Census!$G24+AN$5-18)*IF((Census!$F24+AN$5)&gt;=Assumptions!$B$11,1,0))*MIN(15/26*Census!$D24*(1+Assumptions!$B$9)^AN$5*(INT((Census!$F24+AN$5))+IF((Census!$F24+AN$5)-INT((Census!$F24+AN$5))&gt;0.5,1,0)),Assumptions!$B$10))</f>
        <v>0</v>
      </c>
      <c r="AO24" s="30">
        <f>IF(AO$5&gt;$B24,0,INDEX(Decrements!$G$6:$G$58,Census!$G24+AO$5-18)/INDEX(Decrements!$G$6:$G$58,Census!$G24-17)*(INDEX(Decrements!$D$6:$D$58,Census!$G24+AO$5-18)+IF(AO$5=$B24,INDEX(Decrements!$F$6:$F$58,Census!$G24+AO$5-18),0)+INDEX(Decrements!$E$6:$E$58,Census!$G24+AO$5-18)*IF((Census!$F24+AO$5)&gt;=Assumptions!$B$11,1,0))*MIN(15/26*Census!$D24*(1+Assumptions!$B$9)^AO$5*(INT((Census!$F24+AO$5))+IF((Census!$F24+AO$5)-INT((Census!$F24+AO$5))&gt;0.5,1,0)),Assumptions!$B$10))</f>
        <v>0</v>
      </c>
      <c r="AP24" s="30">
        <f>IF(AP$5&gt;$B24,0,INDEX(Decrements!$G$6:$G$58,Census!$G24+AP$5-18)/INDEX(Decrements!$G$6:$G$58,Census!$G24-17)*(INDEX(Decrements!$D$6:$D$58,Census!$G24+AP$5-18)+IF(AP$5=$B24,INDEX(Decrements!$F$6:$F$58,Census!$G24+AP$5-18),0)+INDEX(Decrements!$E$6:$E$58,Census!$G24+AP$5-18)*IF((Census!$F24+AP$5)&gt;=Assumptions!$B$11,1,0))*MIN(15/26*Census!$D24*(1+Assumptions!$B$9)^AP$5*(INT((Census!$F24+AP$5))+IF((Census!$F24+AP$5)-INT((Census!$F24+AP$5))&gt;0.5,1,0)),Assumptions!$B$10))</f>
        <v>0</v>
      </c>
      <c r="AQ24" s="30">
        <f>IF(AQ$5&gt;$B24,0,INDEX(Decrements!$G$6:$G$58,Census!$G24+AQ$5-18)/INDEX(Decrements!$G$6:$G$58,Census!$G24-17)*(INDEX(Decrements!$D$6:$D$58,Census!$G24+AQ$5-18)+IF(AQ$5=$B24,INDEX(Decrements!$F$6:$F$58,Census!$G24+AQ$5-18),0)+INDEX(Decrements!$E$6:$E$58,Census!$G24+AQ$5-18)*IF((Census!$F24+AQ$5)&gt;=Assumptions!$B$11,1,0))*MIN(15/26*Census!$D24*(1+Assumptions!$B$9)^AQ$5*(INT((Census!$F24+AQ$5))+IF((Census!$F24+AQ$5)-INT((Census!$F24+AQ$5))&gt;0.5,1,0)),Assumptions!$B$10))</f>
        <v>0</v>
      </c>
      <c r="AR24" s="30">
        <f>IF(AR$5&gt;$B24,0,INDEX(Decrements!$G$6:$G$58,Census!$G24+AR$5-18)/INDEX(Decrements!$G$6:$G$58,Census!$G24-17)*(INDEX(Decrements!$D$6:$D$58,Census!$G24+AR$5-18)+IF(AR$5=$B24,INDEX(Decrements!$F$6:$F$58,Census!$G24+AR$5-18),0)+INDEX(Decrements!$E$6:$E$58,Census!$G24+AR$5-18)*IF((Census!$F24+AR$5)&gt;=Assumptions!$B$11,1,0))*MIN(15/26*Census!$D24*(1+Assumptions!$B$9)^AR$5*(INT((Census!$F24+AR$5))+IF((Census!$F24+AR$5)-INT((Census!$F24+AR$5))&gt;0.5,1,0)),Assumptions!$B$10))</f>
        <v>0</v>
      </c>
      <c r="AS24" s="30">
        <f>IF(AS$5&gt;$B24,0,INDEX(Decrements!$G$6:$G$58,Census!$G24+AS$5-18)/INDEX(Decrements!$G$6:$G$58,Census!$G24-17)*(INDEX(Decrements!$D$6:$D$58,Census!$G24+AS$5-18)+IF(AS$5=$B24,INDEX(Decrements!$F$6:$F$58,Census!$G24+AS$5-18),0)+INDEX(Decrements!$E$6:$E$58,Census!$G24+AS$5-18)*IF((Census!$F24+AS$5)&gt;=Assumptions!$B$11,1,0))*MIN(15/26*Census!$D24*(1+Assumptions!$B$9)^AS$5*(INT((Census!$F24+AS$5))+IF((Census!$F24+AS$5)-INT((Census!$F24+AS$5))&gt;0.5,1,0)),Assumptions!$B$10))</f>
        <v>0</v>
      </c>
      <c r="AT24" s="30">
        <f>IF(AT$5&gt;$B24,0,INDEX(Decrements!$G$6:$G$58,Census!$G24+AT$5-18)/INDEX(Decrements!$G$6:$G$58,Census!$G24-17)*(INDEX(Decrements!$D$6:$D$58,Census!$G24+AT$5-18)+IF(AT$5=$B24,INDEX(Decrements!$F$6:$F$58,Census!$G24+AT$5-18),0)+INDEX(Decrements!$E$6:$E$58,Census!$G24+AT$5-18)*IF((Census!$F24+AT$5)&gt;=Assumptions!$B$11,1,0))*MIN(15/26*Census!$D24*(1+Assumptions!$B$9)^AT$5*(INT((Census!$F24+AT$5))+IF((Census!$F24+AT$5)-INT((Census!$F24+AT$5))&gt;0.5,1,0)),Assumptions!$B$10))</f>
        <v>0</v>
      </c>
      <c r="AU24" s="30">
        <f>IF(AU$5&gt;$B24,0,INDEX(Decrements!$G$6:$G$58,Census!$G24+AU$5-18)/INDEX(Decrements!$G$6:$G$58,Census!$G24-17)*(INDEX(Decrements!$D$6:$D$58,Census!$G24+AU$5-18)+IF(AU$5=$B24,INDEX(Decrements!$F$6:$F$58,Census!$G24+AU$5-18),0)+INDEX(Decrements!$E$6:$E$58,Census!$G24+AU$5-18)*IF((Census!$F24+AU$5)&gt;=Assumptions!$B$11,1,0))*MIN(15/26*Census!$D24*(1+Assumptions!$B$9)^AU$5*(INT((Census!$F24+AU$5))+IF((Census!$F24+AU$5)-INT((Census!$F24+AU$5))&gt;0.5,1,0)),Assumptions!$B$10))</f>
        <v>0</v>
      </c>
    </row>
    <row r="25" spans="1:47" x14ac:dyDescent="0.3">
      <c r="A25" s="10" t="str">
        <f>Census!A25</f>
        <v>E020</v>
      </c>
      <c r="B25" s="29">
        <f>Census!H25</f>
        <v>36</v>
      </c>
      <c r="C25" s="30">
        <f>IF(C$5&gt;$B25,0,INDEX(Decrements!$G$6:$G$58,Census!$G25+C$5-18)/INDEX(Decrements!$G$6:$G$58,Census!$G25-17)*(INDEX(Decrements!$D$6:$D$58,Census!$G25+C$5-18)+IF(C$5=$B25,INDEX(Decrements!$F$6:$F$58,Census!$G25+C$5-18),0)+INDEX(Decrements!$E$6:$E$58,Census!$G25+C$5-18)*IF((Census!$F25+C$5)&gt;=Assumptions!$B$11,1,0))*MIN(15/26*Census!$D25*(1+Assumptions!$B$9)^C$5*(INT((Census!$F25+C$5))+IF((Census!$F25+C$5)-INT((Census!$F25+C$5))&gt;0.5,1,0)),Assumptions!$B$10))</f>
        <v>55.777835450409825</v>
      </c>
      <c r="D25" s="30">
        <f>IF(D$5&gt;$B25,0,INDEX(Decrements!$G$6:$G$58,Census!$G25+D$5-18)/INDEX(Decrements!$G$6:$G$58,Census!$G25-17)*(INDEX(Decrements!$D$6:$D$58,Census!$G25+D$5-18)+IF(D$5=$B25,INDEX(Decrements!$F$6:$F$58,Census!$G25+D$5-18),0)+INDEX(Decrements!$E$6:$E$58,Census!$G25+D$5-18)*IF((Census!$F25+D$5)&gt;=Assumptions!$B$11,1,0))*MIN(15/26*Census!$D25*(1+Assumptions!$B$9)^D$5*(INT((Census!$F25+D$5))+IF((Census!$F25+D$5)-INT((Census!$F25+D$5))&gt;0.5,1,0)),Assumptions!$B$10))</f>
        <v>63.98318707708394</v>
      </c>
      <c r="E25" s="30">
        <f>IF(E$5&gt;$B25,0,INDEX(Decrements!$G$6:$G$58,Census!$G25+E$5-18)/INDEX(Decrements!$G$6:$G$58,Census!$G25-17)*(INDEX(Decrements!$D$6:$D$58,Census!$G25+E$5-18)+IF(E$5=$B25,INDEX(Decrements!$F$6:$F$58,Census!$G25+E$5-18),0)+INDEX(Decrements!$E$6:$E$58,Census!$G25+E$5-18)*IF((Census!$F25+E$5)&gt;=Assumptions!$B$11,1,0))*MIN(15/26*Census!$D25*(1+Assumptions!$B$9)^E$5*(INT((Census!$F25+E$5))+IF((Census!$F25+E$5)-INT((Census!$F25+E$5))&gt;0.5,1,0)),Assumptions!$B$10))</f>
        <v>18280.368189893634</v>
      </c>
      <c r="F25" s="30">
        <f>IF(F$5&gt;$B25,0,INDEX(Decrements!$G$6:$G$58,Census!$G25+F$5-18)/INDEX(Decrements!$G$6:$G$58,Census!$G25-17)*(INDEX(Decrements!$D$6:$D$58,Census!$G25+F$5-18)+IF(F$5=$B25,INDEX(Decrements!$F$6:$F$58,Census!$G25+F$5-18),0)+INDEX(Decrements!$E$6:$E$58,Census!$G25+F$5-18)*IF((Census!$F25+F$5)&gt;=Assumptions!$B$11,1,0))*MIN(15/26*Census!$D25*(1+Assumptions!$B$9)^F$5*(INT((Census!$F25+F$5))+IF((Census!$F25+F$5)-INT((Census!$F25+F$5))&gt;0.5,1,0)),Assumptions!$B$10))</f>
        <v>19568.311587139051</v>
      </c>
      <c r="G25" s="30">
        <f>IF(G$5&gt;$B25,0,INDEX(Decrements!$G$6:$G$58,Census!$G25+G$5-18)/INDEX(Decrements!$G$6:$G$58,Census!$G25-17)*(INDEX(Decrements!$D$6:$D$58,Census!$G25+G$5-18)+IF(G$5=$B25,INDEX(Decrements!$F$6:$F$58,Census!$G25+G$5-18),0)+INDEX(Decrements!$E$6:$E$58,Census!$G25+G$5-18)*IF((Census!$F25+G$5)&gt;=Assumptions!$B$11,1,0))*MIN(15/26*Census!$D25*(1+Assumptions!$B$9)^G$5*(INT((Census!$F25+G$5))+IF((Census!$F25+G$5)-INT((Census!$F25+G$5))&gt;0.5,1,0)),Assumptions!$B$10))</f>
        <v>20519.283094595765</v>
      </c>
      <c r="H25" s="30">
        <f>IF(H$5&gt;$B25,0,INDEX(Decrements!$G$6:$G$58,Census!$G25+H$5-18)/INDEX(Decrements!$G$6:$G$58,Census!$G25-17)*(INDEX(Decrements!$D$6:$D$58,Census!$G25+H$5-18)+IF(H$5=$B25,INDEX(Decrements!$F$6:$F$58,Census!$G25+H$5-18),0)+INDEX(Decrements!$E$6:$E$58,Census!$G25+H$5-18)*IF((Census!$F25+H$5)&gt;=Assumptions!$B$11,1,0))*MIN(15/26*Census!$D25*(1+Assumptions!$B$9)^H$5*(INT((Census!$F25+H$5))+IF((Census!$F25+H$5)-INT((Census!$F25+H$5))&gt;0.5,1,0)),Assumptions!$B$10))</f>
        <v>21180.019934760767</v>
      </c>
      <c r="I25" s="30">
        <f>IF(I$5&gt;$B25,0,INDEX(Decrements!$G$6:$G$58,Census!$G25+I$5-18)/INDEX(Decrements!$G$6:$G$58,Census!$G25-17)*(INDEX(Decrements!$D$6:$D$58,Census!$G25+I$5-18)+IF(I$5=$B25,INDEX(Decrements!$F$6:$F$58,Census!$G25+I$5-18),0)+INDEX(Decrements!$E$6:$E$58,Census!$G25+I$5-18)*IF((Census!$F25+I$5)&gt;=Assumptions!$B$11,1,0))*MIN(15/26*Census!$D25*(1+Assumptions!$B$9)^I$5*(INT((Census!$F25+I$5))+IF((Census!$F25+I$5)-INT((Census!$F25+I$5))&gt;0.5,1,0)),Assumptions!$B$10))</f>
        <v>15863.291267864372</v>
      </c>
      <c r="J25" s="30">
        <f>IF(J$5&gt;$B25,0,INDEX(Decrements!$G$6:$G$58,Census!$G25+J$5-18)/INDEX(Decrements!$G$6:$G$58,Census!$G25-17)*(INDEX(Decrements!$D$6:$D$58,Census!$G25+J$5-18)+IF(J$5=$B25,INDEX(Decrements!$F$6:$F$58,Census!$G25+J$5-18),0)+INDEX(Decrements!$E$6:$E$58,Census!$G25+J$5-18)*IF((Census!$F25+J$5)&gt;=Assumptions!$B$11,1,0))*MIN(15/26*Census!$D25*(1+Assumptions!$B$9)^J$5*(INT((Census!$F25+J$5))+IF((Census!$F25+J$5)-INT((Census!$F25+J$5))&gt;0.5,1,0)),Assumptions!$B$10))</f>
        <v>16764.660303214176</v>
      </c>
      <c r="K25" s="30">
        <f>IF(K$5&gt;$B25,0,INDEX(Decrements!$G$6:$G$58,Census!$G25+K$5-18)/INDEX(Decrements!$G$6:$G$58,Census!$G25-17)*(INDEX(Decrements!$D$6:$D$58,Census!$G25+K$5-18)+IF(K$5=$B25,INDEX(Decrements!$F$6:$F$58,Census!$G25+K$5-18),0)+INDEX(Decrements!$E$6:$E$58,Census!$G25+K$5-18)*IF((Census!$F25+K$5)&gt;=Assumptions!$B$11,1,0))*MIN(15/26*Census!$D25*(1+Assumptions!$B$9)^K$5*(INT((Census!$F25+K$5))+IF((Census!$F25+K$5)-INT((Census!$F25+K$5))&gt;0.5,1,0)),Assumptions!$B$10))</f>
        <v>17570.694074988485</v>
      </c>
      <c r="L25" s="30">
        <f>IF(L$5&gt;$B25,0,INDEX(Decrements!$G$6:$G$58,Census!$G25+L$5-18)/INDEX(Decrements!$G$6:$G$58,Census!$G25-17)*(INDEX(Decrements!$D$6:$D$58,Census!$G25+L$5-18)+IF(L$5=$B25,INDEX(Decrements!$F$6:$F$58,Census!$G25+L$5-18),0)+INDEX(Decrements!$E$6:$E$58,Census!$G25+L$5-18)*IF((Census!$F25+L$5)&gt;=Assumptions!$B$11,1,0))*MIN(15/26*Census!$D25*(1+Assumptions!$B$9)^L$5*(INT((Census!$F25+L$5))+IF((Census!$F25+L$5)-INT((Census!$F25+L$5))&gt;0.5,1,0)),Assumptions!$B$10))</f>
        <v>18287.448598644634</v>
      </c>
      <c r="M25" s="30">
        <f>IF(M$5&gt;$B25,0,INDEX(Decrements!$G$6:$G$58,Census!$G25+M$5-18)/INDEX(Decrements!$G$6:$G$58,Census!$G25-17)*(INDEX(Decrements!$D$6:$D$58,Census!$G25+M$5-18)+IF(M$5=$B25,INDEX(Decrements!$F$6:$F$58,Census!$G25+M$5-18),0)+INDEX(Decrements!$E$6:$E$58,Census!$G25+M$5-18)*IF((Census!$F25+M$5)&gt;=Assumptions!$B$11,1,0))*MIN(15/26*Census!$D25*(1+Assumptions!$B$9)^M$5*(INT((Census!$F25+M$5))+IF((Census!$F25+M$5)-INT((Census!$F25+M$5))&gt;0.5,1,0)),Assumptions!$B$10))</f>
        <v>18920.649058146275</v>
      </c>
      <c r="N25" s="30">
        <f>IF(N$5&gt;$B25,0,INDEX(Decrements!$G$6:$G$58,Census!$G25+N$5-18)/INDEX(Decrements!$G$6:$G$58,Census!$G25-17)*(INDEX(Decrements!$D$6:$D$58,Census!$G25+N$5-18)+IF(N$5=$B25,INDEX(Decrements!$F$6:$F$58,Census!$G25+N$5-18),0)+INDEX(Decrements!$E$6:$E$58,Census!$G25+N$5-18)*IF((Census!$F25+N$5)&gt;=Assumptions!$B$11,1,0))*MIN(15/26*Census!$D25*(1+Assumptions!$B$9)^N$5*(INT((Census!$F25+N$5))+IF((Census!$F25+N$5)-INT((Census!$F25+N$5))&gt;0.5,1,0)),Assumptions!$B$10))</f>
        <v>14211.536817238517</v>
      </c>
      <c r="O25" s="30">
        <f>IF(O$5&gt;$B25,0,INDEX(Decrements!$G$6:$G$58,Census!$G25+O$5-18)/INDEX(Decrements!$G$6:$G$58,Census!$G25-17)*(INDEX(Decrements!$D$6:$D$58,Census!$G25+O$5-18)+IF(O$5=$B25,INDEX(Decrements!$F$6:$F$58,Census!$G25+O$5-18),0)+INDEX(Decrements!$E$6:$E$58,Census!$G25+O$5-18)*IF((Census!$F25+O$5)&gt;=Assumptions!$B$11,1,0))*MIN(15/26*Census!$D25*(1+Assumptions!$B$9)^O$5*(INT((Census!$F25+O$5))+IF((Census!$F25+O$5)-INT((Census!$F25+O$5))&gt;0.5,1,0)),Assumptions!$B$10))</f>
        <v>15057.134928196721</v>
      </c>
      <c r="P25" s="30">
        <f>IF(P$5&gt;$B25,0,INDEX(Decrements!$G$6:$G$58,Census!$G25+P$5-18)/INDEX(Decrements!$G$6:$G$58,Census!$G25-17)*(INDEX(Decrements!$D$6:$D$58,Census!$G25+P$5-18)+IF(P$5=$B25,INDEX(Decrements!$F$6:$F$58,Census!$G25+P$5-18),0)+INDEX(Decrements!$E$6:$E$58,Census!$G25+P$5-18)*IF((Census!$F25+P$5)&gt;=Assumptions!$B$11,1,0))*MIN(15/26*Census!$D25*(1+Assumptions!$B$9)^P$5*(INT((Census!$F25+P$5))+IF((Census!$F25+P$5)-INT((Census!$F25+P$5))&gt;0.5,1,0)),Assumptions!$B$10))</f>
        <v>15890.848284004822</v>
      </c>
      <c r="Q25" s="30">
        <f>IF(Q$5&gt;$B25,0,INDEX(Decrements!$G$6:$G$58,Census!$G25+Q$5-18)/INDEX(Decrements!$G$6:$G$58,Census!$G25-17)*(INDEX(Decrements!$D$6:$D$58,Census!$G25+Q$5-18)+IF(Q$5=$B25,INDEX(Decrements!$F$6:$F$58,Census!$G25+Q$5-18),0)+INDEX(Decrements!$E$6:$E$58,Census!$G25+Q$5-18)*IF((Census!$F25+Q$5)&gt;=Assumptions!$B$11,1,0))*MIN(15/26*Census!$D25*(1+Assumptions!$B$9)^Q$5*(INT((Census!$F25+Q$5))+IF((Census!$F25+Q$5)-INT((Census!$F25+Q$5))&gt;0.5,1,0)),Assumptions!$B$10))</f>
        <v>16712.82876446002</v>
      </c>
      <c r="R25" s="30">
        <f>IF(R$5&gt;$B25,0,INDEX(Decrements!$G$6:$G$58,Census!$G25+R$5-18)/INDEX(Decrements!$G$6:$G$58,Census!$G25-17)*(INDEX(Decrements!$D$6:$D$58,Census!$G25+R$5-18)+IF(R$5=$B25,INDEX(Decrements!$F$6:$F$58,Census!$G25+R$5-18),0)+INDEX(Decrements!$E$6:$E$58,Census!$G25+R$5-18)*IF((Census!$F25+R$5)&gt;=Assumptions!$B$11,1,0))*MIN(15/26*Census!$D25*(1+Assumptions!$B$9)^R$5*(INT((Census!$F25+R$5))+IF((Census!$F25+R$5)-INT((Census!$F25+R$5))&gt;0.5,1,0)),Assumptions!$B$10))</f>
        <v>17523.229315747711</v>
      </c>
      <c r="S25" s="30">
        <f>IF(S$5&gt;$B25,0,INDEX(Decrements!$G$6:$G$58,Census!$G25+S$5-18)/INDEX(Decrements!$G$6:$G$58,Census!$G25-17)*(INDEX(Decrements!$D$6:$D$58,Census!$G25+S$5-18)+IF(S$5=$B25,INDEX(Decrements!$F$6:$F$58,Census!$G25+S$5-18),0)+INDEX(Decrements!$E$6:$E$58,Census!$G25+S$5-18)*IF((Census!$F25+S$5)&gt;=Assumptions!$B$11,1,0))*MIN(15/26*Census!$D25*(1+Assumptions!$B$9)^S$5*(INT((Census!$F25+S$5))+IF((Census!$F25+S$5)-INT((Census!$F25+S$5))&gt;0.5,1,0)),Assumptions!$B$10))</f>
        <v>11565.451502942309</v>
      </c>
      <c r="T25" s="30">
        <f>IF(T$5&gt;$B25,0,INDEX(Decrements!$G$6:$G$58,Census!$G25+T$5-18)/INDEX(Decrements!$G$6:$G$58,Census!$G25-17)*(INDEX(Decrements!$D$6:$D$58,Census!$G25+T$5-18)+IF(T$5=$B25,INDEX(Decrements!$F$6:$F$58,Census!$G25+T$5-18),0)+INDEX(Decrements!$E$6:$E$58,Census!$G25+T$5-18)*IF((Census!$F25+T$5)&gt;=Assumptions!$B$11,1,0))*MIN(15/26*Census!$D25*(1+Assumptions!$B$9)^T$5*(INT((Census!$F25+T$5))+IF((Census!$F25+T$5)-INT((Census!$F25+T$5))&gt;0.5,1,0)),Assumptions!$B$10))</f>
        <v>12464.516310568686</v>
      </c>
      <c r="U25" s="30">
        <f>IF(U$5&gt;$B25,0,INDEX(Decrements!$G$6:$G$58,Census!$G25+U$5-18)/INDEX(Decrements!$G$6:$G$58,Census!$G25-17)*(INDEX(Decrements!$D$6:$D$58,Census!$G25+U$5-18)+IF(U$5=$B25,INDEX(Decrements!$F$6:$F$58,Census!$G25+U$5-18),0)+INDEX(Decrements!$E$6:$E$58,Census!$G25+U$5-18)*IF((Census!$F25+U$5)&gt;=Assumptions!$B$11,1,0))*MIN(15/26*Census!$D25*(1+Assumptions!$B$9)^U$5*(INT((Census!$F25+U$5))+IF((Census!$F25+U$5)-INT((Census!$F25+U$5))&gt;0.5,1,0)),Assumptions!$B$10))</f>
        <v>11936.854821371111</v>
      </c>
      <c r="V25" s="30">
        <f>IF(V$5&gt;$B25,0,INDEX(Decrements!$G$6:$G$58,Census!$G25+V$5-18)/INDEX(Decrements!$G$6:$G$58,Census!$G25-17)*(INDEX(Decrements!$D$6:$D$58,Census!$G25+V$5-18)+IF(V$5=$B25,INDEX(Decrements!$F$6:$F$58,Census!$G25+V$5-18),0)+INDEX(Decrements!$E$6:$E$58,Census!$G25+V$5-18)*IF((Census!$F25+V$5)&gt;=Assumptions!$B$11,1,0))*MIN(15/26*Census!$D25*(1+Assumptions!$B$9)^V$5*(INT((Census!$F25+V$5))+IF((Census!$F25+V$5)-INT((Census!$F25+V$5))&gt;0.5,1,0)),Assumptions!$B$10))</f>
        <v>11346.434890648343</v>
      </c>
      <c r="W25" s="30">
        <f>IF(W$5&gt;$B25,0,INDEX(Decrements!$G$6:$G$58,Census!$G25+W$5-18)/INDEX(Decrements!$G$6:$G$58,Census!$G25-17)*(INDEX(Decrements!$D$6:$D$58,Census!$G25+W$5-18)+IF(W$5=$B25,INDEX(Decrements!$F$6:$F$58,Census!$G25+W$5-18),0)+INDEX(Decrements!$E$6:$E$58,Census!$G25+W$5-18)*IF((Census!$F25+W$5)&gt;=Assumptions!$B$11,1,0))*MIN(15/26*Census!$D25*(1+Assumptions!$B$9)^W$5*(INT((Census!$F25+W$5))+IF((Census!$F25+W$5)-INT((Census!$F25+W$5))&gt;0.5,1,0)),Assumptions!$B$10))</f>
        <v>10786.201775194046</v>
      </c>
      <c r="X25" s="30">
        <f>IF(X$5&gt;$B25,0,INDEX(Decrements!$G$6:$G$58,Census!$G25+X$5-18)/INDEX(Decrements!$G$6:$G$58,Census!$G25-17)*(INDEX(Decrements!$D$6:$D$58,Census!$G25+X$5-18)+IF(X$5=$B25,INDEX(Decrements!$F$6:$F$58,Census!$G25+X$5-18),0)+INDEX(Decrements!$E$6:$E$58,Census!$G25+X$5-18)*IF((Census!$F25+X$5)&gt;=Assumptions!$B$11,1,0))*MIN(15/26*Census!$D25*(1+Assumptions!$B$9)^X$5*(INT((Census!$F25+X$5))+IF((Census!$F25+X$5)-INT((Census!$F25+X$5))&gt;0.5,1,0)),Assumptions!$B$10))</f>
        <v>6305.3426371745927</v>
      </c>
      <c r="Y25" s="30">
        <f>IF(Y$5&gt;$B25,0,INDEX(Decrements!$G$6:$G$58,Census!$G25+Y$5-18)/INDEX(Decrements!$G$6:$G$58,Census!$G25-17)*(INDEX(Decrements!$D$6:$D$58,Census!$G25+Y$5-18)+IF(Y$5=$B25,INDEX(Decrements!$F$6:$F$58,Census!$G25+Y$5-18),0)+INDEX(Decrements!$E$6:$E$58,Census!$G25+Y$5-18)*IF((Census!$F25+Y$5)&gt;=Assumptions!$B$11,1,0))*MIN(15/26*Census!$D25*(1+Assumptions!$B$9)^Y$5*(INT((Census!$F25+Y$5))+IF((Census!$F25+Y$5)-INT((Census!$F25+Y$5))&gt;0.5,1,0)),Assumptions!$B$10))</f>
        <v>6132.7534938485278</v>
      </c>
      <c r="Z25" s="30">
        <f>IF(Z$5&gt;$B25,0,INDEX(Decrements!$G$6:$G$58,Census!$G25+Z$5-18)/INDEX(Decrements!$G$6:$G$58,Census!$G25-17)*(INDEX(Decrements!$D$6:$D$58,Census!$G25+Z$5-18)+IF(Z$5=$B25,INDEX(Decrements!$F$6:$F$58,Census!$G25+Z$5-18),0)+INDEX(Decrements!$E$6:$E$58,Census!$G25+Z$5-18)*IF((Census!$F25+Z$5)&gt;=Assumptions!$B$11,1,0))*MIN(15/26*Census!$D25*(1+Assumptions!$B$9)^Z$5*(INT((Census!$F25+Z$5))+IF((Census!$F25+Z$5)-INT((Census!$F25+Z$5))&gt;0.5,1,0)),Assumptions!$B$10))</f>
        <v>5966.589071162246</v>
      </c>
      <c r="AA25" s="30">
        <f>IF(AA$5&gt;$B25,0,INDEX(Decrements!$G$6:$G$58,Census!$G25+AA$5-18)/INDEX(Decrements!$G$6:$G$58,Census!$G25-17)*(INDEX(Decrements!$D$6:$D$58,Census!$G25+AA$5-18)+IF(AA$5=$B25,INDEX(Decrements!$F$6:$F$58,Census!$G25+AA$5-18),0)+INDEX(Decrements!$E$6:$E$58,Census!$G25+AA$5-18)*IF((Census!$F25+AA$5)&gt;=Assumptions!$B$11,1,0))*MIN(15/26*Census!$D25*(1+Assumptions!$B$9)^AA$5*(INT((Census!$F25+AA$5))+IF((Census!$F25+AA$5)-INT((Census!$F25+AA$5))&gt;0.5,1,0)),Assumptions!$B$10))</f>
        <v>5806.718097258954</v>
      </c>
      <c r="AB25" s="30">
        <f>IF(AB$5&gt;$B25,0,INDEX(Decrements!$G$6:$G$58,Census!$G25+AB$5-18)/INDEX(Decrements!$G$6:$G$58,Census!$G25-17)*(INDEX(Decrements!$D$6:$D$58,Census!$G25+AB$5-18)+IF(AB$5=$B25,INDEX(Decrements!$F$6:$F$58,Census!$G25+AB$5-18),0)+INDEX(Decrements!$E$6:$E$58,Census!$G25+AB$5-18)*IF((Census!$F25+AB$5)&gt;=Assumptions!$B$11,1,0))*MIN(15/26*Census!$D25*(1+Assumptions!$B$9)^AB$5*(INT((Census!$F25+AB$5))+IF((Census!$F25+AB$5)-INT((Census!$F25+AB$5))&gt;0.5,1,0)),Assumptions!$B$10))</f>
        <v>5653.0151004251802</v>
      </c>
      <c r="AC25" s="30">
        <f>IF(AC$5&gt;$B25,0,INDEX(Decrements!$G$6:$G$58,Census!$G25+AC$5-18)/INDEX(Decrements!$G$6:$G$58,Census!$G25-17)*(INDEX(Decrements!$D$6:$D$58,Census!$G25+AC$5-18)+IF(AC$5=$B25,INDEX(Decrements!$F$6:$F$58,Census!$G25+AC$5-18),0)+INDEX(Decrements!$E$6:$E$58,Census!$G25+AC$5-18)*IF((Census!$F25+AC$5)&gt;=Assumptions!$B$11,1,0))*MIN(15/26*Census!$D25*(1+Assumptions!$B$9)^AC$5*(INT((Census!$F25+AC$5))+IF((Census!$F25+AC$5)-INT((Census!$F25+AC$5))&gt;0.5,1,0)),Assumptions!$B$10))</f>
        <v>3830.3408983866734</v>
      </c>
      <c r="AD25" s="30">
        <f>IF(AD$5&gt;$B25,0,INDEX(Decrements!$G$6:$G$58,Census!$G25+AD$5-18)/INDEX(Decrements!$G$6:$G$58,Census!$G25-17)*(INDEX(Decrements!$D$6:$D$58,Census!$G25+AD$5-18)+IF(AD$5=$B25,INDEX(Decrements!$F$6:$F$58,Census!$G25+AD$5-18),0)+INDEX(Decrements!$E$6:$E$58,Census!$G25+AD$5-18)*IF((Census!$F25+AD$5)&gt;=Assumptions!$B$11,1,0))*MIN(15/26*Census!$D25*(1+Assumptions!$B$9)^AD$5*(INT((Census!$F25+AD$5))+IF((Census!$F25+AD$5)-INT((Census!$F25+AD$5))&gt;0.5,1,0)),Assumptions!$B$10))</f>
        <v>3782.5105701242464</v>
      </c>
      <c r="AE25" s="30">
        <f>IF(AE$5&gt;$B25,0,INDEX(Decrements!$G$6:$G$58,Census!$G25+AE$5-18)/INDEX(Decrements!$G$6:$G$58,Census!$G25-17)*(INDEX(Decrements!$D$6:$D$58,Census!$G25+AE$5-18)+IF(AE$5=$B25,INDEX(Decrements!$F$6:$F$58,Census!$G25+AE$5-18),0)+INDEX(Decrements!$E$6:$E$58,Census!$G25+AE$5-18)*IF((Census!$F25+AE$5)&gt;=Assumptions!$B$11,1,0))*MIN(15/26*Census!$D25*(1+Assumptions!$B$9)^AE$5*(INT((Census!$F25+AE$5))+IF((Census!$F25+AE$5)-INT((Census!$F25+AE$5))&gt;0.5,1,0)),Assumptions!$B$10))</f>
        <v>3737.7989776268073</v>
      </c>
      <c r="AF25" s="30">
        <f>IF(AF$5&gt;$B25,0,INDEX(Decrements!$G$6:$G$58,Census!$G25+AF$5-18)/INDEX(Decrements!$G$6:$G$58,Census!$G25-17)*(INDEX(Decrements!$D$6:$D$58,Census!$G25+AF$5-18)+IF(AF$5=$B25,INDEX(Decrements!$F$6:$F$58,Census!$G25+AF$5-18),0)+INDEX(Decrements!$E$6:$E$58,Census!$G25+AF$5-18)*IF((Census!$F25+AF$5)&gt;=Assumptions!$B$11,1,0))*MIN(15/26*Census!$D25*(1+Assumptions!$B$9)^AF$5*(INT((Census!$F25+AF$5))+IF((Census!$F25+AF$5)-INT((Census!$F25+AF$5))&gt;0.5,1,0)),Assumptions!$B$10))</f>
        <v>3696.2718388088379</v>
      </c>
      <c r="AG25" s="30">
        <f>IF(AG$5&gt;$B25,0,INDEX(Decrements!$G$6:$G$58,Census!$G25+AG$5-18)/INDEX(Decrements!$G$6:$G$58,Census!$G25-17)*(INDEX(Decrements!$D$6:$D$58,Census!$G25+AG$5-18)+IF(AG$5=$B25,INDEX(Decrements!$F$6:$F$58,Census!$G25+AG$5-18),0)+INDEX(Decrements!$E$6:$E$58,Census!$G25+AG$5-18)*IF((Census!$F25+AG$5)&gt;=Assumptions!$B$11,1,0))*MIN(15/26*Census!$D25*(1+Assumptions!$B$9)^AG$5*(INT((Census!$F25+AG$5))+IF((Census!$F25+AG$5)-INT((Census!$F25+AG$5))&gt;0.5,1,0)),Assumptions!$B$10))</f>
        <v>3657.9970402694926</v>
      </c>
      <c r="AH25" s="30">
        <f>IF(AH$5&gt;$B25,0,INDEX(Decrements!$G$6:$G$58,Census!$G25+AH$5-18)/INDEX(Decrements!$G$6:$G$58,Census!$G25-17)*(INDEX(Decrements!$D$6:$D$58,Census!$G25+AH$5-18)+IF(AH$5=$B25,INDEX(Decrements!$F$6:$F$58,Census!$G25+AH$5-18),0)+INDEX(Decrements!$E$6:$E$58,Census!$G25+AH$5-18)*IF((Census!$F25+AH$5)&gt;=Assumptions!$B$11,1,0))*MIN(15/26*Census!$D25*(1+Assumptions!$B$9)^AH$5*(INT((Census!$F25+AH$5))+IF((Census!$F25+AH$5)-INT((Census!$F25+AH$5))&gt;0.5,1,0)),Assumptions!$B$10))</f>
        <v>2136.7759448991956</v>
      </c>
      <c r="AI25" s="30">
        <f>IF(AI$5&gt;$B25,0,INDEX(Decrements!$G$6:$G$58,Census!$G25+AI$5-18)/INDEX(Decrements!$G$6:$G$58,Census!$G25-17)*(INDEX(Decrements!$D$6:$D$58,Census!$G25+AI$5-18)+IF(AI$5=$B25,INDEX(Decrements!$F$6:$F$58,Census!$G25+AI$5-18),0)+INDEX(Decrements!$E$6:$E$58,Census!$G25+AI$5-18)*IF((Census!$F25+AI$5)&gt;=Assumptions!$B$11,1,0))*MIN(15/26*Census!$D25*(1+Assumptions!$B$9)^AI$5*(INT((Census!$F25+AI$5))+IF((Census!$F25+AI$5)-INT((Census!$F25+AI$5))&gt;0.5,1,0)),Assumptions!$B$10))</f>
        <v>2163.7170096237319</v>
      </c>
      <c r="AJ25" s="30">
        <f>IF(AJ$5&gt;$B25,0,INDEX(Decrements!$G$6:$G$58,Census!$G25+AJ$5-18)/INDEX(Decrements!$G$6:$G$58,Census!$G25-17)*(INDEX(Decrements!$D$6:$D$58,Census!$G25+AJ$5-18)+IF(AJ$5=$B25,INDEX(Decrements!$F$6:$F$58,Census!$G25+AJ$5-18),0)+INDEX(Decrements!$E$6:$E$58,Census!$G25+AJ$5-18)*IF((Census!$F25+AJ$5)&gt;=Assumptions!$B$11,1,0))*MIN(15/26*Census!$D25*(1+Assumptions!$B$9)^AJ$5*(INT((Census!$F25+AJ$5))+IF((Census!$F25+AJ$5)-INT((Census!$F25+AJ$5))&gt;0.5,1,0)),Assumptions!$B$10))</f>
        <v>2194.2227059722059</v>
      </c>
      <c r="AK25" s="30">
        <f>IF(AK$5&gt;$B25,0,INDEX(Decrements!$G$6:$G$58,Census!$G25+AK$5-18)/INDEX(Decrements!$G$6:$G$58,Census!$G25-17)*(INDEX(Decrements!$D$6:$D$58,Census!$G25+AK$5-18)+IF(AK$5=$B25,INDEX(Decrements!$F$6:$F$58,Census!$G25+AK$5-18),0)+INDEX(Decrements!$E$6:$E$58,Census!$G25+AK$5-18)*IF((Census!$F25+AK$5)&gt;=Assumptions!$B$11,1,0))*MIN(15/26*Census!$D25*(1+Assumptions!$B$9)^AK$5*(INT((Census!$F25+AK$5))+IF((Census!$F25+AK$5)-INT((Census!$F25+AK$5))&gt;0.5,1,0)),Assumptions!$B$10))</f>
        <v>2228.5003663988718</v>
      </c>
      <c r="AL25" s="30">
        <f>IF(AL$5&gt;$B25,0,INDEX(Decrements!$G$6:$G$58,Census!$G25+AL$5-18)/INDEX(Decrements!$G$6:$G$58,Census!$G25-17)*(INDEX(Decrements!$D$6:$D$58,Census!$G25+AL$5-18)+IF(AL$5=$B25,INDEX(Decrements!$F$6:$F$58,Census!$G25+AL$5-18),0)+INDEX(Decrements!$E$6:$E$58,Census!$G25+AL$5-18)*IF((Census!$F25+AL$5)&gt;=Assumptions!$B$11,1,0))*MIN(15/26*Census!$D25*(1+Assumptions!$B$9)^AL$5*(INT((Census!$F25+AL$5))+IF((Census!$F25+AL$5)-INT((Census!$F25+AL$5))&gt;0.5,1,0)),Assumptions!$B$10))</f>
        <v>140554.07289653536</v>
      </c>
      <c r="AM25" s="30">
        <f>IF(AM$5&gt;$B25,0,INDEX(Decrements!$G$6:$G$58,Census!$G25+AM$5-18)/INDEX(Decrements!$G$6:$G$58,Census!$G25-17)*(INDEX(Decrements!$D$6:$D$58,Census!$G25+AM$5-18)+IF(AM$5=$B25,INDEX(Decrements!$F$6:$F$58,Census!$G25+AM$5-18),0)+INDEX(Decrements!$E$6:$E$58,Census!$G25+AM$5-18)*IF((Census!$F25+AM$5)&gt;=Assumptions!$B$11,1,0))*MIN(15/26*Census!$D25*(1+Assumptions!$B$9)^AM$5*(INT((Census!$F25+AM$5))+IF((Census!$F25+AM$5)-INT((Census!$F25+AM$5))&gt;0.5,1,0)),Assumptions!$B$10))</f>
        <v>0</v>
      </c>
      <c r="AN25" s="30">
        <f>IF(AN$5&gt;$B25,0,INDEX(Decrements!$G$6:$G$58,Census!$G25+AN$5-18)/INDEX(Decrements!$G$6:$G$58,Census!$G25-17)*(INDEX(Decrements!$D$6:$D$58,Census!$G25+AN$5-18)+IF(AN$5=$B25,INDEX(Decrements!$F$6:$F$58,Census!$G25+AN$5-18),0)+INDEX(Decrements!$E$6:$E$58,Census!$G25+AN$5-18)*IF((Census!$F25+AN$5)&gt;=Assumptions!$B$11,1,0))*MIN(15/26*Census!$D25*(1+Assumptions!$B$9)^AN$5*(INT((Census!$F25+AN$5))+IF((Census!$F25+AN$5)-INT((Census!$F25+AN$5))&gt;0.5,1,0)),Assumptions!$B$10))</f>
        <v>0</v>
      </c>
      <c r="AO25" s="30">
        <f>IF(AO$5&gt;$B25,0,INDEX(Decrements!$G$6:$G$58,Census!$G25+AO$5-18)/INDEX(Decrements!$G$6:$G$58,Census!$G25-17)*(INDEX(Decrements!$D$6:$D$58,Census!$G25+AO$5-18)+IF(AO$5=$B25,INDEX(Decrements!$F$6:$F$58,Census!$G25+AO$5-18),0)+INDEX(Decrements!$E$6:$E$58,Census!$G25+AO$5-18)*IF((Census!$F25+AO$5)&gt;=Assumptions!$B$11,1,0))*MIN(15/26*Census!$D25*(1+Assumptions!$B$9)^AO$5*(INT((Census!$F25+AO$5))+IF((Census!$F25+AO$5)-INT((Census!$F25+AO$5))&gt;0.5,1,0)),Assumptions!$B$10))</f>
        <v>0</v>
      </c>
      <c r="AP25" s="30">
        <f>IF(AP$5&gt;$B25,0,INDEX(Decrements!$G$6:$G$58,Census!$G25+AP$5-18)/INDEX(Decrements!$G$6:$G$58,Census!$G25-17)*(INDEX(Decrements!$D$6:$D$58,Census!$G25+AP$5-18)+IF(AP$5=$B25,INDEX(Decrements!$F$6:$F$58,Census!$G25+AP$5-18),0)+INDEX(Decrements!$E$6:$E$58,Census!$G25+AP$5-18)*IF((Census!$F25+AP$5)&gt;=Assumptions!$B$11,1,0))*MIN(15/26*Census!$D25*(1+Assumptions!$B$9)^AP$5*(INT((Census!$F25+AP$5))+IF((Census!$F25+AP$5)-INT((Census!$F25+AP$5))&gt;0.5,1,0)),Assumptions!$B$10))</f>
        <v>0</v>
      </c>
      <c r="AQ25" s="30">
        <f>IF(AQ$5&gt;$B25,0,INDEX(Decrements!$G$6:$G$58,Census!$G25+AQ$5-18)/INDEX(Decrements!$G$6:$G$58,Census!$G25-17)*(INDEX(Decrements!$D$6:$D$58,Census!$G25+AQ$5-18)+IF(AQ$5=$B25,INDEX(Decrements!$F$6:$F$58,Census!$G25+AQ$5-18),0)+INDEX(Decrements!$E$6:$E$58,Census!$G25+AQ$5-18)*IF((Census!$F25+AQ$5)&gt;=Assumptions!$B$11,1,0))*MIN(15/26*Census!$D25*(1+Assumptions!$B$9)^AQ$5*(INT((Census!$F25+AQ$5))+IF((Census!$F25+AQ$5)-INT((Census!$F25+AQ$5))&gt;0.5,1,0)),Assumptions!$B$10))</f>
        <v>0</v>
      </c>
      <c r="AR25" s="30">
        <f>IF(AR$5&gt;$B25,0,INDEX(Decrements!$G$6:$G$58,Census!$G25+AR$5-18)/INDEX(Decrements!$G$6:$G$58,Census!$G25-17)*(INDEX(Decrements!$D$6:$D$58,Census!$G25+AR$5-18)+IF(AR$5=$B25,INDEX(Decrements!$F$6:$F$58,Census!$G25+AR$5-18),0)+INDEX(Decrements!$E$6:$E$58,Census!$G25+AR$5-18)*IF((Census!$F25+AR$5)&gt;=Assumptions!$B$11,1,0))*MIN(15/26*Census!$D25*(1+Assumptions!$B$9)^AR$5*(INT((Census!$F25+AR$5))+IF((Census!$F25+AR$5)-INT((Census!$F25+AR$5))&gt;0.5,1,0)),Assumptions!$B$10))</f>
        <v>0</v>
      </c>
      <c r="AS25" s="30">
        <f>IF(AS$5&gt;$B25,0,INDEX(Decrements!$G$6:$G$58,Census!$G25+AS$5-18)/INDEX(Decrements!$G$6:$G$58,Census!$G25-17)*(INDEX(Decrements!$D$6:$D$58,Census!$G25+AS$5-18)+IF(AS$5=$B25,INDEX(Decrements!$F$6:$F$58,Census!$G25+AS$5-18),0)+INDEX(Decrements!$E$6:$E$58,Census!$G25+AS$5-18)*IF((Census!$F25+AS$5)&gt;=Assumptions!$B$11,1,0))*MIN(15/26*Census!$D25*(1+Assumptions!$B$9)^AS$5*(INT((Census!$F25+AS$5))+IF((Census!$F25+AS$5)-INT((Census!$F25+AS$5))&gt;0.5,1,0)),Assumptions!$B$10))</f>
        <v>0</v>
      </c>
      <c r="AT25" s="30">
        <f>IF(AT$5&gt;$B25,0,INDEX(Decrements!$G$6:$G$58,Census!$G25+AT$5-18)/INDEX(Decrements!$G$6:$G$58,Census!$G25-17)*(INDEX(Decrements!$D$6:$D$58,Census!$G25+AT$5-18)+IF(AT$5=$B25,INDEX(Decrements!$F$6:$F$58,Census!$G25+AT$5-18),0)+INDEX(Decrements!$E$6:$E$58,Census!$G25+AT$5-18)*IF((Census!$F25+AT$5)&gt;=Assumptions!$B$11,1,0))*MIN(15/26*Census!$D25*(1+Assumptions!$B$9)^AT$5*(INT((Census!$F25+AT$5))+IF((Census!$F25+AT$5)-INT((Census!$F25+AT$5))&gt;0.5,1,0)),Assumptions!$B$10))</f>
        <v>0</v>
      </c>
      <c r="AU25" s="30">
        <f>IF(AU$5&gt;$B25,0,INDEX(Decrements!$G$6:$G$58,Census!$G25+AU$5-18)/INDEX(Decrements!$G$6:$G$58,Census!$G25-17)*(INDEX(Decrements!$D$6:$D$58,Census!$G25+AU$5-18)+IF(AU$5=$B25,INDEX(Decrements!$F$6:$F$58,Census!$G25+AU$5-18),0)+INDEX(Decrements!$E$6:$E$58,Census!$G25+AU$5-18)*IF((Census!$F25+AU$5)&gt;=Assumptions!$B$11,1,0))*MIN(15/26*Census!$D25*(1+Assumptions!$B$9)^AU$5*(INT((Census!$F25+AU$5))+IF((Census!$F25+AU$5)-INT((Census!$F25+AU$5))&gt;0.5,1,0)),Assumptions!$B$10))</f>
        <v>0</v>
      </c>
    </row>
    <row r="26" spans="1:47" x14ac:dyDescent="0.3">
      <c r="A26" s="10" t="str">
        <f>Census!A26</f>
        <v>E021</v>
      </c>
      <c r="B26" s="29">
        <f>Census!H26</f>
        <v>24</v>
      </c>
      <c r="C26" s="30">
        <f>IF(C$5&gt;$B26,0,INDEX(Decrements!$G$6:$G$58,Census!$G26+C$5-18)/INDEX(Decrements!$G$6:$G$58,Census!$G26-17)*(INDEX(Decrements!$D$6:$D$58,Census!$G26+C$5-18)+IF(C$5=$B26,INDEX(Decrements!$F$6:$F$58,Census!$G26+C$5-18),0)+INDEX(Decrements!$E$6:$E$58,Census!$G26+C$5-18)*IF((Census!$F26+C$5)&gt;=Assumptions!$B$11,1,0))*MIN(15/26*Census!$D26*(1+Assumptions!$B$9)^C$5*(INT((Census!$F26+C$5))+IF((Census!$F26+C$5)-INT((Census!$F26+C$5))&gt;0.5,1,0)),Assumptions!$B$10))</f>
        <v>61444.41155264667</v>
      </c>
      <c r="D26" s="30">
        <f>IF(D$5&gt;$B26,0,INDEX(Decrements!$G$6:$G$58,Census!$G26+D$5-18)/INDEX(Decrements!$G$6:$G$58,Census!$G26-17)*(INDEX(Decrements!$D$6:$D$58,Census!$G26+D$5-18)+IF(D$5=$B26,INDEX(Decrements!$F$6:$F$58,Census!$G26+D$5-18),0)+INDEX(Decrements!$E$6:$E$58,Census!$G26+D$5-18)*IF((Census!$F26+D$5)&gt;=Assumptions!$B$11,1,0))*MIN(15/26*Census!$D26*(1+Assumptions!$B$9)^D$5*(INT((Census!$F26+D$5))+IF((Census!$F26+D$5)-INT((Census!$F26+D$5))&gt;0.5,1,0)),Assumptions!$B$10))</f>
        <v>65100.888127332189</v>
      </c>
      <c r="E26" s="30">
        <f>IF(E$5&gt;$B26,0,INDEX(Decrements!$G$6:$G$58,Census!$G26+E$5-18)/INDEX(Decrements!$G$6:$G$58,Census!$G26-17)*(INDEX(Decrements!$D$6:$D$58,Census!$G26+E$5-18)+IF(E$5=$B26,INDEX(Decrements!$F$6:$F$58,Census!$G26+E$5-18),0)+INDEX(Decrements!$E$6:$E$58,Census!$G26+E$5-18)*IF((Census!$F26+E$5)&gt;=Assumptions!$B$11,1,0))*MIN(15/26*Census!$D26*(1+Assumptions!$B$9)^E$5*(INT((Census!$F26+E$5))+IF((Census!$F26+E$5)-INT((Census!$F26+E$5))&gt;0.5,1,0)),Assumptions!$B$10))</f>
        <v>68706.076817345369</v>
      </c>
      <c r="F26" s="30">
        <f>IF(F$5&gt;$B26,0,INDEX(Decrements!$G$6:$G$58,Census!$G26+F$5-18)/INDEX(Decrements!$G$6:$G$58,Census!$G26-17)*(INDEX(Decrements!$D$6:$D$58,Census!$G26+F$5-18)+IF(F$5=$B26,INDEX(Decrements!$F$6:$F$58,Census!$G26+F$5-18),0)+INDEX(Decrements!$E$6:$E$58,Census!$G26+F$5-18)*IF((Census!$F26+F$5)&gt;=Assumptions!$B$11,1,0))*MIN(15/26*Census!$D26*(1+Assumptions!$B$9)^F$5*(INT((Census!$F26+F$5))+IF((Census!$F26+F$5)-INT((Census!$F26+F$5))&gt;0.5,1,0)),Assumptions!$B$10))</f>
        <v>72260.6425937639</v>
      </c>
      <c r="G26" s="30">
        <f>IF(G$5&gt;$B26,0,INDEX(Decrements!$G$6:$G$58,Census!$G26+G$5-18)/INDEX(Decrements!$G$6:$G$58,Census!$G26-17)*(INDEX(Decrements!$D$6:$D$58,Census!$G26+G$5-18)+IF(G$5=$B26,INDEX(Decrements!$F$6:$F$58,Census!$G26+G$5-18),0)+INDEX(Decrements!$E$6:$E$58,Census!$G26+G$5-18)*IF((Census!$F26+G$5)&gt;=Assumptions!$B$11,1,0))*MIN(15/26*Census!$D26*(1+Assumptions!$B$9)^G$5*(INT((Census!$F26+G$5))+IF((Census!$F26+G$5)-INT((Census!$F26+G$5))&gt;0.5,1,0)),Assumptions!$B$10))</f>
        <v>47824.998814989769</v>
      </c>
      <c r="H26" s="30">
        <f>IF(H$5&gt;$B26,0,INDEX(Decrements!$G$6:$G$58,Census!$G26+H$5-18)/INDEX(Decrements!$G$6:$G$58,Census!$G26-17)*(INDEX(Decrements!$D$6:$D$58,Census!$G26+H$5-18)+IF(H$5=$B26,INDEX(Decrements!$F$6:$F$58,Census!$G26+H$5-18),0)+INDEX(Decrements!$E$6:$E$58,Census!$G26+H$5-18)*IF((Census!$F26+H$5)&gt;=Assumptions!$B$11,1,0))*MIN(15/26*Census!$D26*(1+Assumptions!$B$9)^H$5*(INT((Census!$F26+H$5))+IF((Census!$F26+H$5)-INT((Census!$F26+H$5))&gt;0.5,1,0)),Assumptions!$B$10))</f>
        <v>51671.956030784771</v>
      </c>
      <c r="I26" s="30">
        <f>IF(I$5&gt;$B26,0,INDEX(Decrements!$G$6:$G$58,Census!$G26+I$5-18)/INDEX(Decrements!$G$6:$G$58,Census!$G26-17)*(INDEX(Decrements!$D$6:$D$58,Census!$G26+I$5-18)+IF(I$5=$B26,INDEX(Decrements!$F$6:$F$58,Census!$G26+I$5-18),0)+INDEX(Decrements!$E$6:$E$58,Census!$G26+I$5-18)*IF((Census!$F26+I$5)&gt;=Assumptions!$B$11,1,0))*MIN(15/26*Census!$D26*(1+Assumptions!$B$9)^I$5*(INT((Census!$F26+I$5))+IF((Census!$F26+I$5)-INT((Census!$F26+I$5))&gt;0.5,1,0)),Assumptions!$B$10))</f>
        <v>55693.063004869931</v>
      </c>
      <c r="J26" s="30">
        <f>IF(J$5&gt;$B26,0,INDEX(Decrements!$G$6:$G$58,Census!$G26+J$5-18)/INDEX(Decrements!$G$6:$G$58,Census!$G26-17)*(INDEX(Decrements!$D$6:$D$58,Census!$G26+J$5-18)+IF(J$5=$B26,INDEX(Decrements!$F$6:$F$58,Census!$G26+J$5-18),0)+INDEX(Decrements!$E$6:$E$58,Census!$G26+J$5-18)*IF((Census!$F26+J$5)&gt;=Assumptions!$B$11,1,0))*MIN(15/26*Census!$D26*(1+Assumptions!$B$9)^J$5*(INT((Census!$F26+J$5))+IF((Census!$F26+J$5)-INT((Census!$F26+J$5))&gt;0.5,1,0)),Assumptions!$B$10))</f>
        <v>59895.991553634274</v>
      </c>
      <c r="K26" s="30">
        <f>IF(K$5&gt;$B26,0,INDEX(Decrements!$G$6:$G$58,Census!$G26+K$5-18)/INDEX(Decrements!$G$6:$G$58,Census!$G26-17)*(INDEX(Decrements!$D$6:$D$58,Census!$G26+K$5-18)+IF(K$5=$B26,INDEX(Decrements!$F$6:$F$58,Census!$G26+K$5-18),0)+INDEX(Decrements!$E$6:$E$58,Census!$G26+K$5-18)*IF((Census!$F26+K$5)&gt;=Assumptions!$B$11,1,0))*MIN(15/26*Census!$D26*(1+Assumptions!$B$9)^K$5*(INT((Census!$F26+K$5))+IF((Census!$F26+K$5)-INT((Census!$F26+K$5))&gt;0.5,1,0)),Assumptions!$B$10))</f>
        <v>59696.683530416485</v>
      </c>
      <c r="L26" s="30">
        <f>IF(L$5&gt;$B26,0,INDEX(Decrements!$G$6:$G$58,Census!$G26+L$5-18)/INDEX(Decrements!$G$6:$G$58,Census!$G26-17)*(INDEX(Decrements!$D$6:$D$58,Census!$G26+L$5-18)+IF(L$5=$B26,INDEX(Decrements!$F$6:$F$58,Census!$G26+L$5-18),0)+INDEX(Decrements!$E$6:$E$58,Census!$G26+L$5-18)*IF((Census!$F26+L$5)&gt;=Assumptions!$B$11,1,0))*MIN(15/26*Census!$D26*(1+Assumptions!$B$9)^L$5*(INT((Census!$F26+L$5))+IF((Census!$F26+L$5)-INT((Census!$F26+L$5))&gt;0.5,1,0)),Assumptions!$B$10))</f>
        <v>34897.181770501571</v>
      </c>
      <c r="M26" s="30">
        <f>IF(M$5&gt;$B26,0,INDEX(Decrements!$G$6:$G$58,Census!$G26+M$5-18)/INDEX(Decrements!$G$6:$G$58,Census!$G26-17)*(INDEX(Decrements!$D$6:$D$58,Census!$G26+M$5-18)+IF(M$5=$B26,INDEX(Decrements!$F$6:$F$58,Census!$G26+M$5-18),0)+INDEX(Decrements!$E$6:$E$58,Census!$G26+M$5-18)*IF((Census!$F26+M$5)&gt;=Assumptions!$B$11,1,0))*MIN(15/26*Census!$D26*(1+Assumptions!$B$9)^M$5*(INT((Census!$F26+M$5))+IF((Census!$F26+M$5)-INT((Census!$F26+M$5))&gt;0.5,1,0)),Assumptions!$B$10))</f>
        <v>33941.97995946031</v>
      </c>
      <c r="N26" s="30">
        <f>IF(N$5&gt;$B26,0,INDEX(Decrements!$G$6:$G$58,Census!$G26+N$5-18)/INDEX(Decrements!$G$6:$G$58,Census!$G26-17)*(INDEX(Decrements!$D$6:$D$58,Census!$G26+N$5-18)+IF(N$5=$B26,INDEX(Decrements!$F$6:$F$58,Census!$G26+N$5-18),0)+INDEX(Decrements!$E$6:$E$58,Census!$G26+N$5-18)*IF((Census!$F26+N$5)&gt;=Assumptions!$B$11,1,0))*MIN(15/26*Census!$D26*(1+Assumptions!$B$9)^N$5*(INT((Census!$F26+N$5))+IF((Census!$F26+N$5)-INT((Census!$F26+N$5))&gt;0.5,1,0)),Assumptions!$B$10))</f>
        <v>33022.336032723288</v>
      </c>
      <c r="O26" s="30">
        <f>IF(O$5&gt;$B26,0,INDEX(Decrements!$G$6:$G$58,Census!$G26+O$5-18)/INDEX(Decrements!$G$6:$G$58,Census!$G26-17)*(INDEX(Decrements!$D$6:$D$58,Census!$G26+O$5-18)+IF(O$5=$B26,INDEX(Decrements!$F$6:$F$58,Census!$G26+O$5-18),0)+INDEX(Decrements!$E$6:$E$58,Census!$G26+O$5-18)*IF((Census!$F26+O$5)&gt;=Assumptions!$B$11,1,0))*MIN(15/26*Census!$D26*(1+Assumptions!$B$9)^O$5*(INT((Census!$F26+O$5))+IF((Census!$F26+O$5)-INT((Census!$F26+O$5))&gt;0.5,1,0)),Assumptions!$B$10))</f>
        <v>32137.523460724788</v>
      </c>
      <c r="P26" s="30">
        <f>IF(P$5&gt;$B26,0,INDEX(Decrements!$G$6:$G$58,Census!$G26+P$5-18)/INDEX(Decrements!$G$6:$G$58,Census!$G26-17)*(INDEX(Decrements!$D$6:$D$58,Census!$G26+P$5-18)+IF(P$5=$B26,INDEX(Decrements!$F$6:$F$58,Census!$G26+P$5-18),0)+INDEX(Decrements!$E$6:$E$58,Census!$G26+P$5-18)*IF((Census!$F26+P$5)&gt;=Assumptions!$B$11,1,0))*MIN(15/26*Census!$D26*(1+Assumptions!$B$9)^P$5*(INT((Census!$F26+P$5))+IF((Census!$F26+P$5)-INT((Census!$F26+P$5))&gt;0.5,1,0)),Assumptions!$B$10))</f>
        <v>31286.847815034173</v>
      </c>
      <c r="Q26" s="30">
        <f>IF(Q$5&gt;$B26,0,INDEX(Decrements!$G$6:$G$58,Census!$G26+Q$5-18)/INDEX(Decrements!$G$6:$G$58,Census!$G26-17)*(INDEX(Decrements!$D$6:$D$58,Census!$G26+Q$5-18)+IF(Q$5=$B26,INDEX(Decrements!$F$6:$F$58,Census!$G26+Q$5-18),0)+INDEX(Decrements!$E$6:$E$58,Census!$G26+Q$5-18)*IF((Census!$F26+Q$5)&gt;=Assumptions!$B$11,1,0))*MIN(15/26*Census!$D26*(1+Assumptions!$B$9)^Q$5*(INT((Census!$F26+Q$5))+IF((Census!$F26+Q$5)-INT((Census!$F26+Q$5))&gt;0.5,1,0)),Assumptions!$B$10))</f>
        <v>21199.181434790728</v>
      </c>
      <c r="R26" s="30">
        <f>IF(R$5&gt;$B26,0,INDEX(Decrements!$G$6:$G$58,Census!$G26+R$5-18)/INDEX(Decrements!$G$6:$G$58,Census!$G26-17)*(INDEX(Decrements!$D$6:$D$58,Census!$G26+R$5-18)+IF(R$5=$B26,INDEX(Decrements!$F$6:$F$58,Census!$G26+R$5-18),0)+INDEX(Decrements!$E$6:$E$58,Census!$G26+R$5-18)*IF((Census!$F26+R$5)&gt;=Assumptions!$B$11,1,0))*MIN(15/26*Census!$D26*(1+Assumptions!$B$9)^R$5*(INT((Census!$F26+R$5))+IF((Census!$F26+R$5)-INT((Census!$F26+R$5))&gt;0.5,1,0)),Assumptions!$B$10))</f>
        <v>20934.462488404555</v>
      </c>
      <c r="S26" s="30">
        <f>IF(S$5&gt;$B26,0,INDEX(Decrements!$G$6:$G$58,Census!$G26+S$5-18)/INDEX(Decrements!$G$6:$G$58,Census!$G26-17)*(INDEX(Decrements!$D$6:$D$58,Census!$G26+S$5-18)+IF(S$5=$B26,INDEX(Decrements!$F$6:$F$58,Census!$G26+S$5-18),0)+INDEX(Decrements!$E$6:$E$58,Census!$G26+S$5-18)*IF((Census!$F26+S$5)&gt;=Assumptions!$B$11,1,0))*MIN(15/26*Census!$D26*(1+Assumptions!$B$9)^S$5*(INT((Census!$F26+S$5))+IF((Census!$F26+S$5)-INT((Census!$F26+S$5))&gt;0.5,1,0)),Assumptions!$B$10))</f>
        <v>20687.004315167062</v>
      </c>
      <c r="T26" s="30">
        <f>IF(T$5&gt;$B26,0,INDEX(Decrements!$G$6:$G$58,Census!$G26+T$5-18)/INDEX(Decrements!$G$6:$G$58,Census!$G26-17)*(INDEX(Decrements!$D$6:$D$58,Census!$G26+T$5-18)+IF(T$5=$B26,INDEX(Decrements!$F$6:$F$58,Census!$G26+T$5-18),0)+INDEX(Decrements!$E$6:$E$58,Census!$G26+T$5-18)*IF((Census!$F26+T$5)&gt;=Assumptions!$B$11,1,0))*MIN(15/26*Census!$D26*(1+Assumptions!$B$9)^T$5*(INT((Census!$F26+T$5))+IF((Census!$F26+T$5)-INT((Census!$F26+T$5))&gt;0.5,1,0)),Assumptions!$B$10))</f>
        <v>20457.170633616504</v>
      </c>
      <c r="U26" s="30">
        <f>IF(U$5&gt;$B26,0,INDEX(Decrements!$G$6:$G$58,Census!$G26+U$5-18)/INDEX(Decrements!$G$6:$G$58,Census!$G26-17)*(INDEX(Decrements!$D$6:$D$58,Census!$G26+U$5-18)+IF(U$5=$B26,INDEX(Decrements!$F$6:$F$58,Census!$G26+U$5-18),0)+INDEX(Decrements!$E$6:$E$58,Census!$G26+U$5-18)*IF((Census!$F26+U$5)&gt;=Assumptions!$B$11,1,0))*MIN(15/26*Census!$D26*(1+Assumptions!$B$9)^U$5*(INT((Census!$F26+U$5))+IF((Census!$F26+U$5)-INT((Census!$F26+U$5))&gt;0.5,1,0)),Assumptions!$B$10))</f>
        <v>20245.33716496691</v>
      </c>
      <c r="V26" s="30">
        <f>IF(V$5&gt;$B26,0,INDEX(Decrements!$G$6:$G$58,Census!$G26+V$5-18)/INDEX(Decrements!$G$6:$G$58,Census!$G26-17)*(INDEX(Decrements!$D$6:$D$58,Census!$G26+V$5-18)+IF(V$5=$B26,INDEX(Decrements!$F$6:$F$58,Census!$G26+V$5-18),0)+INDEX(Decrements!$E$6:$E$58,Census!$G26+V$5-18)*IF((Census!$F26+V$5)&gt;=Assumptions!$B$11,1,0))*MIN(15/26*Census!$D26*(1+Assumptions!$B$9)^V$5*(INT((Census!$F26+V$5))+IF((Census!$F26+V$5)-INT((Census!$F26+V$5))&gt;0.5,1,0)),Assumptions!$B$10))</f>
        <v>11826.075574759876</v>
      </c>
      <c r="W26" s="30">
        <f>IF(W$5&gt;$B26,0,INDEX(Decrements!$G$6:$G$58,Census!$G26+W$5-18)/INDEX(Decrements!$G$6:$G$58,Census!$G26-17)*(INDEX(Decrements!$D$6:$D$58,Census!$G26+W$5-18)+IF(W$5=$B26,INDEX(Decrements!$F$6:$F$58,Census!$G26+W$5-18),0)+INDEX(Decrements!$E$6:$E$58,Census!$G26+W$5-18)*IF((Census!$F26+W$5)&gt;=Assumptions!$B$11,1,0))*MIN(15/26*Census!$D26*(1+Assumptions!$B$9)^W$5*(INT((Census!$F26+W$5))+IF((Census!$F26+W$5)-INT((Census!$F26+W$5))&gt;0.5,1,0)),Assumptions!$B$10))</f>
        <v>11975.182020972652</v>
      </c>
      <c r="X26" s="30">
        <f>IF(X$5&gt;$B26,0,INDEX(Decrements!$G$6:$G$58,Census!$G26+X$5-18)/INDEX(Decrements!$G$6:$G$58,Census!$G26-17)*(INDEX(Decrements!$D$6:$D$58,Census!$G26+X$5-18)+IF(X$5=$B26,INDEX(Decrements!$F$6:$F$58,Census!$G26+X$5-18),0)+INDEX(Decrements!$E$6:$E$58,Census!$G26+X$5-18)*IF((Census!$F26+X$5)&gt;=Assumptions!$B$11,1,0))*MIN(15/26*Census!$D26*(1+Assumptions!$B$9)^X$5*(INT((Census!$F26+X$5))+IF((Census!$F26+X$5)-INT((Census!$F26+X$5))&gt;0.5,1,0)),Assumptions!$B$10))</f>
        <v>12144.017069560188</v>
      </c>
      <c r="Y26" s="30">
        <f>IF(Y$5&gt;$B26,0,INDEX(Decrements!$G$6:$G$58,Census!$G26+Y$5-18)/INDEX(Decrements!$G$6:$G$58,Census!$G26-17)*(INDEX(Decrements!$D$6:$D$58,Census!$G26+Y$5-18)+IF(Y$5=$B26,INDEX(Decrements!$F$6:$F$58,Census!$G26+Y$5-18),0)+INDEX(Decrements!$E$6:$E$58,Census!$G26+Y$5-18)*IF((Census!$F26+Y$5)&gt;=Assumptions!$B$11,1,0))*MIN(15/26*Census!$D26*(1+Assumptions!$B$9)^Y$5*(INT((Census!$F26+Y$5))+IF((Census!$F26+Y$5)-INT((Census!$F26+Y$5))&gt;0.5,1,0)),Assumptions!$B$10))</f>
        <v>12333.728210636717</v>
      </c>
      <c r="Z26" s="30">
        <f>IF(Z$5&gt;$B26,0,INDEX(Decrements!$G$6:$G$58,Census!$G26+Z$5-18)/INDEX(Decrements!$G$6:$G$58,Census!$G26-17)*(INDEX(Decrements!$D$6:$D$58,Census!$G26+Z$5-18)+IF(Z$5=$B26,INDEX(Decrements!$F$6:$F$58,Census!$G26+Z$5-18),0)+INDEX(Decrements!$E$6:$E$58,Census!$G26+Z$5-18)*IF((Census!$F26+Z$5)&gt;=Assumptions!$B$11,1,0))*MIN(15/26*Census!$D26*(1+Assumptions!$B$9)^Z$5*(INT((Census!$F26+Z$5))+IF((Census!$F26+Z$5)-INT((Census!$F26+Z$5))&gt;0.5,1,0)),Assumptions!$B$10))</f>
        <v>777902.377824247</v>
      </c>
      <c r="AA26" s="30">
        <f>IF(AA$5&gt;$B26,0,INDEX(Decrements!$G$6:$G$58,Census!$G26+AA$5-18)/INDEX(Decrements!$G$6:$G$58,Census!$G26-17)*(INDEX(Decrements!$D$6:$D$58,Census!$G26+AA$5-18)+IF(AA$5=$B26,INDEX(Decrements!$F$6:$F$58,Census!$G26+AA$5-18),0)+INDEX(Decrements!$E$6:$E$58,Census!$G26+AA$5-18)*IF((Census!$F26+AA$5)&gt;=Assumptions!$B$11,1,0))*MIN(15/26*Census!$D26*(1+Assumptions!$B$9)^AA$5*(INT((Census!$F26+AA$5))+IF((Census!$F26+AA$5)-INT((Census!$F26+AA$5))&gt;0.5,1,0)),Assumptions!$B$10))</f>
        <v>0</v>
      </c>
      <c r="AB26" s="30">
        <f>IF(AB$5&gt;$B26,0,INDEX(Decrements!$G$6:$G$58,Census!$G26+AB$5-18)/INDEX(Decrements!$G$6:$G$58,Census!$G26-17)*(INDEX(Decrements!$D$6:$D$58,Census!$G26+AB$5-18)+IF(AB$5=$B26,INDEX(Decrements!$F$6:$F$58,Census!$G26+AB$5-18),0)+INDEX(Decrements!$E$6:$E$58,Census!$G26+AB$5-18)*IF((Census!$F26+AB$5)&gt;=Assumptions!$B$11,1,0))*MIN(15/26*Census!$D26*(1+Assumptions!$B$9)^AB$5*(INT((Census!$F26+AB$5))+IF((Census!$F26+AB$5)-INT((Census!$F26+AB$5))&gt;0.5,1,0)),Assumptions!$B$10))</f>
        <v>0</v>
      </c>
      <c r="AC26" s="30">
        <f>IF(AC$5&gt;$B26,0,INDEX(Decrements!$G$6:$G$58,Census!$G26+AC$5-18)/INDEX(Decrements!$G$6:$G$58,Census!$G26-17)*(INDEX(Decrements!$D$6:$D$58,Census!$G26+AC$5-18)+IF(AC$5=$B26,INDEX(Decrements!$F$6:$F$58,Census!$G26+AC$5-18),0)+INDEX(Decrements!$E$6:$E$58,Census!$G26+AC$5-18)*IF((Census!$F26+AC$5)&gt;=Assumptions!$B$11,1,0))*MIN(15/26*Census!$D26*(1+Assumptions!$B$9)^AC$5*(INT((Census!$F26+AC$5))+IF((Census!$F26+AC$5)-INT((Census!$F26+AC$5))&gt;0.5,1,0)),Assumptions!$B$10))</f>
        <v>0</v>
      </c>
      <c r="AD26" s="30">
        <f>IF(AD$5&gt;$B26,0,INDEX(Decrements!$G$6:$G$58,Census!$G26+AD$5-18)/INDEX(Decrements!$G$6:$G$58,Census!$G26-17)*(INDEX(Decrements!$D$6:$D$58,Census!$G26+AD$5-18)+IF(AD$5=$B26,INDEX(Decrements!$F$6:$F$58,Census!$G26+AD$5-18),0)+INDEX(Decrements!$E$6:$E$58,Census!$G26+AD$5-18)*IF((Census!$F26+AD$5)&gt;=Assumptions!$B$11,1,0))*MIN(15/26*Census!$D26*(1+Assumptions!$B$9)^AD$5*(INT((Census!$F26+AD$5))+IF((Census!$F26+AD$5)-INT((Census!$F26+AD$5))&gt;0.5,1,0)),Assumptions!$B$10))</f>
        <v>0</v>
      </c>
      <c r="AE26" s="30">
        <f>IF(AE$5&gt;$B26,0,INDEX(Decrements!$G$6:$G$58,Census!$G26+AE$5-18)/INDEX(Decrements!$G$6:$G$58,Census!$G26-17)*(INDEX(Decrements!$D$6:$D$58,Census!$G26+AE$5-18)+IF(AE$5=$B26,INDEX(Decrements!$F$6:$F$58,Census!$G26+AE$5-18),0)+INDEX(Decrements!$E$6:$E$58,Census!$G26+AE$5-18)*IF((Census!$F26+AE$5)&gt;=Assumptions!$B$11,1,0))*MIN(15/26*Census!$D26*(1+Assumptions!$B$9)^AE$5*(INT((Census!$F26+AE$5))+IF((Census!$F26+AE$5)-INT((Census!$F26+AE$5))&gt;0.5,1,0)),Assumptions!$B$10))</f>
        <v>0</v>
      </c>
      <c r="AF26" s="30">
        <f>IF(AF$5&gt;$B26,0,INDEX(Decrements!$G$6:$G$58,Census!$G26+AF$5-18)/INDEX(Decrements!$G$6:$G$58,Census!$G26-17)*(INDEX(Decrements!$D$6:$D$58,Census!$G26+AF$5-18)+IF(AF$5=$B26,INDEX(Decrements!$F$6:$F$58,Census!$G26+AF$5-18),0)+INDEX(Decrements!$E$6:$E$58,Census!$G26+AF$5-18)*IF((Census!$F26+AF$5)&gt;=Assumptions!$B$11,1,0))*MIN(15/26*Census!$D26*(1+Assumptions!$B$9)^AF$5*(INT((Census!$F26+AF$5))+IF((Census!$F26+AF$5)-INT((Census!$F26+AF$5))&gt;0.5,1,0)),Assumptions!$B$10))</f>
        <v>0</v>
      </c>
      <c r="AG26" s="30">
        <f>IF(AG$5&gt;$B26,0,INDEX(Decrements!$G$6:$G$58,Census!$G26+AG$5-18)/INDEX(Decrements!$G$6:$G$58,Census!$G26-17)*(INDEX(Decrements!$D$6:$D$58,Census!$G26+AG$5-18)+IF(AG$5=$B26,INDEX(Decrements!$F$6:$F$58,Census!$G26+AG$5-18),0)+INDEX(Decrements!$E$6:$E$58,Census!$G26+AG$5-18)*IF((Census!$F26+AG$5)&gt;=Assumptions!$B$11,1,0))*MIN(15/26*Census!$D26*(1+Assumptions!$B$9)^AG$5*(INT((Census!$F26+AG$5))+IF((Census!$F26+AG$5)-INT((Census!$F26+AG$5))&gt;0.5,1,0)),Assumptions!$B$10))</f>
        <v>0</v>
      </c>
      <c r="AH26" s="30">
        <f>IF(AH$5&gt;$B26,0,INDEX(Decrements!$G$6:$G$58,Census!$G26+AH$5-18)/INDEX(Decrements!$G$6:$G$58,Census!$G26-17)*(INDEX(Decrements!$D$6:$D$58,Census!$G26+AH$5-18)+IF(AH$5=$B26,INDEX(Decrements!$F$6:$F$58,Census!$G26+AH$5-18),0)+INDEX(Decrements!$E$6:$E$58,Census!$G26+AH$5-18)*IF((Census!$F26+AH$5)&gt;=Assumptions!$B$11,1,0))*MIN(15/26*Census!$D26*(1+Assumptions!$B$9)^AH$5*(INT((Census!$F26+AH$5))+IF((Census!$F26+AH$5)-INT((Census!$F26+AH$5))&gt;0.5,1,0)),Assumptions!$B$10))</f>
        <v>0</v>
      </c>
      <c r="AI26" s="30">
        <f>IF(AI$5&gt;$B26,0,INDEX(Decrements!$G$6:$G$58,Census!$G26+AI$5-18)/INDEX(Decrements!$G$6:$G$58,Census!$G26-17)*(INDEX(Decrements!$D$6:$D$58,Census!$G26+AI$5-18)+IF(AI$5=$B26,INDEX(Decrements!$F$6:$F$58,Census!$G26+AI$5-18),0)+INDEX(Decrements!$E$6:$E$58,Census!$G26+AI$5-18)*IF((Census!$F26+AI$5)&gt;=Assumptions!$B$11,1,0))*MIN(15/26*Census!$D26*(1+Assumptions!$B$9)^AI$5*(INT((Census!$F26+AI$5))+IF((Census!$F26+AI$5)-INT((Census!$F26+AI$5))&gt;0.5,1,0)),Assumptions!$B$10))</f>
        <v>0</v>
      </c>
      <c r="AJ26" s="30">
        <f>IF(AJ$5&gt;$B26,0,INDEX(Decrements!$G$6:$G$58,Census!$G26+AJ$5-18)/INDEX(Decrements!$G$6:$G$58,Census!$G26-17)*(INDEX(Decrements!$D$6:$D$58,Census!$G26+AJ$5-18)+IF(AJ$5=$B26,INDEX(Decrements!$F$6:$F$58,Census!$G26+AJ$5-18),0)+INDEX(Decrements!$E$6:$E$58,Census!$G26+AJ$5-18)*IF((Census!$F26+AJ$5)&gt;=Assumptions!$B$11,1,0))*MIN(15/26*Census!$D26*(1+Assumptions!$B$9)^AJ$5*(INT((Census!$F26+AJ$5))+IF((Census!$F26+AJ$5)-INT((Census!$F26+AJ$5))&gt;0.5,1,0)),Assumptions!$B$10))</f>
        <v>0</v>
      </c>
      <c r="AK26" s="30">
        <f>IF(AK$5&gt;$B26,0,INDEX(Decrements!$G$6:$G$58,Census!$G26+AK$5-18)/INDEX(Decrements!$G$6:$G$58,Census!$G26-17)*(INDEX(Decrements!$D$6:$D$58,Census!$G26+AK$5-18)+IF(AK$5=$B26,INDEX(Decrements!$F$6:$F$58,Census!$G26+AK$5-18),0)+INDEX(Decrements!$E$6:$E$58,Census!$G26+AK$5-18)*IF((Census!$F26+AK$5)&gt;=Assumptions!$B$11,1,0))*MIN(15/26*Census!$D26*(1+Assumptions!$B$9)^AK$5*(INT((Census!$F26+AK$5))+IF((Census!$F26+AK$5)-INT((Census!$F26+AK$5))&gt;0.5,1,0)),Assumptions!$B$10))</f>
        <v>0</v>
      </c>
      <c r="AL26" s="30">
        <f>IF(AL$5&gt;$B26,0,INDEX(Decrements!$G$6:$G$58,Census!$G26+AL$5-18)/INDEX(Decrements!$G$6:$G$58,Census!$G26-17)*(INDEX(Decrements!$D$6:$D$58,Census!$G26+AL$5-18)+IF(AL$5=$B26,INDEX(Decrements!$F$6:$F$58,Census!$G26+AL$5-18),0)+INDEX(Decrements!$E$6:$E$58,Census!$G26+AL$5-18)*IF((Census!$F26+AL$5)&gt;=Assumptions!$B$11,1,0))*MIN(15/26*Census!$D26*(1+Assumptions!$B$9)^AL$5*(INT((Census!$F26+AL$5))+IF((Census!$F26+AL$5)-INT((Census!$F26+AL$5))&gt;0.5,1,0)),Assumptions!$B$10))</f>
        <v>0</v>
      </c>
      <c r="AM26" s="30">
        <f>IF(AM$5&gt;$B26,0,INDEX(Decrements!$G$6:$G$58,Census!$G26+AM$5-18)/INDEX(Decrements!$G$6:$G$58,Census!$G26-17)*(INDEX(Decrements!$D$6:$D$58,Census!$G26+AM$5-18)+IF(AM$5=$B26,INDEX(Decrements!$F$6:$F$58,Census!$G26+AM$5-18),0)+INDEX(Decrements!$E$6:$E$58,Census!$G26+AM$5-18)*IF((Census!$F26+AM$5)&gt;=Assumptions!$B$11,1,0))*MIN(15/26*Census!$D26*(1+Assumptions!$B$9)^AM$5*(INT((Census!$F26+AM$5))+IF((Census!$F26+AM$5)-INT((Census!$F26+AM$5))&gt;0.5,1,0)),Assumptions!$B$10))</f>
        <v>0</v>
      </c>
      <c r="AN26" s="30">
        <f>IF(AN$5&gt;$B26,0,INDEX(Decrements!$G$6:$G$58,Census!$G26+AN$5-18)/INDEX(Decrements!$G$6:$G$58,Census!$G26-17)*(INDEX(Decrements!$D$6:$D$58,Census!$G26+AN$5-18)+IF(AN$5=$B26,INDEX(Decrements!$F$6:$F$58,Census!$G26+AN$5-18),0)+INDEX(Decrements!$E$6:$E$58,Census!$G26+AN$5-18)*IF((Census!$F26+AN$5)&gt;=Assumptions!$B$11,1,0))*MIN(15/26*Census!$D26*(1+Assumptions!$B$9)^AN$5*(INT((Census!$F26+AN$5))+IF((Census!$F26+AN$5)-INT((Census!$F26+AN$5))&gt;0.5,1,0)),Assumptions!$B$10))</f>
        <v>0</v>
      </c>
      <c r="AO26" s="30">
        <f>IF(AO$5&gt;$B26,0,INDEX(Decrements!$G$6:$G$58,Census!$G26+AO$5-18)/INDEX(Decrements!$G$6:$G$58,Census!$G26-17)*(INDEX(Decrements!$D$6:$D$58,Census!$G26+AO$5-18)+IF(AO$5=$B26,INDEX(Decrements!$F$6:$F$58,Census!$G26+AO$5-18),0)+INDEX(Decrements!$E$6:$E$58,Census!$G26+AO$5-18)*IF((Census!$F26+AO$5)&gt;=Assumptions!$B$11,1,0))*MIN(15/26*Census!$D26*(1+Assumptions!$B$9)^AO$5*(INT((Census!$F26+AO$5))+IF((Census!$F26+AO$5)-INT((Census!$F26+AO$5))&gt;0.5,1,0)),Assumptions!$B$10))</f>
        <v>0</v>
      </c>
      <c r="AP26" s="30">
        <f>IF(AP$5&gt;$B26,0,INDEX(Decrements!$G$6:$G$58,Census!$G26+AP$5-18)/INDEX(Decrements!$G$6:$G$58,Census!$G26-17)*(INDEX(Decrements!$D$6:$D$58,Census!$G26+AP$5-18)+IF(AP$5=$B26,INDEX(Decrements!$F$6:$F$58,Census!$G26+AP$5-18),0)+INDEX(Decrements!$E$6:$E$58,Census!$G26+AP$5-18)*IF((Census!$F26+AP$5)&gt;=Assumptions!$B$11,1,0))*MIN(15/26*Census!$D26*(1+Assumptions!$B$9)^AP$5*(INT((Census!$F26+AP$5))+IF((Census!$F26+AP$5)-INT((Census!$F26+AP$5))&gt;0.5,1,0)),Assumptions!$B$10))</f>
        <v>0</v>
      </c>
      <c r="AQ26" s="30">
        <f>IF(AQ$5&gt;$B26,0,INDEX(Decrements!$G$6:$G$58,Census!$G26+AQ$5-18)/INDEX(Decrements!$G$6:$G$58,Census!$G26-17)*(INDEX(Decrements!$D$6:$D$58,Census!$G26+AQ$5-18)+IF(AQ$5=$B26,INDEX(Decrements!$F$6:$F$58,Census!$G26+AQ$5-18),0)+INDEX(Decrements!$E$6:$E$58,Census!$G26+AQ$5-18)*IF((Census!$F26+AQ$5)&gt;=Assumptions!$B$11,1,0))*MIN(15/26*Census!$D26*(1+Assumptions!$B$9)^AQ$5*(INT((Census!$F26+AQ$5))+IF((Census!$F26+AQ$5)-INT((Census!$F26+AQ$5))&gt;0.5,1,0)),Assumptions!$B$10))</f>
        <v>0</v>
      </c>
      <c r="AR26" s="30">
        <f>IF(AR$5&gt;$B26,0,INDEX(Decrements!$G$6:$G$58,Census!$G26+AR$5-18)/INDEX(Decrements!$G$6:$G$58,Census!$G26-17)*(INDEX(Decrements!$D$6:$D$58,Census!$G26+AR$5-18)+IF(AR$5=$B26,INDEX(Decrements!$F$6:$F$58,Census!$G26+AR$5-18),0)+INDEX(Decrements!$E$6:$E$58,Census!$G26+AR$5-18)*IF((Census!$F26+AR$5)&gt;=Assumptions!$B$11,1,0))*MIN(15/26*Census!$D26*(1+Assumptions!$B$9)^AR$5*(INT((Census!$F26+AR$5))+IF((Census!$F26+AR$5)-INT((Census!$F26+AR$5))&gt;0.5,1,0)),Assumptions!$B$10))</f>
        <v>0</v>
      </c>
      <c r="AS26" s="30">
        <f>IF(AS$5&gt;$B26,0,INDEX(Decrements!$G$6:$G$58,Census!$G26+AS$5-18)/INDEX(Decrements!$G$6:$G$58,Census!$G26-17)*(INDEX(Decrements!$D$6:$D$58,Census!$G26+AS$5-18)+IF(AS$5=$B26,INDEX(Decrements!$F$6:$F$58,Census!$G26+AS$5-18),0)+INDEX(Decrements!$E$6:$E$58,Census!$G26+AS$5-18)*IF((Census!$F26+AS$5)&gt;=Assumptions!$B$11,1,0))*MIN(15/26*Census!$D26*(1+Assumptions!$B$9)^AS$5*(INT((Census!$F26+AS$5))+IF((Census!$F26+AS$5)-INT((Census!$F26+AS$5))&gt;0.5,1,0)),Assumptions!$B$10))</f>
        <v>0</v>
      </c>
      <c r="AT26" s="30">
        <f>IF(AT$5&gt;$B26,0,INDEX(Decrements!$G$6:$G$58,Census!$G26+AT$5-18)/INDEX(Decrements!$G$6:$G$58,Census!$G26-17)*(INDEX(Decrements!$D$6:$D$58,Census!$G26+AT$5-18)+IF(AT$5=$B26,INDEX(Decrements!$F$6:$F$58,Census!$G26+AT$5-18),0)+INDEX(Decrements!$E$6:$E$58,Census!$G26+AT$5-18)*IF((Census!$F26+AT$5)&gt;=Assumptions!$B$11,1,0))*MIN(15/26*Census!$D26*(1+Assumptions!$B$9)^AT$5*(INT((Census!$F26+AT$5))+IF((Census!$F26+AT$5)-INT((Census!$F26+AT$5))&gt;0.5,1,0)),Assumptions!$B$10))</f>
        <v>0</v>
      </c>
      <c r="AU26" s="30">
        <f>IF(AU$5&gt;$B26,0,INDEX(Decrements!$G$6:$G$58,Census!$G26+AU$5-18)/INDEX(Decrements!$G$6:$G$58,Census!$G26-17)*(INDEX(Decrements!$D$6:$D$58,Census!$G26+AU$5-18)+IF(AU$5=$B26,INDEX(Decrements!$F$6:$F$58,Census!$G26+AU$5-18),0)+INDEX(Decrements!$E$6:$E$58,Census!$G26+AU$5-18)*IF((Census!$F26+AU$5)&gt;=Assumptions!$B$11,1,0))*MIN(15/26*Census!$D26*(1+Assumptions!$B$9)^AU$5*(INT((Census!$F26+AU$5))+IF((Census!$F26+AU$5)-INT((Census!$F26+AU$5))&gt;0.5,1,0)),Assumptions!$B$10))</f>
        <v>0</v>
      </c>
    </row>
    <row r="27" spans="1:47" x14ac:dyDescent="0.3">
      <c r="A27" s="10" t="str">
        <f>Census!A27</f>
        <v>E022</v>
      </c>
      <c r="B27" s="29">
        <f>Census!H27</f>
        <v>24</v>
      </c>
      <c r="C27" s="30">
        <f>IF(C$5&gt;$B27,0,INDEX(Decrements!$G$6:$G$58,Census!$G27+C$5-18)/INDEX(Decrements!$G$6:$G$58,Census!$G27-17)*(INDEX(Decrements!$D$6:$D$58,Census!$G27+C$5-18)+IF(C$5=$B27,INDEX(Decrements!$F$6:$F$58,Census!$G27+C$5-18),0)+INDEX(Decrements!$E$6:$E$58,Census!$G27+C$5-18)*IF((Census!$F27+C$5)&gt;=Assumptions!$B$11,1,0))*MIN(15/26*Census!$D27*(1+Assumptions!$B$9)^C$5*(INT((Census!$F27+C$5))+IF((Census!$F27+C$5)-INT((Census!$F27+C$5))&gt;0.5,1,0)),Assumptions!$B$10))</f>
        <v>13277.642956204107</v>
      </c>
      <c r="D27" s="30">
        <f>IF(D$5&gt;$B27,0,INDEX(Decrements!$G$6:$G$58,Census!$G27+D$5-18)/INDEX(Decrements!$G$6:$G$58,Census!$G27-17)*(INDEX(Decrements!$D$6:$D$58,Census!$G27+D$5-18)+IF(D$5=$B27,INDEX(Decrements!$F$6:$F$58,Census!$G27+D$5-18),0)+INDEX(Decrements!$E$6:$E$58,Census!$G27+D$5-18)*IF((Census!$F27+D$5)&gt;=Assumptions!$B$11,1,0))*MIN(15/26*Census!$D27*(1+Assumptions!$B$9)^D$5*(INT((Census!$F27+D$5))+IF((Census!$F27+D$5)-INT((Census!$F27+D$5))&gt;0.5,1,0)),Assumptions!$B$10))</f>
        <v>15072.619418643413</v>
      </c>
      <c r="E27" s="30">
        <f>IF(E$5&gt;$B27,0,INDEX(Decrements!$G$6:$G$58,Census!$G27+E$5-18)/INDEX(Decrements!$G$6:$G$58,Census!$G27-17)*(INDEX(Decrements!$D$6:$D$58,Census!$G27+E$5-18)+IF(E$5=$B27,INDEX(Decrements!$F$6:$F$58,Census!$G27+E$5-18),0)+INDEX(Decrements!$E$6:$E$58,Census!$G27+E$5-18)*IF((Census!$F27+E$5)&gt;=Assumptions!$B$11,1,0))*MIN(15/26*Census!$D27*(1+Assumptions!$B$9)^E$5*(INT((Census!$F27+E$5))+IF((Census!$F27+E$5)-INT((Census!$F27+E$5))&gt;0.5,1,0)),Assumptions!$B$10))</f>
        <v>16843.042882490343</v>
      </c>
      <c r="F27" s="30">
        <f>IF(F$5&gt;$B27,0,INDEX(Decrements!$G$6:$G$58,Census!$G27+F$5-18)/INDEX(Decrements!$G$6:$G$58,Census!$G27-17)*(INDEX(Decrements!$D$6:$D$58,Census!$G27+F$5-18)+IF(F$5=$B27,INDEX(Decrements!$F$6:$F$58,Census!$G27+F$5-18),0)+INDEX(Decrements!$E$6:$E$58,Census!$G27+F$5-18)*IF((Census!$F27+F$5)&gt;=Assumptions!$B$11,1,0))*MIN(15/26*Census!$D27*(1+Assumptions!$B$9)^F$5*(INT((Census!$F27+F$5))+IF((Census!$F27+F$5)-INT((Census!$F27+F$5))&gt;0.5,1,0)),Assumptions!$B$10))</f>
        <v>18589.218401241942</v>
      </c>
      <c r="G27" s="30">
        <f>IF(G$5&gt;$B27,0,INDEX(Decrements!$G$6:$G$58,Census!$G27+G$5-18)/INDEX(Decrements!$G$6:$G$58,Census!$G27-17)*(INDEX(Decrements!$D$6:$D$58,Census!$G27+G$5-18)+IF(G$5=$B27,INDEX(Decrements!$F$6:$F$58,Census!$G27+G$5-18),0)+INDEX(Decrements!$E$6:$E$58,Census!$G27+G$5-18)*IF((Census!$F27+G$5)&gt;=Assumptions!$B$11,1,0))*MIN(15/26*Census!$D27*(1+Assumptions!$B$9)^G$5*(INT((Census!$F27+G$5))+IF((Census!$F27+G$5)-INT((Census!$F27+G$5))&gt;0.5,1,0)),Assumptions!$B$10))</f>
        <v>12821.117131112112</v>
      </c>
      <c r="H27" s="30">
        <f>IF(H$5&gt;$B27,0,INDEX(Decrements!$G$6:$G$58,Census!$G27+H$5-18)/INDEX(Decrements!$G$6:$G$58,Census!$G27-17)*(INDEX(Decrements!$D$6:$D$58,Census!$G27+H$5-18)+IF(H$5=$B27,INDEX(Decrements!$F$6:$F$58,Census!$G27+H$5-18),0)+INDEX(Decrements!$E$6:$E$58,Census!$G27+H$5-18)*IF((Census!$F27+H$5)&gt;=Assumptions!$B$11,1,0))*MIN(15/26*Census!$D27*(1+Assumptions!$B$9)^H$5*(INT((Census!$F27+H$5))+IF((Census!$F27+H$5)-INT((Census!$F27+H$5))&gt;0.5,1,0)),Assumptions!$B$10))</f>
        <v>14356.14936027715</v>
      </c>
      <c r="I27" s="30">
        <f>IF(I$5&gt;$B27,0,INDEX(Decrements!$G$6:$G$58,Census!$G27+I$5-18)/INDEX(Decrements!$G$6:$G$58,Census!$G27-17)*(INDEX(Decrements!$D$6:$D$58,Census!$G27+I$5-18)+IF(I$5=$B27,INDEX(Decrements!$F$6:$F$58,Census!$G27+I$5-18),0)+INDEX(Decrements!$E$6:$E$58,Census!$G27+I$5-18)*IF((Census!$F27+I$5)&gt;=Assumptions!$B$11,1,0))*MIN(15/26*Census!$D27*(1+Assumptions!$B$9)^I$5*(INT((Census!$F27+I$5))+IF((Census!$F27+I$5)-INT((Census!$F27+I$5))&gt;0.5,1,0)),Assumptions!$B$10))</f>
        <v>15964.560870736817</v>
      </c>
      <c r="J27" s="30">
        <f>IF(J$5&gt;$B27,0,INDEX(Decrements!$G$6:$G$58,Census!$G27+J$5-18)/INDEX(Decrements!$G$6:$G$58,Census!$G27-17)*(INDEX(Decrements!$D$6:$D$58,Census!$G27+J$5-18)+IF(J$5=$B27,INDEX(Decrements!$F$6:$F$58,Census!$G27+J$5-18),0)+INDEX(Decrements!$E$6:$E$58,Census!$G27+J$5-18)*IF((Census!$F27+J$5)&gt;=Assumptions!$B$11,1,0))*MIN(15/26*Census!$D27*(1+Assumptions!$B$9)^J$5*(INT((Census!$F27+J$5))+IF((Census!$F27+J$5)-INT((Census!$F27+J$5))&gt;0.5,1,0)),Assumptions!$B$10))</f>
        <v>17649.602526776245</v>
      </c>
      <c r="K27" s="30">
        <f>IF(K$5&gt;$B27,0,INDEX(Decrements!$G$6:$G$58,Census!$G27+K$5-18)/INDEX(Decrements!$G$6:$G$58,Census!$G27-17)*(INDEX(Decrements!$D$6:$D$58,Census!$G27+K$5-18)+IF(K$5=$B27,INDEX(Decrements!$F$6:$F$58,Census!$G27+K$5-18),0)+INDEX(Decrements!$E$6:$E$58,Census!$G27+K$5-18)*IF((Census!$F27+K$5)&gt;=Assumptions!$B$11,1,0))*MIN(15/26*Census!$D27*(1+Assumptions!$B$9)^K$5*(INT((Census!$F27+K$5))+IF((Census!$F27+K$5)-INT((Census!$F27+K$5))&gt;0.5,1,0)),Assumptions!$B$10))</f>
        <v>19414.715158399511</v>
      </c>
      <c r="L27" s="30">
        <f>IF(L$5&gt;$B27,0,INDEX(Decrements!$G$6:$G$58,Census!$G27+L$5-18)/INDEX(Decrements!$G$6:$G$58,Census!$G27-17)*(INDEX(Decrements!$D$6:$D$58,Census!$G27+L$5-18)+IF(L$5=$B27,INDEX(Decrements!$F$6:$F$58,Census!$G27+L$5-18),0)+INDEX(Decrements!$E$6:$E$58,Census!$G27+L$5-18)*IF((Census!$F27+L$5)&gt;=Assumptions!$B$11,1,0))*MIN(15/26*Census!$D27*(1+Assumptions!$B$9)^L$5*(INT((Census!$F27+L$5))+IF((Census!$F27+L$5)-INT((Census!$F27+L$5))&gt;0.5,1,0)),Assumptions!$B$10))</f>
        <v>13074.456770803496</v>
      </c>
      <c r="M27" s="30">
        <f>IF(M$5&gt;$B27,0,INDEX(Decrements!$G$6:$G$58,Census!$G27+M$5-18)/INDEX(Decrements!$G$6:$G$58,Census!$G27-17)*(INDEX(Decrements!$D$6:$D$58,Census!$G27+M$5-18)+IF(M$5=$B27,INDEX(Decrements!$F$6:$F$58,Census!$G27+M$5-18),0)+INDEX(Decrements!$E$6:$E$58,Census!$G27+M$5-18)*IF((Census!$F27+M$5)&gt;=Assumptions!$B$11,1,0))*MIN(15/26*Census!$D27*(1+Assumptions!$B$9)^M$5*(INT((Census!$F27+M$5))+IF((Census!$F27+M$5)-INT((Census!$F27+M$5))&gt;0.5,1,0)),Assumptions!$B$10))</f>
        <v>14592.280348723443</v>
      </c>
      <c r="N27" s="30">
        <f>IF(N$5&gt;$B27,0,INDEX(Decrements!$G$6:$G$58,Census!$G27+N$5-18)/INDEX(Decrements!$G$6:$G$58,Census!$G27-17)*(INDEX(Decrements!$D$6:$D$58,Census!$G27+N$5-18)+IF(N$5=$B27,INDEX(Decrements!$F$6:$F$58,Census!$G27+N$5-18),0)+INDEX(Decrements!$E$6:$E$58,Census!$G27+N$5-18)*IF((Census!$F27+N$5)&gt;=Assumptions!$B$11,1,0))*MIN(15/26*Census!$D27*(1+Assumptions!$B$9)^N$5*(INT((Census!$F27+N$5))+IF((Census!$F27+N$5)-INT((Census!$F27+N$5))&gt;0.5,1,0)),Assumptions!$B$10))</f>
        <v>16234.582471902464</v>
      </c>
      <c r="O27" s="30">
        <f>IF(O$5&gt;$B27,0,INDEX(Decrements!$G$6:$G$58,Census!$G27+O$5-18)/INDEX(Decrements!$G$6:$G$58,Census!$G27-17)*(INDEX(Decrements!$D$6:$D$58,Census!$G27+O$5-18)+IF(O$5=$B27,INDEX(Decrements!$F$6:$F$58,Census!$G27+O$5-18),0)+INDEX(Decrements!$E$6:$E$58,Census!$G27+O$5-18)*IF((Census!$F27+O$5)&gt;=Assumptions!$B$11,1,0))*MIN(15/26*Census!$D27*(1+Assumptions!$B$9)^O$5*(INT((Census!$F27+O$5))+IF((Census!$F27+O$5)-INT((Census!$F27+O$5))&gt;0.5,1,0)),Assumptions!$B$10))</f>
        <v>18011.529317176639</v>
      </c>
      <c r="P27" s="30">
        <f>IF(P$5&gt;$B27,0,INDEX(Decrements!$G$6:$G$58,Census!$G27+P$5-18)/INDEX(Decrements!$G$6:$G$58,Census!$G27-17)*(INDEX(Decrements!$D$6:$D$58,Census!$G27+P$5-18)+IF(P$5=$B27,INDEX(Decrements!$F$6:$F$58,Census!$G27+P$5-18),0)+INDEX(Decrements!$E$6:$E$58,Census!$G27+P$5-18)*IF((Census!$F27+P$5)&gt;=Assumptions!$B$11,1,0))*MIN(15/26*Census!$D27*(1+Assumptions!$B$9)^P$5*(INT((Census!$F27+P$5))+IF((Census!$F27+P$5)-INT((Census!$F27+P$5))&gt;0.5,1,0)),Assumptions!$B$10))</f>
        <v>19934.261106902708</v>
      </c>
      <c r="Q27" s="30">
        <f>IF(Q$5&gt;$B27,0,INDEX(Decrements!$G$6:$G$58,Census!$G27+Q$5-18)/INDEX(Decrements!$G$6:$G$58,Census!$G27-17)*(INDEX(Decrements!$D$6:$D$58,Census!$G27+Q$5-18)+IF(Q$5=$B27,INDEX(Decrements!$F$6:$F$58,Census!$G27+Q$5-18),0)+INDEX(Decrements!$E$6:$E$58,Census!$G27+Q$5-18)*IF((Census!$F27+Q$5)&gt;=Assumptions!$B$11,1,0))*MIN(15/26*Census!$D27*(1+Assumptions!$B$9)^Q$5*(INT((Census!$F27+Q$5))+IF((Census!$F27+Q$5)-INT((Census!$F27+Q$5))&gt;0.5,1,0)),Assumptions!$B$10))</f>
        <v>15316.885971233094</v>
      </c>
      <c r="R27" s="30">
        <f>IF(R$5&gt;$B27,0,INDEX(Decrements!$G$6:$G$58,Census!$G27+R$5-18)/INDEX(Decrements!$G$6:$G$58,Census!$G27-17)*(INDEX(Decrements!$D$6:$D$58,Census!$G27+R$5-18)+IF(R$5=$B27,INDEX(Decrements!$F$6:$F$58,Census!$G27+R$5-18),0)+INDEX(Decrements!$E$6:$E$58,Census!$G27+R$5-18)*IF((Census!$F27+R$5)&gt;=Assumptions!$B$11,1,0))*MIN(15/26*Census!$D27*(1+Assumptions!$B$9)^R$5*(INT((Census!$F27+R$5))+IF((Census!$F27+R$5)-INT((Census!$F27+R$5))&gt;0.5,1,0)),Assumptions!$B$10))</f>
        <v>17113.5592749116</v>
      </c>
      <c r="S27" s="30">
        <f>IF(S$5&gt;$B27,0,INDEX(Decrements!$G$6:$G$58,Census!$G27+S$5-18)/INDEX(Decrements!$G$6:$G$58,Census!$G27-17)*(INDEX(Decrements!$D$6:$D$58,Census!$G27+S$5-18)+IF(S$5=$B27,INDEX(Decrements!$F$6:$F$58,Census!$G27+S$5-18),0)+INDEX(Decrements!$E$6:$E$58,Census!$G27+S$5-18)*IF((Census!$F27+S$5)&gt;=Assumptions!$B$11,1,0))*MIN(15/26*Census!$D27*(1+Assumptions!$B$9)^S$5*(INT((Census!$F27+S$5))+IF((Census!$F27+S$5)-INT((Census!$F27+S$5))&gt;0.5,1,0)),Assumptions!$B$10))</f>
        <v>19094.35728752222</v>
      </c>
      <c r="T27" s="30">
        <f>IF(T$5&gt;$B27,0,INDEX(Decrements!$G$6:$G$58,Census!$G27+T$5-18)/INDEX(Decrements!$G$6:$G$58,Census!$G27-17)*(INDEX(Decrements!$D$6:$D$58,Census!$G27+T$5-18)+IF(T$5=$B27,INDEX(Decrements!$F$6:$F$58,Census!$G27+T$5-18),0)+INDEX(Decrements!$E$6:$E$58,Census!$G27+T$5-18)*IF((Census!$F27+T$5)&gt;=Assumptions!$B$11,1,0))*MIN(15/26*Census!$D27*(1+Assumptions!$B$9)^T$5*(INT((Census!$F27+T$5))+IF((Census!$F27+T$5)-INT((Census!$F27+T$5))&gt;0.5,1,0)),Assumptions!$B$10))</f>
        <v>20457.170633616504</v>
      </c>
      <c r="U27" s="30">
        <f>IF(U$5&gt;$B27,0,INDEX(Decrements!$G$6:$G$58,Census!$G27+U$5-18)/INDEX(Decrements!$G$6:$G$58,Census!$G27-17)*(INDEX(Decrements!$D$6:$D$58,Census!$G27+U$5-18)+IF(U$5=$B27,INDEX(Decrements!$F$6:$F$58,Census!$G27+U$5-18),0)+INDEX(Decrements!$E$6:$E$58,Census!$G27+U$5-18)*IF((Census!$F27+U$5)&gt;=Assumptions!$B$11,1,0))*MIN(15/26*Census!$D27*(1+Assumptions!$B$9)^U$5*(INT((Census!$F27+U$5))+IF((Census!$F27+U$5)-INT((Census!$F27+U$5))&gt;0.5,1,0)),Assumptions!$B$10))</f>
        <v>20245.33716496691</v>
      </c>
      <c r="V27" s="30">
        <f>IF(V$5&gt;$B27,0,INDEX(Decrements!$G$6:$G$58,Census!$G27+V$5-18)/INDEX(Decrements!$G$6:$G$58,Census!$G27-17)*(INDEX(Decrements!$D$6:$D$58,Census!$G27+V$5-18)+IF(V$5=$B27,INDEX(Decrements!$F$6:$F$58,Census!$G27+V$5-18),0)+INDEX(Decrements!$E$6:$E$58,Census!$G27+V$5-18)*IF((Census!$F27+V$5)&gt;=Assumptions!$B$11,1,0))*MIN(15/26*Census!$D27*(1+Assumptions!$B$9)^V$5*(INT((Census!$F27+V$5))+IF((Census!$F27+V$5)-INT((Census!$F27+V$5))&gt;0.5,1,0)),Assumptions!$B$10))</f>
        <v>11826.075574759876</v>
      </c>
      <c r="W27" s="30">
        <f>IF(W$5&gt;$B27,0,INDEX(Decrements!$G$6:$G$58,Census!$G27+W$5-18)/INDEX(Decrements!$G$6:$G$58,Census!$G27-17)*(INDEX(Decrements!$D$6:$D$58,Census!$G27+W$5-18)+IF(W$5=$B27,INDEX(Decrements!$F$6:$F$58,Census!$G27+W$5-18),0)+INDEX(Decrements!$E$6:$E$58,Census!$G27+W$5-18)*IF((Census!$F27+W$5)&gt;=Assumptions!$B$11,1,0))*MIN(15/26*Census!$D27*(1+Assumptions!$B$9)^W$5*(INT((Census!$F27+W$5))+IF((Census!$F27+W$5)-INT((Census!$F27+W$5))&gt;0.5,1,0)),Assumptions!$B$10))</f>
        <v>11975.182020972652</v>
      </c>
      <c r="X27" s="30">
        <f>IF(X$5&gt;$B27,0,INDEX(Decrements!$G$6:$G$58,Census!$G27+X$5-18)/INDEX(Decrements!$G$6:$G$58,Census!$G27-17)*(INDEX(Decrements!$D$6:$D$58,Census!$G27+X$5-18)+IF(X$5=$B27,INDEX(Decrements!$F$6:$F$58,Census!$G27+X$5-18),0)+INDEX(Decrements!$E$6:$E$58,Census!$G27+X$5-18)*IF((Census!$F27+X$5)&gt;=Assumptions!$B$11,1,0))*MIN(15/26*Census!$D27*(1+Assumptions!$B$9)^X$5*(INT((Census!$F27+X$5))+IF((Census!$F27+X$5)-INT((Census!$F27+X$5))&gt;0.5,1,0)),Assumptions!$B$10))</f>
        <v>12144.017069560188</v>
      </c>
      <c r="Y27" s="30">
        <f>IF(Y$5&gt;$B27,0,INDEX(Decrements!$G$6:$G$58,Census!$G27+Y$5-18)/INDEX(Decrements!$G$6:$G$58,Census!$G27-17)*(INDEX(Decrements!$D$6:$D$58,Census!$G27+Y$5-18)+IF(Y$5=$B27,INDEX(Decrements!$F$6:$F$58,Census!$G27+Y$5-18),0)+INDEX(Decrements!$E$6:$E$58,Census!$G27+Y$5-18)*IF((Census!$F27+Y$5)&gt;=Assumptions!$B$11,1,0))*MIN(15/26*Census!$D27*(1+Assumptions!$B$9)^Y$5*(INT((Census!$F27+Y$5))+IF((Census!$F27+Y$5)-INT((Census!$F27+Y$5))&gt;0.5,1,0)),Assumptions!$B$10))</f>
        <v>12333.728210636717</v>
      </c>
      <c r="Z27" s="30">
        <f>IF(Z$5&gt;$B27,0,INDEX(Decrements!$G$6:$G$58,Census!$G27+Z$5-18)/INDEX(Decrements!$G$6:$G$58,Census!$G27-17)*(INDEX(Decrements!$D$6:$D$58,Census!$G27+Z$5-18)+IF(Z$5=$B27,INDEX(Decrements!$F$6:$F$58,Census!$G27+Z$5-18),0)+INDEX(Decrements!$E$6:$E$58,Census!$G27+Z$5-18)*IF((Census!$F27+Z$5)&gt;=Assumptions!$B$11,1,0))*MIN(15/26*Census!$D27*(1+Assumptions!$B$9)^Z$5*(INT((Census!$F27+Z$5))+IF((Census!$F27+Z$5)-INT((Census!$F27+Z$5))&gt;0.5,1,0)),Assumptions!$B$10))</f>
        <v>777902.377824247</v>
      </c>
      <c r="AA27" s="30">
        <f>IF(AA$5&gt;$B27,0,INDEX(Decrements!$G$6:$G$58,Census!$G27+AA$5-18)/INDEX(Decrements!$G$6:$G$58,Census!$G27-17)*(INDEX(Decrements!$D$6:$D$58,Census!$G27+AA$5-18)+IF(AA$5=$B27,INDEX(Decrements!$F$6:$F$58,Census!$G27+AA$5-18),0)+INDEX(Decrements!$E$6:$E$58,Census!$G27+AA$5-18)*IF((Census!$F27+AA$5)&gt;=Assumptions!$B$11,1,0))*MIN(15/26*Census!$D27*(1+Assumptions!$B$9)^AA$5*(INT((Census!$F27+AA$5))+IF((Census!$F27+AA$5)-INT((Census!$F27+AA$5))&gt;0.5,1,0)),Assumptions!$B$10))</f>
        <v>0</v>
      </c>
      <c r="AB27" s="30">
        <f>IF(AB$5&gt;$B27,0,INDEX(Decrements!$G$6:$G$58,Census!$G27+AB$5-18)/INDEX(Decrements!$G$6:$G$58,Census!$G27-17)*(INDEX(Decrements!$D$6:$D$58,Census!$G27+AB$5-18)+IF(AB$5=$B27,INDEX(Decrements!$F$6:$F$58,Census!$G27+AB$5-18),0)+INDEX(Decrements!$E$6:$E$58,Census!$G27+AB$5-18)*IF((Census!$F27+AB$5)&gt;=Assumptions!$B$11,1,0))*MIN(15/26*Census!$D27*(1+Assumptions!$B$9)^AB$5*(INT((Census!$F27+AB$5))+IF((Census!$F27+AB$5)-INT((Census!$F27+AB$5))&gt;0.5,1,0)),Assumptions!$B$10))</f>
        <v>0</v>
      </c>
      <c r="AC27" s="30">
        <f>IF(AC$5&gt;$B27,0,INDEX(Decrements!$G$6:$G$58,Census!$G27+AC$5-18)/INDEX(Decrements!$G$6:$G$58,Census!$G27-17)*(INDEX(Decrements!$D$6:$D$58,Census!$G27+AC$5-18)+IF(AC$5=$B27,INDEX(Decrements!$F$6:$F$58,Census!$G27+AC$5-18),0)+INDEX(Decrements!$E$6:$E$58,Census!$G27+AC$5-18)*IF((Census!$F27+AC$5)&gt;=Assumptions!$B$11,1,0))*MIN(15/26*Census!$D27*(1+Assumptions!$B$9)^AC$5*(INT((Census!$F27+AC$5))+IF((Census!$F27+AC$5)-INT((Census!$F27+AC$5))&gt;0.5,1,0)),Assumptions!$B$10))</f>
        <v>0</v>
      </c>
      <c r="AD27" s="30">
        <f>IF(AD$5&gt;$B27,0,INDEX(Decrements!$G$6:$G$58,Census!$G27+AD$5-18)/INDEX(Decrements!$G$6:$G$58,Census!$G27-17)*(INDEX(Decrements!$D$6:$D$58,Census!$G27+AD$5-18)+IF(AD$5=$B27,INDEX(Decrements!$F$6:$F$58,Census!$G27+AD$5-18),0)+INDEX(Decrements!$E$6:$E$58,Census!$G27+AD$5-18)*IF((Census!$F27+AD$5)&gt;=Assumptions!$B$11,1,0))*MIN(15/26*Census!$D27*(1+Assumptions!$B$9)^AD$5*(INT((Census!$F27+AD$5))+IF((Census!$F27+AD$5)-INT((Census!$F27+AD$5))&gt;0.5,1,0)),Assumptions!$B$10))</f>
        <v>0</v>
      </c>
      <c r="AE27" s="30">
        <f>IF(AE$5&gt;$B27,0,INDEX(Decrements!$G$6:$G$58,Census!$G27+AE$5-18)/INDEX(Decrements!$G$6:$G$58,Census!$G27-17)*(INDEX(Decrements!$D$6:$D$58,Census!$G27+AE$5-18)+IF(AE$5=$B27,INDEX(Decrements!$F$6:$F$58,Census!$G27+AE$5-18),0)+INDEX(Decrements!$E$6:$E$58,Census!$G27+AE$5-18)*IF((Census!$F27+AE$5)&gt;=Assumptions!$B$11,1,0))*MIN(15/26*Census!$D27*(1+Assumptions!$B$9)^AE$5*(INT((Census!$F27+AE$5))+IF((Census!$F27+AE$5)-INT((Census!$F27+AE$5))&gt;0.5,1,0)),Assumptions!$B$10))</f>
        <v>0</v>
      </c>
      <c r="AF27" s="30">
        <f>IF(AF$5&gt;$B27,0,INDEX(Decrements!$G$6:$G$58,Census!$G27+AF$5-18)/INDEX(Decrements!$G$6:$G$58,Census!$G27-17)*(INDEX(Decrements!$D$6:$D$58,Census!$G27+AF$5-18)+IF(AF$5=$B27,INDEX(Decrements!$F$6:$F$58,Census!$G27+AF$5-18),0)+INDEX(Decrements!$E$6:$E$58,Census!$G27+AF$5-18)*IF((Census!$F27+AF$5)&gt;=Assumptions!$B$11,1,0))*MIN(15/26*Census!$D27*(1+Assumptions!$B$9)^AF$5*(INT((Census!$F27+AF$5))+IF((Census!$F27+AF$5)-INT((Census!$F27+AF$5))&gt;0.5,1,0)),Assumptions!$B$10))</f>
        <v>0</v>
      </c>
      <c r="AG27" s="30">
        <f>IF(AG$5&gt;$B27,0,INDEX(Decrements!$G$6:$G$58,Census!$G27+AG$5-18)/INDEX(Decrements!$G$6:$G$58,Census!$G27-17)*(INDEX(Decrements!$D$6:$D$58,Census!$G27+AG$5-18)+IF(AG$5=$B27,INDEX(Decrements!$F$6:$F$58,Census!$G27+AG$5-18),0)+INDEX(Decrements!$E$6:$E$58,Census!$G27+AG$5-18)*IF((Census!$F27+AG$5)&gt;=Assumptions!$B$11,1,0))*MIN(15/26*Census!$D27*(1+Assumptions!$B$9)^AG$5*(INT((Census!$F27+AG$5))+IF((Census!$F27+AG$5)-INT((Census!$F27+AG$5))&gt;0.5,1,0)),Assumptions!$B$10))</f>
        <v>0</v>
      </c>
      <c r="AH27" s="30">
        <f>IF(AH$5&gt;$B27,0,INDEX(Decrements!$G$6:$G$58,Census!$G27+AH$5-18)/INDEX(Decrements!$G$6:$G$58,Census!$G27-17)*(INDEX(Decrements!$D$6:$D$58,Census!$G27+AH$5-18)+IF(AH$5=$B27,INDEX(Decrements!$F$6:$F$58,Census!$G27+AH$5-18),0)+INDEX(Decrements!$E$6:$E$58,Census!$G27+AH$5-18)*IF((Census!$F27+AH$5)&gt;=Assumptions!$B$11,1,0))*MIN(15/26*Census!$D27*(1+Assumptions!$B$9)^AH$5*(INT((Census!$F27+AH$5))+IF((Census!$F27+AH$5)-INT((Census!$F27+AH$5))&gt;0.5,1,0)),Assumptions!$B$10))</f>
        <v>0</v>
      </c>
      <c r="AI27" s="30">
        <f>IF(AI$5&gt;$B27,0,INDEX(Decrements!$G$6:$G$58,Census!$G27+AI$5-18)/INDEX(Decrements!$G$6:$G$58,Census!$G27-17)*(INDEX(Decrements!$D$6:$D$58,Census!$G27+AI$5-18)+IF(AI$5=$B27,INDEX(Decrements!$F$6:$F$58,Census!$G27+AI$5-18),0)+INDEX(Decrements!$E$6:$E$58,Census!$G27+AI$5-18)*IF((Census!$F27+AI$5)&gt;=Assumptions!$B$11,1,0))*MIN(15/26*Census!$D27*(1+Assumptions!$B$9)^AI$5*(INT((Census!$F27+AI$5))+IF((Census!$F27+AI$5)-INT((Census!$F27+AI$5))&gt;0.5,1,0)),Assumptions!$B$10))</f>
        <v>0</v>
      </c>
      <c r="AJ27" s="30">
        <f>IF(AJ$5&gt;$B27,0,INDEX(Decrements!$G$6:$G$58,Census!$G27+AJ$5-18)/INDEX(Decrements!$G$6:$G$58,Census!$G27-17)*(INDEX(Decrements!$D$6:$D$58,Census!$G27+AJ$5-18)+IF(AJ$5=$B27,INDEX(Decrements!$F$6:$F$58,Census!$G27+AJ$5-18),0)+INDEX(Decrements!$E$6:$E$58,Census!$G27+AJ$5-18)*IF((Census!$F27+AJ$5)&gt;=Assumptions!$B$11,1,0))*MIN(15/26*Census!$D27*(1+Assumptions!$B$9)^AJ$5*(INT((Census!$F27+AJ$5))+IF((Census!$F27+AJ$5)-INT((Census!$F27+AJ$5))&gt;0.5,1,0)),Assumptions!$B$10))</f>
        <v>0</v>
      </c>
      <c r="AK27" s="30">
        <f>IF(AK$5&gt;$B27,0,INDEX(Decrements!$G$6:$G$58,Census!$G27+AK$5-18)/INDEX(Decrements!$G$6:$G$58,Census!$G27-17)*(INDEX(Decrements!$D$6:$D$58,Census!$G27+AK$5-18)+IF(AK$5=$B27,INDEX(Decrements!$F$6:$F$58,Census!$G27+AK$5-18),0)+INDEX(Decrements!$E$6:$E$58,Census!$G27+AK$5-18)*IF((Census!$F27+AK$5)&gt;=Assumptions!$B$11,1,0))*MIN(15/26*Census!$D27*(1+Assumptions!$B$9)^AK$5*(INT((Census!$F27+AK$5))+IF((Census!$F27+AK$5)-INT((Census!$F27+AK$5))&gt;0.5,1,0)),Assumptions!$B$10))</f>
        <v>0</v>
      </c>
      <c r="AL27" s="30">
        <f>IF(AL$5&gt;$B27,0,INDEX(Decrements!$G$6:$G$58,Census!$G27+AL$5-18)/INDEX(Decrements!$G$6:$G$58,Census!$G27-17)*(INDEX(Decrements!$D$6:$D$58,Census!$G27+AL$5-18)+IF(AL$5=$B27,INDEX(Decrements!$F$6:$F$58,Census!$G27+AL$5-18),0)+INDEX(Decrements!$E$6:$E$58,Census!$G27+AL$5-18)*IF((Census!$F27+AL$5)&gt;=Assumptions!$B$11,1,0))*MIN(15/26*Census!$D27*(1+Assumptions!$B$9)^AL$5*(INT((Census!$F27+AL$5))+IF((Census!$F27+AL$5)-INT((Census!$F27+AL$5))&gt;0.5,1,0)),Assumptions!$B$10))</f>
        <v>0</v>
      </c>
      <c r="AM27" s="30">
        <f>IF(AM$5&gt;$B27,0,INDEX(Decrements!$G$6:$G$58,Census!$G27+AM$5-18)/INDEX(Decrements!$G$6:$G$58,Census!$G27-17)*(INDEX(Decrements!$D$6:$D$58,Census!$G27+AM$5-18)+IF(AM$5=$B27,INDEX(Decrements!$F$6:$F$58,Census!$G27+AM$5-18),0)+INDEX(Decrements!$E$6:$E$58,Census!$G27+AM$5-18)*IF((Census!$F27+AM$5)&gt;=Assumptions!$B$11,1,0))*MIN(15/26*Census!$D27*(1+Assumptions!$B$9)^AM$5*(INT((Census!$F27+AM$5))+IF((Census!$F27+AM$5)-INT((Census!$F27+AM$5))&gt;0.5,1,0)),Assumptions!$B$10))</f>
        <v>0</v>
      </c>
      <c r="AN27" s="30">
        <f>IF(AN$5&gt;$B27,0,INDEX(Decrements!$G$6:$G$58,Census!$G27+AN$5-18)/INDEX(Decrements!$G$6:$G$58,Census!$G27-17)*(INDEX(Decrements!$D$6:$D$58,Census!$G27+AN$5-18)+IF(AN$5=$B27,INDEX(Decrements!$F$6:$F$58,Census!$G27+AN$5-18),0)+INDEX(Decrements!$E$6:$E$58,Census!$G27+AN$5-18)*IF((Census!$F27+AN$5)&gt;=Assumptions!$B$11,1,0))*MIN(15/26*Census!$D27*(1+Assumptions!$B$9)^AN$5*(INT((Census!$F27+AN$5))+IF((Census!$F27+AN$5)-INT((Census!$F27+AN$5))&gt;0.5,1,0)),Assumptions!$B$10))</f>
        <v>0</v>
      </c>
      <c r="AO27" s="30">
        <f>IF(AO$5&gt;$B27,0,INDEX(Decrements!$G$6:$G$58,Census!$G27+AO$5-18)/INDEX(Decrements!$G$6:$G$58,Census!$G27-17)*(INDEX(Decrements!$D$6:$D$58,Census!$G27+AO$5-18)+IF(AO$5=$B27,INDEX(Decrements!$F$6:$F$58,Census!$G27+AO$5-18),0)+INDEX(Decrements!$E$6:$E$58,Census!$G27+AO$5-18)*IF((Census!$F27+AO$5)&gt;=Assumptions!$B$11,1,0))*MIN(15/26*Census!$D27*(1+Assumptions!$B$9)^AO$5*(INT((Census!$F27+AO$5))+IF((Census!$F27+AO$5)-INT((Census!$F27+AO$5))&gt;0.5,1,0)),Assumptions!$B$10))</f>
        <v>0</v>
      </c>
      <c r="AP27" s="30">
        <f>IF(AP$5&gt;$B27,0,INDEX(Decrements!$G$6:$G$58,Census!$G27+AP$5-18)/INDEX(Decrements!$G$6:$G$58,Census!$G27-17)*(INDEX(Decrements!$D$6:$D$58,Census!$G27+AP$5-18)+IF(AP$5=$B27,INDEX(Decrements!$F$6:$F$58,Census!$G27+AP$5-18),0)+INDEX(Decrements!$E$6:$E$58,Census!$G27+AP$5-18)*IF((Census!$F27+AP$5)&gt;=Assumptions!$B$11,1,0))*MIN(15/26*Census!$D27*(1+Assumptions!$B$9)^AP$5*(INT((Census!$F27+AP$5))+IF((Census!$F27+AP$5)-INT((Census!$F27+AP$5))&gt;0.5,1,0)),Assumptions!$B$10))</f>
        <v>0</v>
      </c>
      <c r="AQ27" s="30">
        <f>IF(AQ$5&gt;$B27,0,INDEX(Decrements!$G$6:$G$58,Census!$G27+AQ$5-18)/INDEX(Decrements!$G$6:$G$58,Census!$G27-17)*(INDEX(Decrements!$D$6:$D$58,Census!$G27+AQ$5-18)+IF(AQ$5=$B27,INDEX(Decrements!$F$6:$F$58,Census!$G27+AQ$5-18),0)+INDEX(Decrements!$E$6:$E$58,Census!$G27+AQ$5-18)*IF((Census!$F27+AQ$5)&gt;=Assumptions!$B$11,1,0))*MIN(15/26*Census!$D27*(1+Assumptions!$B$9)^AQ$5*(INT((Census!$F27+AQ$5))+IF((Census!$F27+AQ$5)-INT((Census!$F27+AQ$5))&gt;0.5,1,0)),Assumptions!$B$10))</f>
        <v>0</v>
      </c>
      <c r="AR27" s="30">
        <f>IF(AR$5&gt;$B27,0,INDEX(Decrements!$G$6:$G$58,Census!$G27+AR$5-18)/INDEX(Decrements!$G$6:$G$58,Census!$G27-17)*(INDEX(Decrements!$D$6:$D$58,Census!$G27+AR$5-18)+IF(AR$5=$B27,INDEX(Decrements!$F$6:$F$58,Census!$G27+AR$5-18),0)+INDEX(Decrements!$E$6:$E$58,Census!$G27+AR$5-18)*IF((Census!$F27+AR$5)&gt;=Assumptions!$B$11,1,0))*MIN(15/26*Census!$D27*(1+Assumptions!$B$9)^AR$5*(INT((Census!$F27+AR$5))+IF((Census!$F27+AR$5)-INT((Census!$F27+AR$5))&gt;0.5,1,0)),Assumptions!$B$10))</f>
        <v>0</v>
      </c>
      <c r="AS27" s="30">
        <f>IF(AS$5&gt;$B27,0,INDEX(Decrements!$G$6:$G$58,Census!$G27+AS$5-18)/INDEX(Decrements!$G$6:$G$58,Census!$G27-17)*(INDEX(Decrements!$D$6:$D$58,Census!$G27+AS$5-18)+IF(AS$5=$B27,INDEX(Decrements!$F$6:$F$58,Census!$G27+AS$5-18),0)+INDEX(Decrements!$E$6:$E$58,Census!$G27+AS$5-18)*IF((Census!$F27+AS$5)&gt;=Assumptions!$B$11,1,0))*MIN(15/26*Census!$D27*(1+Assumptions!$B$9)^AS$5*(INT((Census!$F27+AS$5))+IF((Census!$F27+AS$5)-INT((Census!$F27+AS$5))&gt;0.5,1,0)),Assumptions!$B$10))</f>
        <v>0</v>
      </c>
      <c r="AT27" s="30">
        <f>IF(AT$5&gt;$B27,0,INDEX(Decrements!$G$6:$G$58,Census!$G27+AT$5-18)/INDEX(Decrements!$G$6:$G$58,Census!$G27-17)*(INDEX(Decrements!$D$6:$D$58,Census!$G27+AT$5-18)+IF(AT$5=$B27,INDEX(Decrements!$F$6:$F$58,Census!$G27+AT$5-18),0)+INDEX(Decrements!$E$6:$E$58,Census!$G27+AT$5-18)*IF((Census!$F27+AT$5)&gt;=Assumptions!$B$11,1,0))*MIN(15/26*Census!$D27*(1+Assumptions!$B$9)^AT$5*(INT((Census!$F27+AT$5))+IF((Census!$F27+AT$5)-INT((Census!$F27+AT$5))&gt;0.5,1,0)),Assumptions!$B$10))</f>
        <v>0</v>
      </c>
      <c r="AU27" s="30">
        <f>IF(AU$5&gt;$B27,0,INDEX(Decrements!$G$6:$G$58,Census!$G27+AU$5-18)/INDEX(Decrements!$G$6:$G$58,Census!$G27-17)*(INDEX(Decrements!$D$6:$D$58,Census!$G27+AU$5-18)+IF(AU$5=$B27,INDEX(Decrements!$F$6:$F$58,Census!$G27+AU$5-18),0)+INDEX(Decrements!$E$6:$E$58,Census!$G27+AU$5-18)*IF((Census!$F27+AU$5)&gt;=Assumptions!$B$11,1,0))*MIN(15/26*Census!$D27*(1+Assumptions!$B$9)^AU$5*(INT((Census!$F27+AU$5))+IF((Census!$F27+AU$5)-INT((Census!$F27+AU$5))&gt;0.5,1,0)),Assumptions!$B$10))</f>
        <v>0</v>
      </c>
    </row>
    <row r="28" spans="1:47" x14ac:dyDescent="0.3">
      <c r="A28" s="10" t="str">
        <f>Census!A28</f>
        <v>E023</v>
      </c>
      <c r="B28" s="29">
        <f>Census!H28</f>
        <v>11</v>
      </c>
      <c r="C28" s="30">
        <f>IF(C$5&gt;$B28,0,INDEX(Decrements!$G$6:$G$58,Census!$G28+C$5-18)/INDEX(Decrements!$G$6:$G$58,Census!$G28-17)*(INDEX(Decrements!$D$6:$D$58,Census!$G28+C$5-18)+IF(C$5=$B28,INDEX(Decrements!$F$6:$F$58,Census!$G28+C$5-18),0)+INDEX(Decrements!$E$6:$E$58,Census!$G28+C$5-18)*IF((Census!$F28+C$5)&gt;=Assumptions!$B$11,1,0))*MIN(15/26*Census!$D28*(1+Assumptions!$B$9)^C$5*(INT((Census!$F28+C$5))+IF((Census!$F28+C$5)-INT((Census!$F28+C$5))&gt;0.5,1,0)),Assumptions!$B$10))</f>
        <v>56486.777684628069</v>
      </c>
      <c r="D28" s="30">
        <f>IF(D$5&gt;$B28,0,INDEX(Decrements!$G$6:$G$58,Census!$G28+D$5-18)/INDEX(Decrements!$G$6:$G$58,Census!$G28-17)*(INDEX(Decrements!$D$6:$D$58,Census!$G28+D$5-18)+IF(D$5=$B28,INDEX(Decrements!$F$6:$F$58,Census!$G28+D$5-18),0)+INDEX(Decrements!$E$6:$E$58,Census!$G28+D$5-18)*IF((Census!$F28+D$5)&gt;=Assumptions!$B$11,1,0))*MIN(15/26*Census!$D28*(1+Assumptions!$B$9)^D$5*(INT((Census!$F28+D$5))+IF((Census!$F28+D$5)-INT((Census!$F28+D$5))&gt;0.5,1,0)),Assumptions!$B$10))</f>
        <v>42925.785858761126</v>
      </c>
      <c r="E28" s="30">
        <f>IF(E$5&gt;$B28,0,INDEX(Decrements!$G$6:$G$58,Census!$G28+E$5-18)/INDEX(Decrements!$G$6:$G$58,Census!$G28-17)*(INDEX(Decrements!$D$6:$D$58,Census!$G28+E$5-18)+IF(E$5=$B28,INDEX(Decrements!$F$6:$F$58,Census!$G28+E$5-18),0)+INDEX(Decrements!$E$6:$E$58,Census!$G28+E$5-18)*IF((Census!$F28+E$5)&gt;=Assumptions!$B$11,1,0))*MIN(15/26*Census!$D28*(1+Assumptions!$B$9)^E$5*(INT((Census!$F28+E$5))+IF((Census!$F28+E$5)-INT((Census!$F28+E$5))&gt;0.5,1,0)),Assumptions!$B$10))</f>
        <v>43568.470695833523</v>
      </c>
      <c r="F28" s="30">
        <f>IF(F$5&gt;$B28,0,INDEX(Decrements!$G$6:$G$58,Census!$G28+F$5-18)/INDEX(Decrements!$G$6:$G$58,Census!$G28-17)*(INDEX(Decrements!$D$6:$D$58,Census!$G28+F$5-18)+IF(F$5=$B28,INDEX(Decrements!$F$6:$F$58,Census!$G28+F$5-18),0)+INDEX(Decrements!$E$6:$E$58,Census!$G28+F$5-18)*IF((Census!$F28+F$5)&gt;=Assumptions!$B$11,1,0))*MIN(15/26*Census!$D28*(1+Assumptions!$B$9)^F$5*(INT((Census!$F28+F$5))+IF((Census!$F28+F$5)-INT((Census!$F28+F$5))&gt;0.5,1,0)),Assumptions!$B$10))</f>
        <v>43053.464677641547</v>
      </c>
      <c r="G28" s="30">
        <f>IF(G$5&gt;$B28,0,INDEX(Decrements!$G$6:$G$58,Census!$G28+G$5-18)/INDEX(Decrements!$G$6:$G$58,Census!$G28-17)*(INDEX(Decrements!$D$6:$D$58,Census!$G28+G$5-18)+IF(G$5=$B28,INDEX(Decrements!$F$6:$F$58,Census!$G28+G$5-18),0)+INDEX(Decrements!$E$6:$E$58,Census!$G28+G$5-18)*IF((Census!$F28+G$5)&gt;=Assumptions!$B$11,1,0))*MIN(15/26*Census!$D28*(1+Assumptions!$B$9)^G$5*(INT((Census!$F28+G$5))+IF((Census!$F28+G$5)-INT((Census!$F28+G$5))&gt;0.5,1,0)),Assumptions!$B$10))</f>
        <v>42575.138471506696</v>
      </c>
      <c r="H28" s="30">
        <f>IF(H$5&gt;$B28,0,INDEX(Decrements!$G$6:$G$58,Census!$G28+H$5-18)/INDEX(Decrements!$G$6:$G$58,Census!$G28-17)*(INDEX(Decrements!$D$6:$D$58,Census!$G28+H$5-18)+IF(H$5=$B28,INDEX(Decrements!$F$6:$F$58,Census!$G28+H$5-18),0)+INDEX(Decrements!$E$6:$E$58,Census!$G28+H$5-18)*IF((Census!$F28+H$5)&gt;=Assumptions!$B$11,1,0))*MIN(15/26*Census!$D28*(1+Assumptions!$B$9)^H$5*(INT((Census!$F28+H$5))+IF((Census!$F28+H$5)-INT((Census!$F28+H$5))&gt;0.5,1,0)),Assumptions!$B$10))</f>
        <v>42134.274022449616</v>
      </c>
      <c r="I28" s="30">
        <f>IF(I$5&gt;$B28,0,INDEX(Decrements!$G$6:$G$58,Census!$G28+I$5-18)/INDEX(Decrements!$G$6:$G$58,Census!$G28-17)*(INDEX(Decrements!$D$6:$D$58,Census!$G28+I$5-18)+IF(I$5=$B28,INDEX(Decrements!$F$6:$F$58,Census!$G28+I$5-18),0)+INDEX(Decrements!$E$6:$E$58,Census!$G28+I$5-18)*IF((Census!$F28+I$5)&gt;=Assumptions!$B$11,1,0))*MIN(15/26*Census!$D28*(1+Assumptions!$B$9)^I$5*(INT((Census!$F28+I$5))+IF((Census!$F28+I$5)-INT((Census!$F28+I$5))&gt;0.5,1,0)),Assumptions!$B$10))</f>
        <v>24612.240577517954</v>
      </c>
      <c r="J28" s="30">
        <f>IF(J$5&gt;$B28,0,INDEX(Decrements!$G$6:$G$58,Census!$G28+J$5-18)/INDEX(Decrements!$G$6:$G$58,Census!$G28-17)*(INDEX(Decrements!$D$6:$D$58,Census!$G28+J$5-18)+IF(J$5=$B28,INDEX(Decrements!$F$6:$F$58,Census!$G28+J$5-18),0)+INDEX(Decrements!$E$6:$E$58,Census!$G28+J$5-18)*IF((Census!$F28+J$5)&gt;=Assumptions!$B$11,1,0))*MIN(15/26*Census!$D28*(1+Assumptions!$B$9)^J$5*(INT((Census!$F28+J$5))+IF((Census!$F28+J$5)-INT((Census!$F28+J$5))&gt;0.5,1,0)),Assumptions!$B$10))</f>
        <v>24922.558544171246</v>
      </c>
      <c r="K28" s="30">
        <f>IF(K$5&gt;$B28,0,INDEX(Decrements!$G$6:$G$58,Census!$G28+K$5-18)/INDEX(Decrements!$G$6:$G$58,Census!$G28-17)*(INDEX(Decrements!$D$6:$D$58,Census!$G28+K$5-18)+IF(K$5=$B28,INDEX(Decrements!$F$6:$F$58,Census!$G28+K$5-18),0)+INDEX(Decrements!$E$6:$E$58,Census!$G28+K$5-18)*IF((Census!$F28+K$5)&gt;=Assumptions!$B$11,1,0))*MIN(15/26*Census!$D28*(1+Assumptions!$B$9)^K$5*(INT((Census!$F28+K$5))+IF((Census!$F28+K$5)-INT((Census!$F28+K$5))&gt;0.5,1,0)),Assumptions!$B$10))</f>
        <v>25273.935364612185</v>
      </c>
      <c r="L28" s="30">
        <f>IF(L$5&gt;$B28,0,INDEX(Decrements!$G$6:$G$58,Census!$G28+L$5-18)/INDEX(Decrements!$G$6:$G$58,Census!$G28-17)*(INDEX(Decrements!$D$6:$D$58,Census!$G28+L$5-18)+IF(L$5=$B28,INDEX(Decrements!$F$6:$F$58,Census!$G28+L$5-18),0)+INDEX(Decrements!$E$6:$E$58,Census!$G28+L$5-18)*IF((Census!$F28+L$5)&gt;=Assumptions!$B$11,1,0))*MIN(15/26*Census!$D28*(1+Assumptions!$B$9)^L$5*(INT((Census!$F28+L$5))+IF((Census!$F28+L$5)-INT((Census!$F28+L$5))&gt;0.5,1,0)),Assumptions!$B$10))</f>
        <v>25668.759177033644</v>
      </c>
      <c r="M28" s="30">
        <f>IF(M$5&gt;$B28,0,INDEX(Decrements!$G$6:$G$58,Census!$G28+M$5-18)/INDEX(Decrements!$G$6:$G$58,Census!$G28-17)*(INDEX(Decrements!$D$6:$D$58,Census!$G28+M$5-18)+IF(M$5=$B28,INDEX(Decrements!$F$6:$F$58,Census!$G28+M$5-18),0)+INDEX(Decrements!$E$6:$E$58,Census!$G28+M$5-18)*IF((Census!$F28+M$5)&gt;=Assumptions!$B$11,1,0))*MIN(15/26*Census!$D28*(1+Assumptions!$B$9)^M$5*(INT((Census!$F28+M$5))+IF((Census!$F28+M$5)-INT((Census!$F28+M$5))&gt;0.5,1,0)),Assumptions!$B$10))</f>
        <v>1618958.0683634679</v>
      </c>
      <c r="N28" s="30">
        <f>IF(N$5&gt;$B28,0,INDEX(Decrements!$G$6:$G$58,Census!$G28+N$5-18)/INDEX(Decrements!$G$6:$G$58,Census!$G28-17)*(INDEX(Decrements!$D$6:$D$58,Census!$G28+N$5-18)+IF(N$5=$B28,INDEX(Decrements!$F$6:$F$58,Census!$G28+N$5-18),0)+INDEX(Decrements!$E$6:$E$58,Census!$G28+N$5-18)*IF((Census!$F28+N$5)&gt;=Assumptions!$B$11,1,0))*MIN(15/26*Census!$D28*(1+Assumptions!$B$9)^N$5*(INT((Census!$F28+N$5))+IF((Census!$F28+N$5)-INT((Census!$F28+N$5))&gt;0.5,1,0)),Assumptions!$B$10))</f>
        <v>0</v>
      </c>
      <c r="O28" s="30">
        <f>IF(O$5&gt;$B28,0,INDEX(Decrements!$G$6:$G$58,Census!$G28+O$5-18)/INDEX(Decrements!$G$6:$G$58,Census!$G28-17)*(INDEX(Decrements!$D$6:$D$58,Census!$G28+O$5-18)+IF(O$5=$B28,INDEX(Decrements!$F$6:$F$58,Census!$G28+O$5-18),0)+INDEX(Decrements!$E$6:$E$58,Census!$G28+O$5-18)*IF((Census!$F28+O$5)&gt;=Assumptions!$B$11,1,0))*MIN(15/26*Census!$D28*(1+Assumptions!$B$9)^O$5*(INT((Census!$F28+O$5))+IF((Census!$F28+O$5)-INT((Census!$F28+O$5))&gt;0.5,1,0)),Assumptions!$B$10))</f>
        <v>0</v>
      </c>
      <c r="P28" s="30">
        <f>IF(P$5&gt;$B28,0,INDEX(Decrements!$G$6:$G$58,Census!$G28+P$5-18)/INDEX(Decrements!$G$6:$G$58,Census!$G28-17)*(INDEX(Decrements!$D$6:$D$58,Census!$G28+P$5-18)+IF(P$5=$B28,INDEX(Decrements!$F$6:$F$58,Census!$G28+P$5-18),0)+INDEX(Decrements!$E$6:$E$58,Census!$G28+P$5-18)*IF((Census!$F28+P$5)&gt;=Assumptions!$B$11,1,0))*MIN(15/26*Census!$D28*(1+Assumptions!$B$9)^P$5*(INT((Census!$F28+P$5))+IF((Census!$F28+P$5)-INT((Census!$F28+P$5))&gt;0.5,1,0)),Assumptions!$B$10))</f>
        <v>0</v>
      </c>
      <c r="Q28" s="30">
        <f>IF(Q$5&gt;$B28,0,INDEX(Decrements!$G$6:$G$58,Census!$G28+Q$5-18)/INDEX(Decrements!$G$6:$G$58,Census!$G28-17)*(INDEX(Decrements!$D$6:$D$58,Census!$G28+Q$5-18)+IF(Q$5=$B28,INDEX(Decrements!$F$6:$F$58,Census!$G28+Q$5-18),0)+INDEX(Decrements!$E$6:$E$58,Census!$G28+Q$5-18)*IF((Census!$F28+Q$5)&gt;=Assumptions!$B$11,1,0))*MIN(15/26*Census!$D28*(1+Assumptions!$B$9)^Q$5*(INT((Census!$F28+Q$5))+IF((Census!$F28+Q$5)-INT((Census!$F28+Q$5))&gt;0.5,1,0)),Assumptions!$B$10))</f>
        <v>0</v>
      </c>
      <c r="R28" s="30">
        <f>IF(R$5&gt;$B28,0,INDEX(Decrements!$G$6:$G$58,Census!$G28+R$5-18)/INDEX(Decrements!$G$6:$G$58,Census!$G28-17)*(INDEX(Decrements!$D$6:$D$58,Census!$G28+R$5-18)+IF(R$5=$B28,INDEX(Decrements!$F$6:$F$58,Census!$G28+R$5-18),0)+INDEX(Decrements!$E$6:$E$58,Census!$G28+R$5-18)*IF((Census!$F28+R$5)&gt;=Assumptions!$B$11,1,0))*MIN(15/26*Census!$D28*(1+Assumptions!$B$9)^R$5*(INT((Census!$F28+R$5))+IF((Census!$F28+R$5)-INT((Census!$F28+R$5))&gt;0.5,1,0)),Assumptions!$B$10))</f>
        <v>0</v>
      </c>
      <c r="S28" s="30">
        <f>IF(S$5&gt;$B28,0,INDEX(Decrements!$G$6:$G$58,Census!$G28+S$5-18)/INDEX(Decrements!$G$6:$G$58,Census!$G28-17)*(INDEX(Decrements!$D$6:$D$58,Census!$G28+S$5-18)+IF(S$5=$B28,INDEX(Decrements!$F$6:$F$58,Census!$G28+S$5-18),0)+INDEX(Decrements!$E$6:$E$58,Census!$G28+S$5-18)*IF((Census!$F28+S$5)&gt;=Assumptions!$B$11,1,0))*MIN(15/26*Census!$D28*(1+Assumptions!$B$9)^S$5*(INT((Census!$F28+S$5))+IF((Census!$F28+S$5)-INT((Census!$F28+S$5))&gt;0.5,1,0)),Assumptions!$B$10))</f>
        <v>0</v>
      </c>
      <c r="T28" s="30">
        <f>IF(T$5&gt;$B28,0,INDEX(Decrements!$G$6:$G$58,Census!$G28+T$5-18)/INDEX(Decrements!$G$6:$G$58,Census!$G28-17)*(INDEX(Decrements!$D$6:$D$58,Census!$G28+T$5-18)+IF(T$5=$B28,INDEX(Decrements!$F$6:$F$58,Census!$G28+T$5-18),0)+INDEX(Decrements!$E$6:$E$58,Census!$G28+T$5-18)*IF((Census!$F28+T$5)&gt;=Assumptions!$B$11,1,0))*MIN(15/26*Census!$D28*(1+Assumptions!$B$9)^T$5*(INT((Census!$F28+T$5))+IF((Census!$F28+T$5)-INT((Census!$F28+T$5))&gt;0.5,1,0)),Assumptions!$B$10))</f>
        <v>0</v>
      </c>
      <c r="U28" s="30">
        <f>IF(U$5&gt;$B28,0,INDEX(Decrements!$G$6:$G$58,Census!$G28+U$5-18)/INDEX(Decrements!$G$6:$G$58,Census!$G28-17)*(INDEX(Decrements!$D$6:$D$58,Census!$G28+U$5-18)+IF(U$5=$B28,INDEX(Decrements!$F$6:$F$58,Census!$G28+U$5-18),0)+INDEX(Decrements!$E$6:$E$58,Census!$G28+U$5-18)*IF((Census!$F28+U$5)&gt;=Assumptions!$B$11,1,0))*MIN(15/26*Census!$D28*(1+Assumptions!$B$9)^U$5*(INT((Census!$F28+U$5))+IF((Census!$F28+U$5)-INT((Census!$F28+U$5))&gt;0.5,1,0)),Assumptions!$B$10))</f>
        <v>0</v>
      </c>
      <c r="V28" s="30">
        <f>IF(V$5&gt;$B28,0,INDEX(Decrements!$G$6:$G$58,Census!$G28+V$5-18)/INDEX(Decrements!$G$6:$G$58,Census!$G28-17)*(INDEX(Decrements!$D$6:$D$58,Census!$G28+V$5-18)+IF(V$5=$B28,INDEX(Decrements!$F$6:$F$58,Census!$G28+V$5-18),0)+INDEX(Decrements!$E$6:$E$58,Census!$G28+V$5-18)*IF((Census!$F28+V$5)&gt;=Assumptions!$B$11,1,0))*MIN(15/26*Census!$D28*(1+Assumptions!$B$9)^V$5*(INT((Census!$F28+V$5))+IF((Census!$F28+V$5)-INT((Census!$F28+V$5))&gt;0.5,1,0)),Assumptions!$B$10))</f>
        <v>0</v>
      </c>
      <c r="W28" s="30">
        <f>IF(W$5&gt;$B28,0,INDEX(Decrements!$G$6:$G$58,Census!$G28+W$5-18)/INDEX(Decrements!$G$6:$G$58,Census!$G28-17)*(INDEX(Decrements!$D$6:$D$58,Census!$G28+W$5-18)+IF(W$5=$B28,INDEX(Decrements!$F$6:$F$58,Census!$G28+W$5-18),0)+INDEX(Decrements!$E$6:$E$58,Census!$G28+W$5-18)*IF((Census!$F28+W$5)&gt;=Assumptions!$B$11,1,0))*MIN(15/26*Census!$D28*(1+Assumptions!$B$9)^W$5*(INT((Census!$F28+W$5))+IF((Census!$F28+W$5)-INT((Census!$F28+W$5))&gt;0.5,1,0)),Assumptions!$B$10))</f>
        <v>0</v>
      </c>
      <c r="X28" s="30">
        <f>IF(X$5&gt;$B28,0,INDEX(Decrements!$G$6:$G$58,Census!$G28+X$5-18)/INDEX(Decrements!$G$6:$G$58,Census!$G28-17)*(INDEX(Decrements!$D$6:$D$58,Census!$G28+X$5-18)+IF(X$5=$B28,INDEX(Decrements!$F$6:$F$58,Census!$G28+X$5-18),0)+INDEX(Decrements!$E$6:$E$58,Census!$G28+X$5-18)*IF((Census!$F28+X$5)&gt;=Assumptions!$B$11,1,0))*MIN(15/26*Census!$D28*(1+Assumptions!$B$9)^X$5*(INT((Census!$F28+X$5))+IF((Census!$F28+X$5)-INT((Census!$F28+X$5))&gt;0.5,1,0)),Assumptions!$B$10))</f>
        <v>0</v>
      </c>
      <c r="Y28" s="30">
        <f>IF(Y$5&gt;$B28,0,INDEX(Decrements!$G$6:$G$58,Census!$G28+Y$5-18)/INDEX(Decrements!$G$6:$G$58,Census!$G28-17)*(INDEX(Decrements!$D$6:$D$58,Census!$G28+Y$5-18)+IF(Y$5=$B28,INDEX(Decrements!$F$6:$F$58,Census!$G28+Y$5-18),0)+INDEX(Decrements!$E$6:$E$58,Census!$G28+Y$5-18)*IF((Census!$F28+Y$5)&gt;=Assumptions!$B$11,1,0))*MIN(15/26*Census!$D28*(1+Assumptions!$B$9)^Y$5*(INT((Census!$F28+Y$5))+IF((Census!$F28+Y$5)-INT((Census!$F28+Y$5))&gt;0.5,1,0)),Assumptions!$B$10))</f>
        <v>0</v>
      </c>
      <c r="Z28" s="30">
        <f>IF(Z$5&gt;$B28,0,INDEX(Decrements!$G$6:$G$58,Census!$G28+Z$5-18)/INDEX(Decrements!$G$6:$G$58,Census!$G28-17)*(INDEX(Decrements!$D$6:$D$58,Census!$G28+Z$5-18)+IF(Z$5=$B28,INDEX(Decrements!$F$6:$F$58,Census!$G28+Z$5-18),0)+INDEX(Decrements!$E$6:$E$58,Census!$G28+Z$5-18)*IF((Census!$F28+Z$5)&gt;=Assumptions!$B$11,1,0))*MIN(15/26*Census!$D28*(1+Assumptions!$B$9)^Z$5*(INT((Census!$F28+Z$5))+IF((Census!$F28+Z$5)-INT((Census!$F28+Z$5))&gt;0.5,1,0)),Assumptions!$B$10))</f>
        <v>0</v>
      </c>
      <c r="AA28" s="30">
        <f>IF(AA$5&gt;$B28,0,INDEX(Decrements!$G$6:$G$58,Census!$G28+AA$5-18)/INDEX(Decrements!$G$6:$G$58,Census!$G28-17)*(INDEX(Decrements!$D$6:$D$58,Census!$G28+AA$5-18)+IF(AA$5=$B28,INDEX(Decrements!$F$6:$F$58,Census!$G28+AA$5-18),0)+INDEX(Decrements!$E$6:$E$58,Census!$G28+AA$5-18)*IF((Census!$F28+AA$5)&gt;=Assumptions!$B$11,1,0))*MIN(15/26*Census!$D28*(1+Assumptions!$B$9)^AA$5*(INT((Census!$F28+AA$5))+IF((Census!$F28+AA$5)-INT((Census!$F28+AA$5))&gt;0.5,1,0)),Assumptions!$B$10))</f>
        <v>0</v>
      </c>
      <c r="AB28" s="30">
        <f>IF(AB$5&gt;$B28,0,INDEX(Decrements!$G$6:$G$58,Census!$G28+AB$5-18)/INDEX(Decrements!$G$6:$G$58,Census!$G28-17)*(INDEX(Decrements!$D$6:$D$58,Census!$G28+AB$5-18)+IF(AB$5=$B28,INDEX(Decrements!$F$6:$F$58,Census!$G28+AB$5-18),0)+INDEX(Decrements!$E$6:$E$58,Census!$G28+AB$5-18)*IF((Census!$F28+AB$5)&gt;=Assumptions!$B$11,1,0))*MIN(15/26*Census!$D28*(1+Assumptions!$B$9)^AB$5*(INT((Census!$F28+AB$5))+IF((Census!$F28+AB$5)-INT((Census!$F28+AB$5))&gt;0.5,1,0)),Assumptions!$B$10))</f>
        <v>0</v>
      </c>
      <c r="AC28" s="30">
        <f>IF(AC$5&gt;$B28,0,INDEX(Decrements!$G$6:$G$58,Census!$G28+AC$5-18)/INDEX(Decrements!$G$6:$G$58,Census!$G28-17)*(INDEX(Decrements!$D$6:$D$58,Census!$G28+AC$5-18)+IF(AC$5=$B28,INDEX(Decrements!$F$6:$F$58,Census!$G28+AC$5-18),0)+INDEX(Decrements!$E$6:$E$58,Census!$G28+AC$5-18)*IF((Census!$F28+AC$5)&gt;=Assumptions!$B$11,1,0))*MIN(15/26*Census!$D28*(1+Assumptions!$B$9)^AC$5*(INT((Census!$F28+AC$5))+IF((Census!$F28+AC$5)-INT((Census!$F28+AC$5))&gt;0.5,1,0)),Assumptions!$B$10))</f>
        <v>0</v>
      </c>
      <c r="AD28" s="30">
        <f>IF(AD$5&gt;$B28,0,INDEX(Decrements!$G$6:$G$58,Census!$G28+AD$5-18)/INDEX(Decrements!$G$6:$G$58,Census!$G28-17)*(INDEX(Decrements!$D$6:$D$58,Census!$G28+AD$5-18)+IF(AD$5=$B28,INDEX(Decrements!$F$6:$F$58,Census!$G28+AD$5-18),0)+INDEX(Decrements!$E$6:$E$58,Census!$G28+AD$5-18)*IF((Census!$F28+AD$5)&gt;=Assumptions!$B$11,1,0))*MIN(15/26*Census!$D28*(1+Assumptions!$B$9)^AD$5*(INT((Census!$F28+AD$5))+IF((Census!$F28+AD$5)-INT((Census!$F28+AD$5))&gt;0.5,1,0)),Assumptions!$B$10))</f>
        <v>0</v>
      </c>
      <c r="AE28" s="30">
        <f>IF(AE$5&gt;$B28,0,INDEX(Decrements!$G$6:$G$58,Census!$G28+AE$5-18)/INDEX(Decrements!$G$6:$G$58,Census!$G28-17)*(INDEX(Decrements!$D$6:$D$58,Census!$G28+AE$5-18)+IF(AE$5=$B28,INDEX(Decrements!$F$6:$F$58,Census!$G28+AE$5-18),0)+INDEX(Decrements!$E$6:$E$58,Census!$G28+AE$5-18)*IF((Census!$F28+AE$5)&gt;=Assumptions!$B$11,1,0))*MIN(15/26*Census!$D28*(1+Assumptions!$B$9)^AE$5*(INT((Census!$F28+AE$5))+IF((Census!$F28+AE$5)-INT((Census!$F28+AE$5))&gt;0.5,1,0)),Assumptions!$B$10))</f>
        <v>0</v>
      </c>
      <c r="AF28" s="30">
        <f>IF(AF$5&gt;$B28,0,INDEX(Decrements!$G$6:$G$58,Census!$G28+AF$5-18)/INDEX(Decrements!$G$6:$G$58,Census!$G28-17)*(INDEX(Decrements!$D$6:$D$58,Census!$G28+AF$5-18)+IF(AF$5=$B28,INDEX(Decrements!$F$6:$F$58,Census!$G28+AF$5-18),0)+INDEX(Decrements!$E$6:$E$58,Census!$G28+AF$5-18)*IF((Census!$F28+AF$5)&gt;=Assumptions!$B$11,1,0))*MIN(15/26*Census!$D28*(1+Assumptions!$B$9)^AF$5*(INT((Census!$F28+AF$5))+IF((Census!$F28+AF$5)-INT((Census!$F28+AF$5))&gt;0.5,1,0)),Assumptions!$B$10))</f>
        <v>0</v>
      </c>
      <c r="AG28" s="30">
        <f>IF(AG$5&gt;$B28,0,INDEX(Decrements!$G$6:$G$58,Census!$G28+AG$5-18)/INDEX(Decrements!$G$6:$G$58,Census!$G28-17)*(INDEX(Decrements!$D$6:$D$58,Census!$G28+AG$5-18)+IF(AG$5=$B28,INDEX(Decrements!$F$6:$F$58,Census!$G28+AG$5-18),0)+INDEX(Decrements!$E$6:$E$58,Census!$G28+AG$5-18)*IF((Census!$F28+AG$5)&gt;=Assumptions!$B$11,1,0))*MIN(15/26*Census!$D28*(1+Assumptions!$B$9)^AG$5*(INT((Census!$F28+AG$5))+IF((Census!$F28+AG$5)-INT((Census!$F28+AG$5))&gt;0.5,1,0)),Assumptions!$B$10))</f>
        <v>0</v>
      </c>
      <c r="AH28" s="30">
        <f>IF(AH$5&gt;$B28,0,INDEX(Decrements!$G$6:$G$58,Census!$G28+AH$5-18)/INDEX(Decrements!$G$6:$G$58,Census!$G28-17)*(INDEX(Decrements!$D$6:$D$58,Census!$G28+AH$5-18)+IF(AH$5=$B28,INDEX(Decrements!$F$6:$F$58,Census!$G28+AH$5-18),0)+INDEX(Decrements!$E$6:$E$58,Census!$G28+AH$5-18)*IF((Census!$F28+AH$5)&gt;=Assumptions!$B$11,1,0))*MIN(15/26*Census!$D28*(1+Assumptions!$B$9)^AH$5*(INT((Census!$F28+AH$5))+IF((Census!$F28+AH$5)-INT((Census!$F28+AH$5))&gt;0.5,1,0)),Assumptions!$B$10))</f>
        <v>0</v>
      </c>
      <c r="AI28" s="30">
        <f>IF(AI$5&gt;$B28,0,INDEX(Decrements!$G$6:$G$58,Census!$G28+AI$5-18)/INDEX(Decrements!$G$6:$G$58,Census!$G28-17)*(INDEX(Decrements!$D$6:$D$58,Census!$G28+AI$5-18)+IF(AI$5=$B28,INDEX(Decrements!$F$6:$F$58,Census!$G28+AI$5-18),0)+INDEX(Decrements!$E$6:$E$58,Census!$G28+AI$5-18)*IF((Census!$F28+AI$5)&gt;=Assumptions!$B$11,1,0))*MIN(15/26*Census!$D28*(1+Assumptions!$B$9)^AI$5*(INT((Census!$F28+AI$5))+IF((Census!$F28+AI$5)-INT((Census!$F28+AI$5))&gt;0.5,1,0)),Assumptions!$B$10))</f>
        <v>0</v>
      </c>
      <c r="AJ28" s="30">
        <f>IF(AJ$5&gt;$B28,0,INDEX(Decrements!$G$6:$G$58,Census!$G28+AJ$5-18)/INDEX(Decrements!$G$6:$G$58,Census!$G28-17)*(INDEX(Decrements!$D$6:$D$58,Census!$G28+AJ$5-18)+IF(AJ$5=$B28,INDEX(Decrements!$F$6:$F$58,Census!$G28+AJ$5-18),0)+INDEX(Decrements!$E$6:$E$58,Census!$G28+AJ$5-18)*IF((Census!$F28+AJ$5)&gt;=Assumptions!$B$11,1,0))*MIN(15/26*Census!$D28*(1+Assumptions!$B$9)^AJ$5*(INT((Census!$F28+AJ$5))+IF((Census!$F28+AJ$5)-INT((Census!$F28+AJ$5))&gt;0.5,1,0)),Assumptions!$B$10))</f>
        <v>0</v>
      </c>
      <c r="AK28" s="30">
        <f>IF(AK$5&gt;$B28,0,INDEX(Decrements!$G$6:$G$58,Census!$G28+AK$5-18)/INDEX(Decrements!$G$6:$G$58,Census!$G28-17)*(INDEX(Decrements!$D$6:$D$58,Census!$G28+AK$5-18)+IF(AK$5=$B28,INDEX(Decrements!$F$6:$F$58,Census!$G28+AK$5-18),0)+INDEX(Decrements!$E$6:$E$58,Census!$G28+AK$5-18)*IF((Census!$F28+AK$5)&gt;=Assumptions!$B$11,1,0))*MIN(15/26*Census!$D28*(1+Assumptions!$B$9)^AK$5*(INT((Census!$F28+AK$5))+IF((Census!$F28+AK$5)-INT((Census!$F28+AK$5))&gt;0.5,1,0)),Assumptions!$B$10))</f>
        <v>0</v>
      </c>
      <c r="AL28" s="30">
        <f>IF(AL$5&gt;$B28,0,INDEX(Decrements!$G$6:$G$58,Census!$G28+AL$5-18)/INDEX(Decrements!$G$6:$G$58,Census!$G28-17)*(INDEX(Decrements!$D$6:$D$58,Census!$G28+AL$5-18)+IF(AL$5=$B28,INDEX(Decrements!$F$6:$F$58,Census!$G28+AL$5-18),0)+INDEX(Decrements!$E$6:$E$58,Census!$G28+AL$5-18)*IF((Census!$F28+AL$5)&gt;=Assumptions!$B$11,1,0))*MIN(15/26*Census!$D28*(1+Assumptions!$B$9)^AL$5*(INT((Census!$F28+AL$5))+IF((Census!$F28+AL$5)-INT((Census!$F28+AL$5))&gt;0.5,1,0)),Assumptions!$B$10))</f>
        <v>0</v>
      </c>
      <c r="AM28" s="30">
        <f>IF(AM$5&gt;$B28,0,INDEX(Decrements!$G$6:$G$58,Census!$G28+AM$5-18)/INDEX(Decrements!$G$6:$G$58,Census!$G28-17)*(INDEX(Decrements!$D$6:$D$58,Census!$G28+AM$5-18)+IF(AM$5=$B28,INDEX(Decrements!$F$6:$F$58,Census!$G28+AM$5-18),0)+INDEX(Decrements!$E$6:$E$58,Census!$G28+AM$5-18)*IF((Census!$F28+AM$5)&gt;=Assumptions!$B$11,1,0))*MIN(15/26*Census!$D28*(1+Assumptions!$B$9)^AM$5*(INT((Census!$F28+AM$5))+IF((Census!$F28+AM$5)-INT((Census!$F28+AM$5))&gt;0.5,1,0)),Assumptions!$B$10))</f>
        <v>0</v>
      </c>
      <c r="AN28" s="30">
        <f>IF(AN$5&gt;$B28,0,INDEX(Decrements!$G$6:$G$58,Census!$G28+AN$5-18)/INDEX(Decrements!$G$6:$G$58,Census!$G28-17)*(INDEX(Decrements!$D$6:$D$58,Census!$G28+AN$5-18)+IF(AN$5=$B28,INDEX(Decrements!$F$6:$F$58,Census!$G28+AN$5-18),0)+INDEX(Decrements!$E$6:$E$58,Census!$G28+AN$5-18)*IF((Census!$F28+AN$5)&gt;=Assumptions!$B$11,1,0))*MIN(15/26*Census!$D28*(1+Assumptions!$B$9)^AN$5*(INT((Census!$F28+AN$5))+IF((Census!$F28+AN$5)-INT((Census!$F28+AN$5))&gt;0.5,1,0)),Assumptions!$B$10))</f>
        <v>0</v>
      </c>
      <c r="AO28" s="30">
        <f>IF(AO$5&gt;$B28,0,INDEX(Decrements!$G$6:$G$58,Census!$G28+AO$5-18)/INDEX(Decrements!$G$6:$G$58,Census!$G28-17)*(INDEX(Decrements!$D$6:$D$58,Census!$G28+AO$5-18)+IF(AO$5=$B28,INDEX(Decrements!$F$6:$F$58,Census!$G28+AO$5-18),0)+INDEX(Decrements!$E$6:$E$58,Census!$G28+AO$5-18)*IF((Census!$F28+AO$5)&gt;=Assumptions!$B$11,1,0))*MIN(15/26*Census!$D28*(1+Assumptions!$B$9)^AO$5*(INT((Census!$F28+AO$5))+IF((Census!$F28+AO$5)-INT((Census!$F28+AO$5))&gt;0.5,1,0)),Assumptions!$B$10))</f>
        <v>0</v>
      </c>
      <c r="AP28" s="30">
        <f>IF(AP$5&gt;$B28,0,INDEX(Decrements!$G$6:$G$58,Census!$G28+AP$5-18)/INDEX(Decrements!$G$6:$G$58,Census!$G28-17)*(INDEX(Decrements!$D$6:$D$58,Census!$G28+AP$5-18)+IF(AP$5=$B28,INDEX(Decrements!$F$6:$F$58,Census!$G28+AP$5-18),0)+INDEX(Decrements!$E$6:$E$58,Census!$G28+AP$5-18)*IF((Census!$F28+AP$5)&gt;=Assumptions!$B$11,1,0))*MIN(15/26*Census!$D28*(1+Assumptions!$B$9)^AP$5*(INT((Census!$F28+AP$5))+IF((Census!$F28+AP$5)-INT((Census!$F28+AP$5))&gt;0.5,1,0)),Assumptions!$B$10))</f>
        <v>0</v>
      </c>
      <c r="AQ28" s="30">
        <f>IF(AQ$5&gt;$B28,0,INDEX(Decrements!$G$6:$G$58,Census!$G28+AQ$5-18)/INDEX(Decrements!$G$6:$G$58,Census!$G28-17)*(INDEX(Decrements!$D$6:$D$58,Census!$G28+AQ$5-18)+IF(AQ$5=$B28,INDEX(Decrements!$F$6:$F$58,Census!$G28+AQ$5-18),0)+INDEX(Decrements!$E$6:$E$58,Census!$G28+AQ$5-18)*IF((Census!$F28+AQ$5)&gt;=Assumptions!$B$11,1,0))*MIN(15/26*Census!$D28*(1+Assumptions!$B$9)^AQ$5*(INT((Census!$F28+AQ$5))+IF((Census!$F28+AQ$5)-INT((Census!$F28+AQ$5))&gt;0.5,1,0)),Assumptions!$B$10))</f>
        <v>0</v>
      </c>
      <c r="AR28" s="30">
        <f>IF(AR$5&gt;$B28,0,INDEX(Decrements!$G$6:$G$58,Census!$G28+AR$5-18)/INDEX(Decrements!$G$6:$G$58,Census!$G28-17)*(INDEX(Decrements!$D$6:$D$58,Census!$G28+AR$5-18)+IF(AR$5=$B28,INDEX(Decrements!$F$6:$F$58,Census!$G28+AR$5-18),0)+INDEX(Decrements!$E$6:$E$58,Census!$G28+AR$5-18)*IF((Census!$F28+AR$5)&gt;=Assumptions!$B$11,1,0))*MIN(15/26*Census!$D28*(1+Assumptions!$B$9)^AR$5*(INT((Census!$F28+AR$5))+IF((Census!$F28+AR$5)-INT((Census!$F28+AR$5))&gt;0.5,1,0)),Assumptions!$B$10))</f>
        <v>0</v>
      </c>
      <c r="AS28" s="30">
        <f>IF(AS$5&gt;$B28,0,INDEX(Decrements!$G$6:$G$58,Census!$G28+AS$5-18)/INDEX(Decrements!$G$6:$G$58,Census!$G28-17)*(INDEX(Decrements!$D$6:$D$58,Census!$G28+AS$5-18)+IF(AS$5=$B28,INDEX(Decrements!$F$6:$F$58,Census!$G28+AS$5-18),0)+INDEX(Decrements!$E$6:$E$58,Census!$G28+AS$5-18)*IF((Census!$F28+AS$5)&gt;=Assumptions!$B$11,1,0))*MIN(15/26*Census!$D28*(1+Assumptions!$B$9)^AS$5*(INT((Census!$F28+AS$5))+IF((Census!$F28+AS$5)-INT((Census!$F28+AS$5))&gt;0.5,1,0)),Assumptions!$B$10))</f>
        <v>0</v>
      </c>
      <c r="AT28" s="30">
        <f>IF(AT$5&gt;$B28,0,INDEX(Decrements!$G$6:$G$58,Census!$G28+AT$5-18)/INDEX(Decrements!$G$6:$G$58,Census!$G28-17)*(INDEX(Decrements!$D$6:$D$58,Census!$G28+AT$5-18)+IF(AT$5=$B28,INDEX(Decrements!$F$6:$F$58,Census!$G28+AT$5-18),0)+INDEX(Decrements!$E$6:$E$58,Census!$G28+AT$5-18)*IF((Census!$F28+AT$5)&gt;=Assumptions!$B$11,1,0))*MIN(15/26*Census!$D28*(1+Assumptions!$B$9)^AT$5*(INT((Census!$F28+AT$5))+IF((Census!$F28+AT$5)-INT((Census!$F28+AT$5))&gt;0.5,1,0)),Assumptions!$B$10))</f>
        <v>0</v>
      </c>
      <c r="AU28" s="30">
        <f>IF(AU$5&gt;$B28,0,INDEX(Decrements!$G$6:$G$58,Census!$G28+AU$5-18)/INDEX(Decrements!$G$6:$G$58,Census!$G28-17)*(INDEX(Decrements!$D$6:$D$58,Census!$G28+AU$5-18)+IF(AU$5=$B28,INDEX(Decrements!$F$6:$F$58,Census!$G28+AU$5-18),0)+INDEX(Decrements!$E$6:$E$58,Census!$G28+AU$5-18)*IF((Census!$F28+AU$5)&gt;=Assumptions!$B$11,1,0))*MIN(15/26*Census!$D28*(1+Assumptions!$B$9)^AU$5*(INT((Census!$F28+AU$5))+IF((Census!$F28+AU$5)-INT((Census!$F28+AU$5))&gt;0.5,1,0)),Assumptions!$B$10))</f>
        <v>0</v>
      </c>
    </row>
    <row r="29" spans="1:47" x14ac:dyDescent="0.3">
      <c r="A29" s="10" t="str">
        <f>Census!A29</f>
        <v>E024</v>
      </c>
      <c r="B29" s="29">
        <f>Census!H29</f>
        <v>21</v>
      </c>
      <c r="C29" s="30">
        <f>IF(C$5&gt;$B29,0,INDEX(Decrements!$G$6:$G$58,Census!$G29+C$5-18)/INDEX(Decrements!$G$6:$G$58,Census!$G29-17)*(INDEX(Decrements!$D$6:$D$58,Census!$G29+C$5-18)+IF(C$5=$B29,INDEX(Decrements!$F$6:$F$58,Census!$G29+C$5-18),0)+INDEX(Decrements!$E$6:$E$58,Census!$G29+C$5-18)*IF((Census!$F29+C$5)&gt;=Assumptions!$B$11,1,0))*MIN(15/26*Census!$D29*(1+Assumptions!$B$9)^C$5*(INT((Census!$F29+C$5))+IF((Census!$F29+C$5)-INT((Census!$F29+C$5))&gt;0.5,1,0)),Assumptions!$B$10))</f>
        <v>25729.969583448594</v>
      </c>
      <c r="D29" s="30">
        <f>IF(D$5&gt;$B29,0,INDEX(Decrements!$G$6:$G$58,Census!$G29+D$5-18)/INDEX(Decrements!$G$6:$G$58,Census!$G29-17)*(INDEX(Decrements!$D$6:$D$58,Census!$G29+D$5-18)+IF(D$5=$B29,INDEX(Decrements!$F$6:$F$58,Census!$G29+D$5-18),0)+INDEX(Decrements!$E$6:$E$58,Census!$G29+D$5-18)*IF((Census!$F29+D$5)&gt;=Assumptions!$B$11,1,0))*MIN(15/26*Census!$D29*(1+Assumptions!$B$9)^D$5*(INT((Census!$F29+D$5))+IF((Census!$F29+D$5)-INT((Census!$F29+D$5))&gt;0.5,1,0)),Assumptions!$B$10))</f>
        <v>18149.465851409874</v>
      </c>
      <c r="E29" s="30">
        <f>IF(E$5&gt;$B29,0,INDEX(Decrements!$G$6:$G$58,Census!$G29+E$5-18)/INDEX(Decrements!$G$6:$G$58,Census!$G29-17)*(INDEX(Decrements!$D$6:$D$58,Census!$G29+E$5-18)+IF(E$5=$B29,INDEX(Decrements!$F$6:$F$58,Census!$G29+E$5-18),0)+INDEX(Decrements!$E$6:$E$58,Census!$G29+E$5-18)*IF((Census!$F29+E$5)&gt;=Assumptions!$B$11,1,0))*MIN(15/26*Census!$D29*(1+Assumptions!$B$9)^E$5*(INT((Census!$F29+E$5))+IF((Census!$F29+E$5)-INT((Census!$F29+E$5))&gt;0.5,1,0)),Assumptions!$B$10))</f>
        <v>20698.786163882498</v>
      </c>
      <c r="F29" s="30">
        <f>IF(F$5&gt;$B29,0,INDEX(Decrements!$G$6:$G$58,Census!$G29+F$5-18)/INDEX(Decrements!$G$6:$G$58,Census!$G29-17)*(INDEX(Decrements!$D$6:$D$58,Census!$G29+F$5-18)+IF(F$5=$B29,INDEX(Decrements!$F$6:$F$58,Census!$G29+F$5-18),0)+INDEX(Decrements!$E$6:$E$58,Census!$G29+F$5-18)*IF((Census!$F29+F$5)&gt;=Assumptions!$B$11,1,0))*MIN(15/26*Census!$D29*(1+Assumptions!$B$9)^F$5*(INT((Census!$F29+F$5))+IF((Census!$F29+F$5)-INT((Census!$F29+F$5))&gt;0.5,1,0)),Assumptions!$B$10))</f>
        <v>23371.924025755816</v>
      </c>
      <c r="G29" s="30">
        <f>IF(G$5&gt;$B29,0,INDEX(Decrements!$G$6:$G$58,Census!$G29+G$5-18)/INDEX(Decrements!$G$6:$G$58,Census!$G29-17)*(INDEX(Decrements!$D$6:$D$58,Census!$G29+G$5-18)+IF(G$5=$B29,INDEX(Decrements!$F$6:$F$58,Census!$G29+G$5-18),0)+INDEX(Decrements!$E$6:$E$58,Census!$G29+G$5-18)*IF((Census!$F29+G$5)&gt;=Assumptions!$B$11,1,0))*MIN(15/26*Census!$D29*(1+Assumptions!$B$9)^G$5*(INT((Census!$F29+G$5))+IF((Census!$F29+G$5)-INT((Census!$F29+G$5))&gt;0.5,1,0)),Assumptions!$B$10))</f>
        <v>26174.373521164878</v>
      </c>
      <c r="H29" s="30">
        <f>IF(H$5&gt;$B29,0,INDEX(Decrements!$G$6:$G$58,Census!$G29+H$5-18)/INDEX(Decrements!$G$6:$G$58,Census!$G29-17)*(INDEX(Decrements!$D$6:$D$58,Census!$G29+H$5-18)+IF(H$5=$B29,INDEX(Decrements!$F$6:$F$58,Census!$G29+H$5-18),0)+INDEX(Decrements!$E$6:$E$58,Census!$G29+H$5-18)*IF((Census!$F29+H$5)&gt;=Assumptions!$B$11,1,0))*MIN(15/26*Census!$D29*(1+Assumptions!$B$9)^H$5*(INT((Census!$F29+H$5))+IF((Census!$F29+H$5)-INT((Census!$F29+H$5))&gt;0.5,1,0)),Assumptions!$B$10))</f>
        <v>29111.948371940536</v>
      </c>
      <c r="I29" s="30">
        <f>IF(I$5&gt;$B29,0,INDEX(Decrements!$G$6:$G$58,Census!$G29+I$5-18)/INDEX(Decrements!$G$6:$G$58,Census!$G29-17)*(INDEX(Decrements!$D$6:$D$58,Census!$G29+I$5-18)+IF(I$5=$B29,INDEX(Decrements!$F$6:$F$58,Census!$G29+I$5-18),0)+INDEX(Decrements!$E$6:$E$58,Census!$G29+I$5-18)*IF((Census!$F29+I$5)&gt;=Assumptions!$B$11,1,0))*MIN(15/26*Census!$D29*(1+Assumptions!$B$9)^I$5*(INT((Census!$F29+I$5))+IF((Census!$F29+I$5)-INT((Census!$F29+I$5))&gt;0.5,1,0)),Assumptions!$B$10))</f>
        <v>19793.375439477237</v>
      </c>
      <c r="J29" s="30">
        <f>IF(J$5&gt;$B29,0,INDEX(Decrements!$G$6:$G$58,Census!$G29+J$5-18)/INDEX(Decrements!$G$6:$G$58,Census!$G29-17)*(INDEX(Decrements!$D$6:$D$58,Census!$G29+J$5-18)+IF(J$5=$B29,INDEX(Decrements!$F$6:$F$58,Census!$G29+J$5-18),0)+INDEX(Decrements!$E$6:$E$58,Census!$G29+J$5-18)*IF((Census!$F29+J$5)&gt;=Assumptions!$B$11,1,0))*MIN(15/26*Census!$D29*(1+Assumptions!$B$9)^J$5*(INT((Census!$F29+J$5))+IF((Census!$F29+J$5)-INT((Census!$F29+J$5))&gt;0.5,1,0)),Assumptions!$B$10))</f>
        <v>22276.843733242531</v>
      </c>
      <c r="K29" s="30">
        <f>IF(K$5&gt;$B29,0,INDEX(Decrements!$G$6:$G$58,Census!$G29+K$5-18)/INDEX(Decrements!$G$6:$G$58,Census!$G29-17)*(INDEX(Decrements!$D$6:$D$58,Census!$G29+K$5-18)+IF(K$5=$B29,INDEX(Decrements!$F$6:$F$58,Census!$G29+K$5-18),0)+INDEX(Decrements!$E$6:$E$58,Census!$G29+K$5-18)*IF((Census!$F29+K$5)&gt;=Assumptions!$B$11,1,0))*MIN(15/26*Census!$D29*(1+Assumptions!$B$9)^K$5*(INT((Census!$F29+K$5))+IF((Census!$F29+K$5)-INT((Census!$F29+K$5))&gt;0.5,1,0)),Assumptions!$B$10))</f>
        <v>24967.597655909725</v>
      </c>
      <c r="L29" s="30">
        <f>IF(L$5&gt;$B29,0,INDEX(Decrements!$G$6:$G$58,Census!$G29+L$5-18)/INDEX(Decrements!$G$6:$G$58,Census!$G29-17)*(INDEX(Decrements!$D$6:$D$58,Census!$G29+L$5-18)+IF(L$5=$B29,INDEX(Decrements!$F$6:$F$58,Census!$G29+L$5-18),0)+INDEX(Decrements!$E$6:$E$58,Census!$G29+L$5-18)*IF((Census!$F29+L$5)&gt;=Assumptions!$B$11,1,0))*MIN(15/26*Census!$D29*(1+Assumptions!$B$9)^L$5*(INT((Census!$F29+L$5))+IF((Census!$F29+L$5)-INT((Census!$F29+L$5))&gt;0.5,1,0)),Assumptions!$B$10))</f>
        <v>27882.651183049929</v>
      </c>
      <c r="M29" s="30">
        <f>IF(M$5&gt;$B29,0,INDEX(Decrements!$G$6:$G$58,Census!$G29+M$5-18)/INDEX(Decrements!$G$6:$G$58,Census!$G29-17)*(INDEX(Decrements!$D$6:$D$58,Census!$G29+M$5-18)+IF(M$5=$B29,INDEX(Decrements!$F$6:$F$58,Census!$G29+M$5-18),0)+INDEX(Decrements!$E$6:$E$58,Census!$G29+M$5-18)*IF((Census!$F29+M$5)&gt;=Assumptions!$B$11,1,0))*MIN(15/26*Census!$D29*(1+Assumptions!$B$9)^M$5*(INT((Census!$F29+M$5))+IF((Census!$F29+M$5)-INT((Census!$F29+M$5))&gt;0.5,1,0)),Assumptions!$B$10))</f>
        <v>31040.650068655894</v>
      </c>
      <c r="N29" s="30">
        <f>IF(N$5&gt;$B29,0,INDEX(Decrements!$G$6:$G$58,Census!$G29+N$5-18)/INDEX(Decrements!$G$6:$G$58,Census!$G29-17)*(INDEX(Decrements!$D$6:$D$58,Census!$G29+N$5-18)+IF(N$5=$B29,INDEX(Decrements!$F$6:$F$58,Census!$G29+N$5-18),0)+INDEX(Decrements!$E$6:$E$58,Census!$G29+N$5-18)*IF((Census!$F29+N$5)&gt;=Assumptions!$B$11,1,0))*MIN(15/26*Census!$D29*(1+Assumptions!$B$9)^N$5*(INT((Census!$F29+N$5))+IF((Census!$F29+N$5)-INT((Census!$F29+N$5))&gt;0.5,1,0)),Assumptions!$B$10))</f>
        <v>23976.894996469175</v>
      </c>
      <c r="O29" s="30">
        <f>IF(O$5&gt;$B29,0,INDEX(Decrements!$G$6:$G$58,Census!$G29+O$5-18)/INDEX(Decrements!$G$6:$G$58,Census!$G29-17)*(INDEX(Decrements!$D$6:$D$58,Census!$G29+O$5-18)+IF(O$5=$B29,INDEX(Decrements!$F$6:$F$58,Census!$G29+O$5-18),0)+INDEX(Decrements!$E$6:$E$58,Census!$G29+O$5-18)*IF((Census!$F29+O$5)&gt;=Assumptions!$B$11,1,0))*MIN(15/26*Census!$D29*(1+Assumptions!$B$9)^O$5*(INT((Census!$F29+O$5))+IF((Census!$F29+O$5)-INT((Census!$F29+O$5))&gt;0.5,1,0)),Assumptions!$B$10))</f>
        <v>26917.567710952473</v>
      </c>
      <c r="P29" s="30">
        <f>IF(P$5&gt;$B29,0,INDEX(Decrements!$G$6:$G$58,Census!$G29+P$5-18)/INDEX(Decrements!$G$6:$G$58,Census!$G29-17)*(INDEX(Decrements!$D$6:$D$58,Census!$G29+P$5-18)+IF(P$5=$B29,INDEX(Decrements!$F$6:$F$58,Census!$G29+P$5-18),0)+INDEX(Decrements!$E$6:$E$58,Census!$G29+P$5-18)*IF((Census!$F29+P$5)&gt;=Assumptions!$B$11,1,0))*MIN(15/26*Census!$D29*(1+Assumptions!$B$9)^P$5*(INT((Census!$F29+P$5))+IF((Census!$F29+P$5)-INT((Census!$F29+P$5))&gt;0.5,1,0)),Assumptions!$B$10))</f>
        <v>26655.556671355662</v>
      </c>
      <c r="Q29" s="30">
        <f>IF(Q$5&gt;$B29,0,INDEX(Decrements!$G$6:$G$58,Census!$G29+Q$5-18)/INDEX(Decrements!$G$6:$G$58,Census!$G29-17)*(INDEX(Decrements!$D$6:$D$58,Census!$G29+Q$5-18)+IF(Q$5=$B29,INDEX(Decrements!$F$6:$F$58,Census!$G29+Q$5-18),0)+INDEX(Decrements!$E$6:$E$58,Census!$G29+Q$5-18)*IF((Census!$F29+Q$5)&gt;=Assumptions!$B$11,1,0))*MIN(15/26*Census!$D29*(1+Assumptions!$B$9)^Q$5*(INT((Census!$F29+Q$5))+IF((Census!$F29+Q$5)-INT((Census!$F29+Q$5))&gt;0.5,1,0)),Assumptions!$B$10))</f>
        <v>26359.412066258559</v>
      </c>
      <c r="R29" s="30">
        <f>IF(R$5&gt;$B29,0,INDEX(Decrements!$G$6:$G$58,Census!$G29+R$5-18)/INDEX(Decrements!$G$6:$G$58,Census!$G29-17)*(INDEX(Decrements!$D$6:$D$58,Census!$G29+R$5-18)+IF(R$5=$B29,INDEX(Decrements!$F$6:$F$58,Census!$G29+R$5-18),0)+INDEX(Decrements!$E$6:$E$58,Census!$G29+R$5-18)*IF((Census!$F29+R$5)&gt;=Assumptions!$B$11,1,0))*MIN(15/26*Census!$D29*(1+Assumptions!$B$9)^R$5*(INT((Census!$F29+R$5))+IF((Census!$F29+R$5)-INT((Census!$F29+R$5))&gt;0.5,1,0)),Assumptions!$B$10))</f>
        <v>26086.461041428975</v>
      </c>
      <c r="S29" s="30">
        <f>IF(S$5&gt;$B29,0,INDEX(Decrements!$G$6:$G$58,Census!$G29+S$5-18)/INDEX(Decrements!$G$6:$G$58,Census!$G29-17)*(INDEX(Decrements!$D$6:$D$58,Census!$G29+S$5-18)+IF(S$5=$B29,INDEX(Decrements!$F$6:$F$58,Census!$G29+S$5-18),0)+INDEX(Decrements!$E$6:$E$58,Census!$G29+S$5-18)*IF((Census!$F29+S$5)&gt;=Assumptions!$B$11,1,0))*MIN(15/26*Census!$D29*(1+Assumptions!$B$9)^S$5*(INT((Census!$F29+S$5))+IF((Census!$F29+S$5)-INT((Census!$F29+S$5))&gt;0.5,1,0)),Assumptions!$B$10))</f>
        <v>15238.09938259788</v>
      </c>
      <c r="T29" s="30">
        <f>IF(T$5&gt;$B29,0,INDEX(Decrements!$G$6:$G$58,Census!$G29+T$5-18)/INDEX(Decrements!$G$6:$G$58,Census!$G29-17)*(INDEX(Decrements!$D$6:$D$58,Census!$G29+T$5-18)+IF(T$5=$B29,INDEX(Decrements!$F$6:$F$58,Census!$G29+T$5-18),0)+INDEX(Decrements!$E$6:$E$58,Census!$G29+T$5-18)*IF((Census!$F29+T$5)&gt;=Assumptions!$B$11,1,0))*MIN(15/26*Census!$D29*(1+Assumptions!$B$9)^T$5*(INT((Census!$F29+T$5))+IF((Census!$F29+T$5)-INT((Census!$F29+T$5))&gt;0.5,1,0)),Assumptions!$B$10))</f>
        <v>15430.22557286387</v>
      </c>
      <c r="U29" s="30">
        <f>IF(U$5&gt;$B29,0,INDEX(Decrements!$G$6:$G$58,Census!$G29+U$5-18)/INDEX(Decrements!$G$6:$G$58,Census!$G29-17)*(INDEX(Decrements!$D$6:$D$58,Census!$G29+U$5-18)+IF(U$5=$B29,INDEX(Decrements!$F$6:$F$58,Census!$G29+U$5-18),0)+INDEX(Decrements!$E$6:$E$58,Census!$G29+U$5-18)*IF((Census!$F29+U$5)&gt;=Assumptions!$B$11,1,0))*MIN(15/26*Census!$D29*(1+Assumptions!$B$9)^U$5*(INT((Census!$F29+U$5))+IF((Census!$F29+U$5)-INT((Census!$F29+U$5))&gt;0.5,1,0)),Assumptions!$B$10))</f>
        <v>15647.772402611306</v>
      </c>
      <c r="V29" s="30">
        <f>IF(V$5&gt;$B29,0,INDEX(Decrements!$G$6:$G$58,Census!$G29+V$5-18)/INDEX(Decrements!$G$6:$G$58,Census!$G29-17)*(INDEX(Decrements!$D$6:$D$58,Census!$G29+V$5-18)+IF(V$5=$B29,INDEX(Decrements!$F$6:$F$58,Census!$G29+V$5-18),0)+INDEX(Decrements!$E$6:$E$58,Census!$G29+V$5-18)*IF((Census!$F29+V$5)&gt;=Assumptions!$B$11,1,0))*MIN(15/26*Census!$D29*(1+Assumptions!$B$9)^V$5*(INT((Census!$F29+V$5))+IF((Census!$F29+V$5)-INT((Census!$F29+V$5))&gt;0.5,1,0)),Assumptions!$B$10))</f>
        <v>15892.218432355952</v>
      </c>
      <c r="W29" s="30">
        <f>IF(W$5&gt;$B29,0,INDEX(Decrements!$G$6:$G$58,Census!$G29+W$5-18)/INDEX(Decrements!$G$6:$G$58,Census!$G29-17)*(INDEX(Decrements!$D$6:$D$58,Census!$G29+W$5-18)+IF(W$5=$B29,INDEX(Decrements!$F$6:$F$58,Census!$G29+W$5-18),0)+INDEX(Decrements!$E$6:$E$58,Census!$G29+W$5-18)*IF((Census!$F29+W$5)&gt;=Assumptions!$B$11,1,0))*MIN(15/26*Census!$D29*(1+Assumptions!$B$9)^W$5*(INT((Census!$F29+W$5))+IF((Census!$F29+W$5)-INT((Census!$F29+W$5))&gt;0.5,1,0)),Assumptions!$B$10))</f>
        <v>1002340.4356170596</v>
      </c>
      <c r="X29" s="30">
        <f>IF(X$5&gt;$B29,0,INDEX(Decrements!$G$6:$G$58,Census!$G29+X$5-18)/INDEX(Decrements!$G$6:$G$58,Census!$G29-17)*(INDEX(Decrements!$D$6:$D$58,Census!$G29+X$5-18)+IF(X$5=$B29,INDEX(Decrements!$F$6:$F$58,Census!$G29+X$5-18),0)+INDEX(Decrements!$E$6:$E$58,Census!$G29+X$5-18)*IF((Census!$F29+X$5)&gt;=Assumptions!$B$11,1,0))*MIN(15/26*Census!$D29*(1+Assumptions!$B$9)^X$5*(INT((Census!$F29+X$5))+IF((Census!$F29+X$5)-INT((Census!$F29+X$5))&gt;0.5,1,0)),Assumptions!$B$10))</f>
        <v>0</v>
      </c>
      <c r="Y29" s="30">
        <f>IF(Y$5&gt;$B29,0,INDEX(Decrements!$G$6:$G$58,Census!$G29+Y$5-18)/INDEX(Decrements!$G$6:$G$58,Census!$G29-17)*(INDEX(Decrements!$D$6:$D$58,Census!$G29+Y$5-18)+IF(Y$5=$B29,INDEX(Decrements!$F$6:$F$58,Census!$G29+Y$5-18),0)+INDEX(Decrements!$E$6:$E$58,Census!$G29+Y$5-18)*IF((Census!$F29+Y$5)&gt;=Assumptions!$B$11,1,0))*MIN(15/26*Census!$D29*(1+Assumptions!$B$9)^Y$5*(INT((Census!$F29+Y$5))+IF((Census!$F29+Y$5)-INT((Census!$F29+Y$5))&gt;0.5,1,0)),Assumptions!$B$10))</f>
        <v>0</v>
      </c>
      <c r="Z29" s="30">
        <f>IF(Z$5&gt;$B29,0,INDEX(Decrements!$G$6:$G$58,Census!$G29+Z$5-18)/INDEX(Decrements!$G$6:$G$58,Census!$G29-17)*(INDEX(Decrements!$D$6:$D$58,Census!$G29+Z$5-18)+IF(Z$5=$B29,INDEX(Decrements!$F$6:$F$58,Census!$G29+Z$5-18),0)+INDEX(Decrements!$E$6:$E$58,Census!$G29+Z$5-18)*IF((Census!$F29+Z$5)&gt;=Assumptions!$B$11,1,0))*MIN(15/26*Census!$D29*(1+Assumptions!$B$9)^Z$5*(INT((Census!$F29+Z$5))+IF((Census!$F29+Z$5)-INT((Census!$F29+Z$5))&gt;0.5,1,0)),Assumptions!$B$10))</f>
        <v>0</v>
      </c>
      <c r="AA29" s="30">
        <f>IF(AA$5&gt;$B29,0,INDEX(Decrements!$G$6:$G$58,Census!$G29+AA$5-18)/INDEX(Decrements!$G$6:$G$58,Census!$G29-17)*(INDEX(Decrements!$D$6:$D$58,Census!$G29+AA$5-18)+IF(AA$5=$B29,INDEX(Decrements!$F$6:$F$58,Census!$G29+AA$5-18),0)+INDEX(Decrements!$E$6:$E$58,Census!$G29+AA$5-18)*IF((Census!$F29+AA$5)&gt;=Assumptions!$B$11,1,0))*MIN(15/26*Census!$D29*(1+Assumptions!$B$9)^AA$5*(INT((Census!$F29+AA$5))+IF((Census!$F29+AA$5)-INT((Census!$F29+AA$5))&gt;0.5,1,0)),Assumptions!$B$10))</f>
        <v>0</v>
      </c>
      <c r="AB29" s="30">
        <f>IF(AB$5&gt;$B29,0,INDEX(Decrements!$G$6:$G$58,Census!$G29+AB$5-18)/INDEX(Decrements!$G$6:$G$58,Census!$G29-17)*(INDEX(Decrements!$D$6:$D$58,Census!$G29+AB$5-18)+IF(AB$5=$B29,INDEX(Decrements!$F$6:$F$58,Census!$G29+AB$5-18),0)+INDEX(Decrements!$E$6:$E$58,Census!$G29+AB$5-18)*IF((Census!$F29+AB$5)&gt;=Assumptions!$B$11,1,0))*MIN(15/26*Census!$D29*(1+Assumptions!$B$9)^AB$5*(INT((Census!$F29+AB$5))+IF((Census!$F29+AB$5)-INT((Census!$F29+AB$5))&gt;0.5,1,0)),Assumptions!$B$10))</f>
        <v>0</v>
      </c>
      <c r="AC29" s="30">
        <f>IF(AC$5&gt;$B29,0,INDEX(Decrements!$G$6:$G$58,Census!$G29+AC$5-18)/INDEX(Decrements!$G$6:$G$58,Census!$G29-17)*(INDEX(Decrements!$D$6:$D$58,Census!$G29+AC$5-18)+IF(AC$5=$B29,INDEX(Decrements!$F$6:$F$58,Census!$G29+AC$5-18),0)+INDEX(Decrements!$E$6:$E$58,Census!$G29+AC$5-18)*IF((Census!$F29+AC$5)&gt;=Assumptions!$B$11,1,0))*MIN(15/26*Census!$D29*(1+Assumptions!$B$9)^AC$5*(INT((Census!$F29+AC$5))+IF((Census!$F29+AC$5)-INT((Census!$F29+AC$5))&gt;0.5,1,0)),Assumptions!$B$10))</f>
        <v>0</v>
      </c>
      <c r="AD29" s="30">
        <f>IF(AD$5&gt;$B29,0,INDEX(Decrements!$G$6:$G$58,Census!$G29+AD$5-18)/INDEX(Decrements!$G$6:$G$58,Census!$G29-17)*(INDEX(Decrements!$D$6:$D$58,Census!$G29+AD$5-18)+IF(AD$5=$B29,INDEX(Decrements!$F$6:$F$58,Census!$G29+AD$5-18),0)+INDEX(Decrements!$E$6:$E$58,Census!$G29+AD$5-18)*IF((Census!$F29+AD$5)&gt;=Assumptions!$B$11,1,0))*MIN(15/26*Census!$D29*(1+Assumptions!$B$9)^AD$5*(INT((Census!$F29+AD$5))+IF((Census!$F29+AD$5)-INT((Census!$F29+AD$5))&gt;0.5,1,0)),Assumptions!$B$10))</f>
        <v>0</v>
      </c>
      <c r="AE29" s="30">
        <f>IF(AE$5&gt;$B29,0,INDEX(Decrements!$G$6:$G$58,Census!$G29+AE$5-18)/INDEX(Decrements!$G$6:$G$58,Census!$G29-17)*(INDEX(Decrements!$D$6:$D$58,Census!$G29+AE$5-18)+IF(AE$5=$B29,INDEX(Decrements!$F$6:$F$58,Census!$G29+AE$5-18),0)+INDEX(Decrements!$E$6:$E$58,Census!$G29+AE$5-18)*IF((Census!$F29+AE$5)&gt;=Assumptions!$B$11,1,0))*MIN(15/26*Census!$D29*(1+Assumptions!$B$9)^AE$5*(INT((Census!$F29+AE$5))+IF((Census!$F29+AE$5)-INT((Census!$F29+AE$5))&gt;0.5,1,0)),Assumptions!$B$10))</f>
        <v>0</v>
      </c>
      <c r="AF29" s="30">
        <f>IF(AF$5&gt;$B29,0,INDEX(Decrements!$G$6:$G$58,Census!$G29+AF$5-18)/INDEX(Decrements!$G$6:$G$58,Census!$G29-17)*(INDEX(Decrements!$D$6:$D$58,Census!$G29+AF$5-18)+IF(AF$5=$B29,INDEX(Decrements!$F$6:$F$58,Census!$G29+AF$5-18),0)+INDEX(Decrements!$E$6:$E$58,Census!$G29+AF$5-18)*IF((Census!$F29+AF$5)&gt;=Assumptions!$B$11,1,0))*MIN(15/26*Census!$D29*(1+Assumptions!$B$9)^AF$5*(INT((Census!$F29+AF$5))+IF((Census!$F29+AF$5)-INT((Census!$F29+AF$5))&gt;0.5,1,0)),Assumptions!$B$10))</f>
        <v>0</v>
      </c>
      <c r="AG29" s="30">
        <f>IF(AG$5&gt;$B29,0,INDEX(Decrements!$G$6:$G$58,Census!$G29+AG$5-18)/INDEX(Decrements!$G$6:$G$58,Census!$G29-17)*(INDEX(Decrements!$D$6:$D$58,Census!$G29+AG$5-18)+IF(AG$5=$B29,INDEX(Decrements!$F$6:$F$58,Census!$G29+AG$5-18),0)+INDEX(Decrements!$E$6:$E$58,Census!$G29+AG$5-18)*IF((Census!$F29+AG$5)&gt;=Assumptions!$B$11,1,0))*MIN(15/26*Census!$D29*(1+Assumptions!$B$9)^AG$5*(INT((Census!$F29+AG$5))+IF((Census!$F29+AG$5)-INT((Census!$F29+AG$5))&gt;0.5,1,0)),Assumptions!$B$10))</f>
        <v>0</v>
      </c>
      <c r="AH29" s="30">
        <f>IF(AH$5&gt;$B29,0,INDEX(Decrements!$G$6:$G$58,Census!$G29+AH$5-18)/INDEX(Decrements!$G$6:$G$58,Census!$G29-17)*(INDEX(Decrements!$D$6:$D$58,Census!$G29+AH$5-18)+IF(AH$5=$B29,INDEX(Decrements!$F$6:$F$58,Census!$G29+AH$5-18),0)+INDEX(Decrements!$E$6:$E$58,Census!$G29+AH$5-18)*IF((Census!$F29+AH$5)&gt;=Assumptions!$B$11,1,0))*MIN(15/26*Census!$D29*(1+Assumptions!$B$9)^AH$5*(INT((Census!$F29+AH$5))+IF((Census!$F29+AH$5)-INT((Census!$F29+AH$5))&gt;0.5,1,0)),Assumptions!$B$10))</f>
        <v>0</v>
      </c>
      <c r="AI29" s="30">
        <f>IF(AI$5&gt;$B29,0,INDEX(Decrements!$G$6:$G$58,Census!$G29+AI$5-18)/INDEX(Decrements!$G$6:$G$58,Census!$G29-17)*(INDEX(Decrements!$D$6:$D$58,Census!$G29+AI$5-18)+IF(AI$5=$B29,INDEX(Decrements!$F$6:$F$58,Census!$G29+AI$5-18),0)+INDEX(Decrements!$E$6:$E$58,Census!$G29+AI$5-18)*IF((Census!$F29+AI$5)&gt;=Assumptions!$B$11,1,0))*MIN(15/26*Census!$D29*(1+Assumptions!$B$9)^AI$5*(INT((Census!$F29+AI$5))+IF((Census!$F29+AI$5)-INT((Census!$F29+AI$5))&gt;0.5,1,0)),Assumptions!$B$10))</f>
        <v>0</v>
      </c>
      <c r="AJ29" s="30">
        <f>IF(AJ$5&gt;$B29,0,INDEX(Decrements!$G$6:$G$58,Census!$G29+AJ$5-18)/INDEX(Decrements!$G$6:$G$58,Census!$G29-17)*(INDEX(Decrements!$D$6:$D$58,Census!$G29+AJ$5-18)+IF(AJ$5=$B29,INDEX(Decrements!$F$6:$F$58,Census!$G29+AJ$5-18),0)+INDEX(Decrements!$E$6:$E$58,Census!$G29+AJ$5-18)*IF((Census!$F29+AJ$5)&gt;=Assumptions!$B$11,1,0))*MIN(15/26*Census!$D29*(1+Assumptions!$B$9)^AJ$5*(INT((Census!$F29+AJ$5))+IF((Census!$F29+AJ$5)-INT((Census!$F29+AJ$5))&gt;0.5,1,0)),Assumptions!$B$10))</f>
        <v>0</v>
      </c>
      <c r="AK29" s="30">
        <f>IF(AK$5&gt;$B29,0,INDEX(Decrements!$G$6:$G$58,Census!$G29+AK$5-18)/INDEX(Decrements!$G$6:$G$58,Census!$G29-17)*(INDEX(Decrements!$D$6:$D$58,Census!$G29+AK$5-18)+IF(AK$5=$B29,INDEX(Decrements!$F$6:$F$58,Census!$G29+AK$5-18),0)+INDEX(Decrements!$E$6:$E$58,Census!$G29+AK$5-18)*IF((Census!$F29+AK$5)&gt;=Assumptions!$B$11,1,0))*MIN(15/26*Census!$D29*(1+Assumptions!$B$9)^AK$5*(INT((Census!$F29+AK$5))+IF((Census!$F29+AK$5)-INT((Census!$F29+AK$5))&gt;0.5,1,0)),Assumptions!$B$10))</f>
        <v>0</v>
      </c>
      <c r="AL29" s="30">
        <f>IF(AL$5&gt;$B29,0,INDEX(Decrements!$G$6:$G$58,Census!$G29+AL$5-18)/INDEX(Decrements!$G$6:$G$58,Census!$G29-17)*(INDEX(Decrements!$D$6:$D$58,Census!$G29+AL$5-18)+IF(AL$5=$B29,INDEX(Decrements!$F$6:$F$58,Census!$G29+AL$5-18),0)+INDEX(Decrements!$E$6:$E$58,Census!$G29+AL$5-18)*IF((Census!$F29+AL$5)&gt;=Assumptions!$B$11,1,0))*MIN(15/26*Census!$D29*(1+Assumptions!$B$9)^AL$5*(INT((Census!$F29+AL$5))+IF((Census!$F29+AL$5)-INT((Census!$F29+AL$5))&gt;0.5,1,0)),Assumptions!$B$10))</f>
        <v>0</v>
      </c>
      <c r="AM29" s="30">
        <f>IF(AM$5&gt;$B29,0,INDEX(Decrements!$G$6:$G$58,Census!$G29+AM$5-18)/INDEX(Decrements!$G$6:$G$58,Census!$G29-17)*(INDEX(Decrements!$D$6:$D$58,Census!$G29+AM$5-18)+IF(AM$5=$B29,INDEX(Decrements!$F$6:$F$58,Census!$G29+AM$5-18),0)+INDEX(Decrements!$E$6:$E$58,Census!$G29+AM$5-18)*IF((Census!$F29+AM$5)&gt;=Assumptions!$B$11,1,0))*MIN(15/26*Census!$D29*(1+Assumptions!$B$9)^AM$5*(INT((Census!$F29+AM$5))+IF((Census!$F29+AM$5)-INT((Census!$F29+AM$5))&gt;0.5,1,0)),Assumptions!$B$10))</f>
        <v>0</v>
      </c>
      <c r="AN29" s="30">
        <f>IF(AN$5&gt;$B29,0,INDEX(Decrements!$G$6:$G$58,Census!$G29+AN$5-18)/INDEX(Decrements!$G$6:$G$58,Census!$G29-17)*(INDEX(Decrements!$D$6:$D$58,Census!$G29+AN$5-18)+IF(AN$5=$B29,INDEX(Decrements!$F$6:$F$58,Census!$G29+AN$5-18),0)+INDEX(Decrements!$E$6:$E$58,Census!$G29+AN$5-18)*IF((Census!$F29+AN$5)&gt;=Assumptions!$B$11,1,0))*MIN(15/26*Census!$D29*(1+Assumptions!$B$9)^AN$5*(INT((Census!$F29+AN$5))+IF((Census!$F29+AN$5)-INT((Census!$F29+AN$5))&gt;0.5,1,0)),Assumptions!$B$10))</f>
        <v>0</v>
      </c>
      <c r="AO29" s="30">
        <f>IF(AO$5&gt;$B29,0,INDEX(Decrements!$G$6:$G$58,Census!$G29+AO$5-18)/INDEX(Decrements!$G$6:$G$58,Census!$G29-17)*(INDEX(Decrements!$D$6:$D$58,Census!$G29+AO$5-18)+IF(AO$5=$B29,INDEX(Decrements!$F$6:$F$58,Census!$G29+AO$5-18),0)+INDEX(Decrements!$E$6:$E$58,Census!$G29+AO$5-18)*IF((Census!$F29+AO$5)&gt;=Assumptions!$B$11,1,0))*MIN(15/26*Census!$D29*(1+Assumptions!$B$9)^AO$5*(INT((Census!$F29+AO$5))+IF((Census!$F29+AO$5)-INT((Census!$F29+AO$5))&gt;0.5,1,0)),Assumptions!$B$10))</f>
        <v>0</v>
      </c>
      <c r="AP29" s="30">
        <f>IF(AP$5&gt;$B29,0,INDEX(Decrements!$G$6:$G$58,Census!$G29+AP$5-18)/INDEX(Decrements!$G$6:$G$58,Census!$G29-17)*(INDEX(Decrements!$D$6:$D$58,Census!$G29+AP$5-18)+IF(AP$5=$B29,INDEX(Decrements!$F$6:$F$58,Census!$G29+AP$5-18),0)+INDEX(Decrements!$E$6:$E$58,Census!$G29+AP$5-18)*IF((Census!$F29+AP$5)&gt;=Assumptions!$B$11,1,0))*MIN(15/26*Census!$D29*(1+Assumptions!$B$9)^AP$5*(INT((Census!$F29+AP$5))+IF((Census!$F29+AP$5)-INT((Census!$F29+AP$5))&gt;0.5,1,0)),Assumptions!$B$10))</f>
        <v>0</v>
      </c>
      <c r="AQ29" s="30">
        <f>IF(AQ$5&gt;$B29,0,INDEX(Decrements!$G$6:$G$58,Census!$G29+AQ$5-18)/INDEX(Decrements!$G$6:$G$58,Census!$G29-17)*(INDEX(Decrements!$D$6:$D$58,Census!$G29+AQ$5-18)+IF(AQ$5=$B29,INDEX(Decrements!$F$6:$F$58,Census!$G29+AQ$5-18),0)+INDEX(Decrements!$E$6:$E$58,Census!$G29+AQ$5-18)*IF((Census!$F29+AQ$5)&gt;=Assumptions!$B$11,1,0))*MIN(15/26*Census!$D29*(1+Assumptions!$B$9)^AQ$5*(INT((Census!$F29+AQ$5))+IF((Census!$F29+AQ$5)-INT((Census!$F29+AQ$5))&gt;0.5,1,0)),Assumptions!$B$10))</f>
        <v>0</v>
      </c>
      <c r="AR29" s="30">
        <f>IF(AR$5&gt;$B29,0,INDEX(Decrements!$G$6:$G$58,Census!$G29+AR$5-18)/INDEX(Decrements!$G$6:$G$58,Census!$G29-17)*(INDEX(Decrements!$D$6:$D$58,Census!$G29+AR$5-18)+IF(AR$5=$B29,INDEX(Decrements!$F$6:$F$58,Census!$G29+AR$5-18),0)+INDEX(Decrements!$E$6:$E$58,Census!$G29+AR$5-18)*IF((Census!$F29+AR$5)&gt;=Assumptions!$B$11,1,0))*MIN(15/26*Census!$D29*(1+Assumptions!$B$9)^AR$5*(INT((Census!$F29+AR$5))+IF((Census!$F29+AR$5)-INT((Census!$F29+AR$5))&gt;0.5,1,0)),Assumptions!$B$10))</f>
        <v>0</v>
      </c>
      <c r="AS29" s="30">
        <f>IF(AS$5&gt;$B29,0,INDEX(Decrements!$G$6:$G$58,Census!$G29+AS$5-18)/INDEX(Decrements!$G$6:$G$58,Census!$G29-17)*(INDEX(Decrements!$D$6:$D$58,Census!$G29+AS$5-18)+IF(AS$5=$B29,INDEX(Decrements!$F$6:$F$58,Census!$G29+AS$5-18),0)+INDEX(Decrements!$E$6:$E$58,Census!$G29+AS$5-18)*IF((Census!$F29+AS$5)&gt;=Assumptions!$B$11,1,0))*MIN(15/26*Census!$D29*(1+Assumptions!$B$9)^AS$5*(INT((Census!$F29+AS$5))+IF((Census!$F29+AS$5)-INT((Census!$F29+AS$5))&gt;0.5,1,0)),Assumptions!$B$10))</f>
        <v>0</v>
      </c>
      <c r="AT29" s="30">
        <f>IF(AT$5&gt;$B29,0,INDEX(Decrements!$G$6:$G$58,Census!$G29+AT$5-18)/INDEX(Decrements!$G$6:$G$58,Census!$G29-17)*(INDEX(Decrements!$D$6:$D$58,Census!$G29+AT$5-18)+IF(AT$5=$B29,INDEX(Decrements!$F$6:$F$58,Census!$G29+AT$5-18),0)+INDEX(Decrements!$E$6:$E$58,Census!$G29+AT$5-18)*IF((Census!$F29+AT$5)&gt;=Assumptions!$B$11,1,0))*MIN(15/26*Census!$D29*(1+Assumptions!$B$9)^AT$5*(INT((Census!$F29+AT$5))+IF((Census!$F29+AT$5)-INT((Census!$F29+AT$5))&gt;0.5,1,0)),Assumptions!$B$10))</f>
        <v>0</v>
      </c>
      <c r="AU29" s="30">
        <f>IF(AU$5&gt;$B29,0,INDEX(Decrements!$G$6:$G$58,Census!$G29+AU$5-18)/INDEX(Decrements!$G$6:$G$58,Census!$G29-17)*(INDEX(Decrements!$D$6:$D$58,Census!$G29+AU$5-18)+IF(AU$5=$B29,INDEX(Decrements!$F$6:$F$58,Census!$G29+AU$5-18),0)+INDEX(Decrements!$E$6:$E$58,Census!$G29+AU$5-18)*IF((Census!$F29+AU$5)&gt;=Assumptions!$B$11,1,0))*MIN(15/26*Census!$D29*(1+Assumptions!$B$9)^AU$5*(INT((Census!$F29+AU$5))+IF((Census!$F29+AU$5)-INT((Census!$F29+AU$5))&gt;0.5,1,0)),Assumptions!$B$10))</f>
        <v>0</v>
      </c>
    </row>
    <row r="30" spans="1:47" x14ac:dyDescent="0.3">
      <c r="A30" s="10" t="str">
        <f>Census!A30</f>
        <v>E025</v>
      </c>
      <c r="B30" s="29">
        <f>Census!H30</f>
        <v>29</v>
      </c>
      <c r="C30" s="30">
        <f>IF(C$5&gt;$B30,0,INDEX(Decrements!$G$6:$G$58,Census!$G30+C$5-18)/INDEX(Decrements!$G$6:$G$58,Census!$G30-17)*(INDEX(Decrements!$D$6:$D$58,Census!$G30+C$5-18)+IF(C$5=$B30,INDEX(Decrements!$F$6:$F$58,Census!$G30+C$5-18),0)+INDEX(Decrements!$E$6:$E$58,Census!$G30+C$5-18)*IF((Census!$F30+C$5)&gt;=Assumptions!$B$11,1,0))*MIN(15/26*Census!$D30*(1+Assumptions!$B$9)^C$5*(INT((Census!$F30+C$5))+IF((Census!$F30+C$5)-INT((Census!$F30+C$5))&gt;0.5,1,0)),Assumptions!$B$10))</f>
        <v>9381.7496425984227</v>
      </c>
      <c r="D30" s="30">
        <f>IF(D$5&gt;$B30,0,INDEX(Decrements!$G$6:$G$58,Census!$G30+D$5-18)/INDEX(Decrements!$G$6:$G$58,Census!$G30-17)*(INDEX(Decrements!$D$6:$D$58,Census!$G30+D$5-18)+IF(D$5=$B30,INDEX(Decrements!$F$6:$F$58,Census!$G30+D$5-18),0)+INDEX(Decrements!$E$6:$E$58,Census!$G30+D$5-18)*IF((Census!$F30+D$5)&gt;=Assumptions!$B$11,1,0))*MIN(15/26*Census!$D30*(1+Assumptions!$B$9)^D$5*(INT((Census!$F30+D$5))+IF((Census!$F30+D$5)-INT((Census!$F30+D$5))&gt;0.5,1,0)),Assumptions!$B$10))</f>
        <v>10816.099751766968</v>
      </c>
      <c r="E30" s="30">
        <f>IF(E$5&gt;$B30,0,INDEX(Decrements!$G$6:$G$58,Census!$G30+E$5-18)/INDEX(Decrements!$G$6:$G$58,Census!$G30-17)*(INDEX(Decrements!$D$6:$D$58,Census!$G30+E$5-18)+IF(E$5=$B30,INDEX(Decrements!$F$6:$F$58,Census!$G30+E$5-18),0)+INDEX(Decrements!$E$6:$E$58,Census!$G30+E$5-18)*IF((Census!$F30+E$5)&gt;=Assumptions!$B$11,1,0))*MIN(15/26*Census!$D30*(1+Assumptions!$B$9)^E$5*(INT((Census!$F30+E$5))+IF((Census!$F30+E$5)-INT((Census!$F30+E$5))&gt;0.5,1,0)),Assumptions!$B$10))</f>
        <v>12123.264163424845</v>
      </c>
      <c r="F30" s="30">
        <f>IF(F$5&gt;$B30,0,INDEX(Decrements!$G$6:$G$58,Census!$G30+F$5-18)/INDEX(Decrements!$G$6:$G$58,Census!$G30-17)*(INDEX(Decrements!$D$6:$D$58,Census!$G30+F$5-18)+IF(F$5=$B30,INDEX(Decrements!$F$6:$F$58,Census!$G30+F$5-18),0)+INDEX(Decrements!$E$6:$E$58,Census!$G30+F$5-18)*IF((Census!$F30+F$5)&gt;=Assumptions!$B$11,1,0))*MIN(15/26*Census!$D30*(1+Assumptions!$B$9)^F$5*(INT((Census!$F30+F$5))+IF((Census!$F30+F$5)-INT((Census!$F30+F$5))&gt;0.5,1,0)),Assumptions!$B$10))</f>
        <v>13310.971208743535</v>
      </c>
      <c r="G30" s="30">
        <f>IF(G$5&gt;$B30,0,INDEX(Decrements!$G$6:$G$58,Census!$G30+G$5-18)/INDEX(Decrements!$G$6:$G$58,Census!$G30-17)*(INDEX(Decrements!$D$6:$D$58,Census!$G30+G$5-18)+IF(G$5=$B30,INDEX(Decrements!$F$6:$F$58,Census!$G30+G$5-18),0)+INDEX(Decrements!$E$6:$E$58,Census!$G30+G$5-18)*IF((Census!$F30+G$5)&gt;=Assumptions!$B$11,1,0))*MIN(15/26*Census!$D30*(1+Assumptions!$B$9)^G$5*(INT((Census!$F30+G$5))+IF((Census!$F30+G$5)-INT((Census!$F30+G$5))&gt;0.5,1,0)),Assumptions!$B$10))</f>
        <v>10497.939297227997</v>
      </c>
      <c r="H30" s="30">
        <f>IF(H$5&gt;$B30,0,INDEX(Decrements!$G$6:$G$58,Census!$G30+H$5-18)/INDEX(Decrements!$G$6:$G$58,Census!$G30-17)*(INDEX(Decrements!$D$6:$D$58,Census!$G30+H$5-18)+IF(H$5=$B30,INDEX(Decrements!$F$6:$F$58,Census!$G30+H$5-18),0)+INDEX(Decrements!$E$6:$E$58,Census!$G30+H$5-18)*IF((Census!$F30+H$5)&gt;=Assumptions!$B$11,1,0))*MIN(15/26*Census!$D30*(1+Assumptions!$B$9)^H$5*(INT((Census!$F30+H$5))+IF((Census!$F30+H$5)-INT((Census!$F30+H$5))&gt;0.5,1,0)),Assumptions!$B$10))</f>
        <v>11586.015943944505</v>
      </c>
      <c r="I30" s="30">
        <f>IF(I$5&gt;$B30,0,INDEX(Decrements!$G$6:$G$58,Census!$G30+I$5-18)/INDEX(Decrements!$G$6:$G$58,Census!$G30-17)*(INDEX(Decrements!$D$6:$D$58,Census!$G30+I$5-18)+IF(I$5=$B30,INDEX(Decrements!$F$6:$F$58,Census!$G30+I$5-18),0)+INDEX(Decrements!$E$6:$E$58,Census!$G30+I$5-18)*IF((Census!$F30+I$5)&gt;=Assumptions!$B$11,1,0))*MIN(15/26*Census!$D30*(1+Assumptions!$B$9)^I$5*(INT((Census!$F30+I$5))+IF((Census!$F30+I$5)-INT((Census!$F30+I$5))&gt;0.5,1,0)),Assumptions!$B$10))</f>
        <v>12659.093494381765</v>
      </c>
      <c r="J30" s="30">
        <f>IF(J$5&gt;$B30,0,INDEX(Decrements!$G$6:$G$58,Census!$G30+J$5-18)/INDEX(Decrements!$G$6:$G$58,Census!$G30-17)*(INDEX(Decrements!$D$6:$D$58,Census!$G30+J$5-18)+IF(J$5=$B30,INDEX(Decrements!$F$6:$F$58,Census!$G30+J$5-18),0)+INDEX(Decrements!$E$6:$E$58,Census!$G30+J$5-18)*IF((Census!$F30+J$5)&gt;=Assumptions!$B$11,1,0))*MIN(15/26*Census!$D30*(1+Assumptions!$B$9)^J$5*(INT((Census!$F30+J$5))+IF((Census!$F30+J$5)-INT((Census!$F30+J$5))&gt;0.5,1,0)),Assumptions!$B$10))</f>
        <v>13717.357798852789</v>
      </c>
      <c r="K30" s="30">
        <f>IF(K$5&gt;$B30,0,INDEX(Decrements!$G$6:$G$58,Census!$G30+K$5-18)/INDEX(Decrements!$G$6:$G$58,Census!$G30-17)*(INDEX(Decrements!$D$6:$D$58,Census!$G30+K$5-18)+IF(K$5=$B30,INDEX(Decrements!$F$6:$F$58,Census!$G30+K$5-18),0)+INDEX(Decrements!$E$6:$E$58,Census!$G30+K$5-18)*IF((Census!$F30+K$5)&gt;=Assumptions!$B$11,1,0))*MIN(15/26*Census!$D30*(1+Assumptions!$B$9)^K$5*(INT((Census!$F30+K$5))+IF((Census!$F30+K$5)-INT((Census!$F30+K$5))&gt;0.5,1,0)),Assumptions!$B$10))</f>
        <v>14760.995845296018</v>
      </c>
      <c r="L30" s="30">
        <f>IF(L$5&gt;$B30,0,INDEX(Decrements!$G$6:$G$58,Census!$G30+L$5-18)/INDEX(Decrements!$G$6:$G$58,Census!$G30-17)*(INDEX(Decrements!$D$6:$D$58,Census!$G30+L$5-18)+IF(L$5=$B30,INDEX(Decrements!$F$6:$F$58,Census!$G30+L$5-18),0)+INDEX(Decrements!$E$6:$E$58,Census!$G30+L$5-18)*IF((Census!$F30+L$5)&gt;=Assumptions!$B$11,1,0))*MIN(15/26*Census!$D30*(1+Assumptions!$B$9)^L$5*(INT((Census!$F30+L$5))+IF((Census!$F30+L$5)-INT((Census!$F30+L$5))&gt;0.5,1,0)),Assumptions!$B$10))</f>
        <v>9967.1821292114109</v>
      </c>
      <c r="M30" s="30">
        <f>IF(M$5&gt;$B30,0,INDEX(Decrements!$G$6:$G$58,Census!$G30+M$5-18)/INDEX(Decrements!$G$6:$G$58,Census!$G30-17)*(INDEX(Decrements!$D$6:$D$58,Census!$G30+M$5-18)+IF(M$5=$B30,INDEX(Decrements!$F$6:$F$58,Census!$G30+M$5-18),0)+INDEX(Decrements!$E$6:$E$58,Census!$G30+M$5-18)*IF((Census!$F30+M$5)&gt;=Assumptions!$B$11,1,0))*MIN(15/26*Census!$D30*(1+Assumptions!$B$9)^M$5*(INT((Census!$F30+M$5))+IF((Census!$F30+M$5)-INT((Census!$F30+M$5))&gt;0.5,1,0)),Assumptions!$B$10))</f>
        <v>10961.226622763466</v>
      </c>
      <c r="N30" s="30">
        <f>IF(N$5&gt;$B30,0,INDEX(Decrements!$G$6:$G$58,Census!$G30+N$5-18)/INDEX(Decrements!$G$6:$G$58,Census!$G30-17)*(INDEX(Decrements!$D$6:$D$58,Census!$G30+N$5-18)+IF(N$5=$B30,INDEX(Decrements!$F$6:$F$58,Census!$G30+N$5-18),0)+INDEX(Decrements!$E$6:$E$58,Census!$G30+N$5-18)*IF((Census!$F30+N$5)&gt;=Assumptions!$B$11,1,0))*MIN(15/26*Census!$D30*(1+Assumptions!$B$9)^N$5*(INT((Census!$F30+N$5))+IF((Census!$F30+N$5)-INT((Census!$F30+N$5))&gt;0.5,1,0)),Assumptions!$B$10))</f>
        <v>12001.755726589352</v>
      </c>
      <c r="O30" s="30">
        <f>IF(O$5&gt;$B30,0,INDEX(Decrements!$G$6:$G$58,Census!$G30+O$5-18)/INDEX(Decrements!$G$6:$G$58,Census!$G30-17)*(INDEX(Decrements!$D$6:$D$58,Census!$G30+O$5-18)+IF(O$5=$B30,INDEX(Decrements!$F$6:$F$58,Census!$G30+O$5-18),0)+INDEX(Decrements!$E$6:$E$58,Census!$G30+O$5-18)*IF((Census!$F30+O$5)&gt;=Assumptions!$B$11,1,0))*MIN(15/26*Census!$D30*(1+Assumptions!$B$9)^O$5*(INT((Census!$F30+O$5))+IF((Census!$F30+O$5)-INT((Census!$F30+O$5))&gt;0.5,1,0)),Assumptions!$B$10))</f>
        <v>13090.824208100054</v>
      </c>
      <c r="P30" s="30">
        <f>IF(P$5&gt;$B30,0,INDEX(Decrements!$G$6:$G$58,Census!$G30+P$5-18)/INDEX(Decrements!$G$6:$G$58,Census!$G30-17)*(INDEX(Decrements!$D$6:$D$58,Census!$G30+P$5-18)+IF(P$5=$B30,INDEX(Decrements!$F$6:$F$58,Census!$G30+P$5-18),0)+INDEX(Decrements!$E$6:$E$58,Census!$G30+P$5-18)*IF((Census!$F30+P$5)&gt;=Assumptions!$B$11,1,0))*MIN(15/26*Census!$D30*(1+Assumptions!$B$9)^P$5*(INT((Census!$F30+P$5))+IF((Census!$F30+P$5)-INT((Census!$F30+P$5))&gt;0.5,1,0)),Assumptions!$B$10))</f>
        <v>14230.607653483581</v>
      </c>
      <c r="Q30" s="30">
        <f>IF(Q$5&gt;$B30,0,INDEX(Decrements!$G$6:$G$58,Census!$G30+Q$5-18)/INDEX(Decrements!$G$6:$G$58,Census!$G30-17)*(INDEX(Decrements!$D$6:$D$58,Census!$G30+Q$5-18)+IF(Q$5=$B30,INDEX(Decrements!$F$6:$F$58,Census!$G30+Q$5-18),0)+INDEX(Decrements!$E$6:$E$58,Census!$G30+Q$5-18)*IF((Census!$F30+Q$5)&gt;=Assumptions!$B$11,1,0))*MIN(15/26*Census!$D30*(1+Assumptions!$B$9)^Q$5*(INT((Census!$F30+Q$5))+IF((Census!$F30+Q$5)-INT((Census!$F30+Q$5))&gt;0.5,1,0)),Assumptions!$B$10))</f>
        <v>9483.4956112464097</v>
      </c>
      <c r="R30" s="30">
        <f>IF(R$5&gt;$B30,0,INDEX(Decrements!$G$6:$G$58,Census!$G30+R$5-18)/INDEX(Decrements!$G$6:$G$58,Census!$G30-17)*(INDEX(Decrements!$D$6:$D$58,Census!$G30+R$5-18)+IF(R$5=$B30,INDEX(Decrements!$F$6:$F$58,Census!$G30+R$5-18),0)+INDEX(Decrements!$E$6:$E$58,Census!$G30+R$5-18)*IF((Census!$F30+R$5)&gt;=Assumptions!$B$11,1,0))*MIN(15/26*Census!$D30*(1+Assumptions!$B$9)^R$5*(INT((Census!$F30+R$5))+IF((Census!$F30+R$5)-INT((Census!$F30+R$5))&gt;0.5,1,0)),Assumptions!$B$10))</f>
        <v>10486.134282535708</v>
      </c>
      <c r="S30" s="30">
        <f>IF(S$5&gt;$B30,0,INDEX(Decrements!$G$6:$G$58,Census!$G30+S$5-18)/INDEX(Decrements!$G$6:$G$58,Census!$G30-17)*(INDEX(Decrements!$D$6:$D$58,Census!$G30+S$5-18)+IF(S$5=$B30,INDEX(Decrements!$F$6:$F$58,Census!$G30+S$5-18),0)+INDEX(Decrements!$E$6:$E$58,Census!$G30+S$5-18)*IF((Census!$F30+S$5)&gt;=Assumptions!$B$11,1,0))*MIN(15/26*Census!$D30*(1+Assumptions!$B$9)^S$5*(INT((Census!$F30+S$5))+IF((Census!$F30+S$5)-INT((Census!$F30+S$5))&gt;0.5,1,0)),Assumptions!$B$10))</f>
        <v>11569.087057563809</v>
      </c>
      <c r="T30" s="30">
        <f>IF(T$5&gt;$B30,0,INDEX(Decrements!$G$6:$G$58,Census!$G30+T$5-18)/INDEX(Decrements!$G$6:$G$58,Census!$G30-17)*(INDEX(Decrements!$D$6:$D$58,Census!$G30+T$5-18)+IF(T$5=$B30,INDEX(Decrements!$F$6:$F$58,Census!$G30+T$5-18),0)+INDEX(Decrements!$E$6:$E$58,Census!$G30+T$5-18)*IF((Census!$F30+T$5)&gt;=Assumptions!$B$11,1,0))*MIN(15/26*Census!$D30*(1+Assumptions!$B$9)^T$5*(INT((Census!$F30+T$5))+IF((Census!$F30+T$5)-INT((Census!$F30+T$5))&gt;0.5,1,0)),Assumptions!$B$10))</f>
        <v>12738.868220227243</v>
      </c>
      <c r="U30" s="30">
        <f>IF(U$5&gt;$B30,0,INDEX(Decrements!$G$6:$G$58,Census!$G30+U$5-18)/INDEX(Decrements!$G$6:$G$58,Census!$G30-17)*(INDEX(Decrements!$D$6:$D$58,Census!$G30+U$5-18)+IF(U$5=$B30,INDEX(Decrements!$F$6:$F$58,Census!$G30+U$5-18),0)+INDEX(Decrements!$E$6:$E$58,Census!$G30+U$5-18)*IF((Census!$F30+U$5)&gt;=Assumptions!$B$11,1,0))*MIN(15/26*Census!$D30*(1+Assumptions!$B$9)^U$5*(INT((Census!$F30+U$5))+IF((Census!$F30+U$5)-INT((Census!$F30+U$5))&gt;0.5,1,0)),Assumptions!$B$10))</f>
        <v>14002.615340734481</v>
      </c>
      <c r="V30" s="30">
        <f>IF(V$5&gt;$B30,0,INDEX(Decrements!$G$6:$G$58,Census!$G30+V$5-18)/INDEX(Decrements!$G$6:$G$58,Census!$G30-17)*(INDEX(Decrements!$D$6:$D$58,Census!$G30+V$5-18)+IF(V$5=$B30,INDEX(Decrements!$F$6:$F$58,Census!$G30+V$5-18),0)+INDEX(Decrements!$E$6:$E$58,Census!$G30+V$5-18)*IF((Census!$F30+V$5)&gt;=Assumptions!$B$11,1,0))*MIN(15/26*Census!$D30*(1+Assumptions!$B$9)^V$5*(INT((Census!$F30+V$5))+IF((Census!$F30+V$5)-INT((Census!$F30+V$5))&gt;0.5,1,0)),Assumptions!$B$10))</f>
        <v>10692.36072454356</v>
      </c>
      <c r="W30" s="30">
        <f>IF(W$5&gt;$B30,0,INDEX(Decrements!$G$6:$G$58,Census!$G30+W$5-18)/INDEX(Decrements!$G$6:$G$58,Census!$G30-17)*(INDEX(Decrements!$D$6:$D$58,Census!$G30+W$5-18)+IF(W$5=$B30,INDEX(Decrements!$F$6:$F$58,Census!$G30+W$5-18),0)+INDEX(Decrements!$E$6:$E$58,Census!$G30+W$5-18)*IF((Census!$F30+W$5)&gt;=Assumptions!$B$11,1,0))*MIN(15/26*Census!$D30*(1+Assumptions!$B$9)^W$5*(INT((Census!$F30+W$5))+IF((Census!$F30+W$5)-INT((Census!$F30+W$5))&gt;0.5,1,0)),Assumptions!$B$10))</f>
        <v>11878.698162832581</v>
      </c>
      <c r="X30" s="30">
        <f>IF(X$5&gt;$B30,0,INDEX(Decrements!$G$6:$G$58,Census!$G30+X$5-18)/INDEX(Decrements!$G$6:$G$58,Census!$G30-17)*(INDEX(Decrements!$D$6:$D$58,Census!$G30+X$5-18)+IF(X$5=$B30,INDEX(Decrements!$F$6:$F$58,Census!$G30+X$5-18),0)+INDEX(Decrements!$E$6:$E$58,Census!$G30+X$5-18)*IF((Census!$F30+X$5)&gt;=Assumptions!$B$11,1,0))*MIN(15/26*Census!$D30*(1+Assumptions!$B$9)^X$5*(INT((Census!$F30+X$5))+IF((Census!$F30+X$5)-INT((Census!$F30+X$5))&gt;0.5,1,0)),Assumptions!$B$10))</f>
        <v>11888.004047956949</v>
      </c>
      <c r="Y30" s="30">
        <f>IF(Y$5&gt;$B30,0,INDEX(Decrements!$G$6:$G$58,Census!$G30+Y$5-18)/INDEX(Decrements!$G$6:$G$58,Census!$G30-17)*(INDEX(Decrements!$D$6:$D$58,Census!$G30+Y$5-18)+IF(Y$5=$B30,INDEX(Decrements!$F$6:$F$58,Census!$G30+Y$5-18),0)+INDEX(Decrements!$E$6:$E$58,Census!$G30+Y$5-18)*IF((Census!$F30+Y$5)&gt;=Assumptions!$B$11,1,0))*MIN(15/26*Census!$D30*(1+Assumptions!$B$9)^Y$5*(INT((Census!$F30+Y$5))+IF((Census!$F30+Y$5)-INT((Census!$F30+Y$5))&gt;0.5,1,0)),Assumptions!$B$10))</f>
        <v>11755.927711770048</v>
      </c>
      <c r="Z30" s="30">
        <f>IF(Z$5&gt;$B30,0,INDEX(Decrements!$G$6:$G$58,Census!$G30+Z$5-18)/INDEX(Decrements!$G$6:$G$58,Census!$G30-17)*(INDEX(Decrements!$D$6:$D$58,Census!$G30+Z$5-18)+IF(Z$5=$B30,INDEX(Decrements!$F$6:$F$58,Census!$G30+Z$5-18),0)+INDEX(Decrements!$E$6:$E$58,Census!$G30+Z$5-18)*IF((Census!$F30+Z$5)&gt;=Assumptions!$B$11,1,0))*MIN(15/26*Census!$D30*(1+Assumptions!$B$9)^Z$5*(INT((Census!$F30+Z$5))+IF((Census!$F30+Z$5)-INT((Census!$F30+Z$5))&gt;0.5,1,0)),Assumptions!$B$10))</f>
        <v>11634.195386758987</v>
      </c>
      <c r="AA30" s="30">
        <f>IF(AA$5&gt;$B30,0,INDEX(Decrements!$G$6:$G$58,Census!$G30+AA$5-18)/INDEX(Decrements!$G$6:$G$58,Census!$G30-17)*(INDEX(Decrements!$D$6:$D$58,Census!$G30+AA$5-18)+IF(AA$5=$B30,INDEX(Decrements!$F$6:$F$58,Census!$G30+AA$5-18),0)+INDEX(Decrements!$E$6:$E$58,Census!$G30+AA$5-18)*IF((Census!$F30+AA$5)&gt;=Assumptions!$B$11,1,0))*MIN(15/26*Census!$D30*(1+Assumptions!$B$9)^AA$5*(INT((Census!$F30+AA$5))+IF((Census!$F30+AA$5)-INT((Census!$F30+AA$5))&gt;0.5,1,0)),Assumptions!$B$10))</f>
        <v>6795.9783911832601</v>
      </c>
      <c r="AB30" s="30">
        <f>IF(AB$5&gt;$B30,0,INDEX(Decrements!$G$6:$G$58,Census!$G30+AB$5-18)/INDEX(Decrements!$G$6:$G$58,Census!$G30-17)*(INDEX(Decrements!$D$6:$D$58,Census!$G30+AB$5-18)+IF(AB$5=$B30,INDEX(Decrements!$F$6:$F$58,Census!$G30+AB$5-18),0)+INDEX(Decrements!$E$6:$E$58,Census!$G30+AB$5-18)*IF((Census!$F30+AB$5)&gt;=Assumptions!$B$11,1,0))*MIN(15/26*Census!$D30*(1+Assumptions!$B$9)^AB$5*(INT((Census!$F30+AB$5))+IF((Census!$F30+AB$5)-INT((Census!$F30+AB$5))&gt;0.5,1,0)),Assumptions!$B$10))</f>
        <v>6881.6639747094532</v>
      </c>
      <c r="AC30" s="30">
        <f>IF(AC$5&gt;$B30,0,INDEX(Decrements!$G$6:$G$58,Census!$G30+AC$5-18)/INDEX(Decrements!$G$6:$G$58,Census!$G30-17)*(INDEX(Decrements!$D$6:$D$58,Census!$G30+AC$5-18)+IF(AC$5=$B30,INDEX(Decrements!$F$6:$F$58,Census!$G30+AC$5-18),0)+INDEX(Decrements!$E$6:$E$58,Census!$G30+AC$5-18)*IF((Census!$F30+AC$5)&gt;=Assumptions!$B$11,1,0))*MIN(15/26*Census!$D30*(1+Assumptions!$B$9)^AC$5*(INT((Census!$F30+AC$5))+IF((Census!$F30+AC$5)-INT((Census!$F30+AC$5))&gt;0.5,1,0)),Assumptions!$B$10))</f>
        <v>6978.6868065543758</v>
      </c>
      <c r="AD30" s="30">
        <f>IF(AD$5&gt;$B30,0,INDEX(Decrements!$G$6:$G$58,Census!$G30+AD$5-18)/INDEX(Decrements!$G$6:$G$58,Census!$G30-17)*(INDEX(Decrements!$D$6:$D$58,Census!$G30+AD$5-18)+IF(AD$5=$B30,INDEX(Decrements!$F$6:$F$58,Census!$G30+AD$5-18),0)+INDEX(Decrements!$E$6:$E$58,Census!$G30+AD$5-18)*IF((Census!$F30+AD$5)&gt;=Assumptions!$B$11,1,0))*MIN(15/26*Census!$D30*(1+Assumptions!$B$9)^AD$5*(INT((Census!$F30+AD$5))+IF((Census!$F30+AD$5)-INT((Census!$F30+AD$5))&gt;0.5,1,0)),Assumptions!$B$10))</f>
        <v>7087.7063039499853</v>
      </c>
      <c r="AE30" s="30">
        <f>IF(AE$5&gt;$B30,0,INDEX(Decrements!$G$6:$G$58,Census!$G30+AE$5-18)/INDEX(Decrements!$G$6:$G$58,Census!$G30-17)*(INDEX(Decrements!$D$6:$D$58,Census!$G30+AE$5-18)+IF(AE$5=$B30,INDEX(Decrements!$F$6:$F$58,Census!$G30+AE$5-18),0)+INDEX(Decrements!$E$6:$E$58,Census!$G30+AE$5-18)*IF((Census!$F30+AE$5)&gt;=Assumptions!$B$11,1,0))*MIN(15/26*Census!$D30*(1+Assumptions!$B$9)^AE$5*(INT((Census!$F30+AE$5))+IF((Census!$F30+AE$5)-INT((Census!$F30+AE$5))&gt;0.5,1,0)),Assumptions!$B$10))</f>
        <v>447029.76204775361</v>
      </c>
      <c r="AF30" s="30">
        <f>IF(AF$5&gt;$B30,0,INDEX(Decrements!$G$6:$G$58,Census!$G30+AF$5-18)/INDEX(Decrements!$G$6:$G$58,Census!$G30-17)*(INDEX(Decrements!$D$6:$D$58,Census!$G30+AF$5-18)+IF(AF$5=$B30,INDEX(Decrements!$F$6:$F$58,Census!$G30+AF$5-18),0)+INDEX(Decrements!$E$6:$E$58,Census!$G30+AF$5-18)*IF((Census!$F30+AF$5)&gt;=Assumptions!$B$11,1,0))*MIN(15/26*Census!$D30*(1+Assumptions!$B$9)^AF$5*(INT((Census!$F30+AF$5))+IF((Census!$F30+AF$5)-INT((Census!$F30+AF$5))&gt;0.5,1,0)),Assumptions!$B$10))</f>
        <v>0</v>
      </c>
      <c r="AG30" s="30">
        <f>IF(AG$5&gt;$B30,0,INDEX(Decrements!$G$6:$G$58,Census!$G30+AG$5-18)/INDEX(Decrements!$G$6:$G$58,Census!$G30-17)*(INDEX(Decrements!$D$6:$D$58,Census!$G30+AG$5-18)+IF(AG$5=$B30,INDEX(Decrements!$F$6:$F$58,Census!$G30+AG$5-18),0)+INDEX(Decrements!$E$6:$E$58,Census!$G30+AG$5-18)*IF((Census!$F30+AG$5)&gt;=Assumptions!$B$11,1,0))*MIN(15/26*Census!$D30*(1+Assumptions!$B$9)^AG$5*(INT((Census!$F30+AG$5))+IF((Census!$F30+AG$5)-INT((Census!$F30+AG$5))&gt;0.5,1,0)),Assumptions!$B$10))</f>
        <v>0</v>
      </c>
      <c r="AH30" s="30">
        <f>IF(AH$5&gt;$B30,0,INDEX(Decrements!$G$6:$G$58,Census!$G30+AH$5-18)/INDEX(Decrements!$G$6:$G$58,Census!$G30-17)*(INDEX(Decrements!$D$6:$D$58,Census!$G30+AH$5-18)+IF(AH$5=$B30,INDEX(Decrements!$F$6:$F$58,Census!$G30+AH$5-18),0)+INDEX(Decrements!$E$6:$E$58,Census!$G30+AH$5-18)*IF((Census!$F30+AH$5)&gt;=Assumptions!$B$11,1,0))*MIN(15/26*Census!$D30*(1+Assumptions!$B$9)^AH$5*(INT((Census!$F30+AH$5))+IF((Census!$F30+AH$5)-INT((Census!$F30+AH$5))&gt;0.5,1,0)),Assumptions!$B$10))</f>
        <v>0</v>
      </c>
      <c r="AI30" s="30">
        <f>IF(AI$5&gt;$B30,0,INDEX(Decrements!$G$6:$G$58,Census!$G30+AI$5-18)/INDEX(Decrements!$G$6:$G$58,Census!$G30-17)*(INDEX(Decrements!$D$6:$D$58,Census!$G30+AI$5-18)+IF(AI$5=$B30,INDEX(Decrements!$F$6:$F$58,Census!$G30+AI$5-18),0)+INDEX(Decrements!$E$6:$E$58,Census!$G30+AI$5-18)*IF((Census!$F30+AI$5)&gt;=Assumptions!$B$11,1,0))*MIN(15/26*Census!$D30*(1+Assumptions!$B$9)^AI$5*(INT((Census!$F30+AI$5))+IF((Census!$F30+AI$5)-INT((Census!$F30+AI$5))&gt;0.5,1,0)),Assumptions!$B$10))</f>
        <v>0</v>
      </c>
      <c r="AJ30" s="30">
        <f>IF(AJ$5&gt;$B30,0,INDEX(Decrements!$G$6:$G$58,Census!$G30+AJ$5-18)/INDEX(Decrements!$G$6:$G$58,Census!$G30-17)*(INDEX(Decrements!$D$6:$D$58,Census!$G30+AJ$5-18)+IF(AJ$5=$B30,INDEX(Decrements!$F$6:$F$58,Census!$G30+AJ$5-18),0)+INDEX(Decrements!$E$6:$E$58,Census!$G30+AJ$5-18)*IF((Census!$F30+AJ$5)&gt;=Assumptions!$B$11,1,0))*MIN(15/26*Census!$D30*(1+Assumptions!$B$9)^AJ$5*(INT((Census!$F30+AJ$5))+IF((Census!$F30+AJ$5)-INT((Census!$F30+AJ$5))&gt;0.5,1,0)),Assumptions!$B$10))</f>
        <v>0</v>
      </c>
      <c r="AK30" s="30">
        <f>IF(AK$5&gt;$B30,0,INDEX(Decrements!$G$6:$G$58,Census!$G30+AK$5-18)/INDEX(Decrements!$G$6:$G$58,Census!$G30-17)*(INDEX(Decrements!$D$6:$D$58,Census!$G30+AK$5-18)+IF(AK$5=$B30,INDEX(Decrements!$F$6:$F$58,Census!$G30+AK$5-18),0)+INDEX(Decrements!$E$6:$E$58,Census!$G30+AK$5-18)*IF((Census!$F30+AK$5)&gt;=Assumptions!$B$11,1,0))*MIN(15/26*Census!$D30*(1+Assumptions!$B$9)^AK$5*(INT((Census!$F30+AK$5))+IF((Census!$F30+AK$5)-INT((Census!$F30+AK$5))&gt;0.5,1,0)),Assumptions!$B$10))</f>
        <v>0</v>
      </c>
      <c r="AL30" s="30">
        <f>IF(AL$5&gt;$B30,0,INDEX(Decrements!$G$6:$G$58,Census!$G30+AL$5-18)/INDEX(Decrements!$G$6:$G$58,Census!$G30-17)*(INDEX(Decrements!$D$6:$D$58,Census!$G30+AL$5-18)+IF(AL$5=$B30,INDEX(Decrements!$F$6:$F$58,Census!$G30+AL$5-18),0)+INDEX(Decrements!$E$6:$E$58,Census!$G30+AL$5-18)*IF((Census!$F30+AL$5)&gt;=Assumptions!$B$11,1,0))*MIN(15/26*Census!$D30*(1+Assumptions!$B$9)^AL$5*(INT((Census!$F30+AL$5))+IF((Census!$F30+AL$5)-INT((Census!$F30+AL$5))&gt;0.5,1,0)),Assumptions!$B$10))</f>
        <v>0</v>
      </c>
      <c r="AM30" s="30">
        <f>IF(AM$5&gt;$B30,0,INDEX(Decrements!$G$6:$G$58,Census!$G30+AM$5-18)/INDEX(Decrements!$G$6:$G$58,Census!$G30-17)*(INDEX(Decrements!$D$6:$D$58,Census!$G30+AM$5-18)+IF(AM$5=$B30,INDEX(Decrements!$F$6:$F$58,Census!$G30+AM$5-18),0)+INDEX(Decrements!$E$6:$E$58,Census!$G30+AM$5-18)*IF((Census!$F30+AM$5)&gt;=Assumptions!$B$11,1,0))*MIN(15/26*Census!$D30*(1+Assumptions!$B$9)^AM$5*(INT((Census!$F30+AM$5))+IF((Census!$F30+AM$5)-INT((Census!$F30+AM$5))&gt;0.5,1,0)),Assumptions!$B$10))</f>
        <v>0</v>
      </c>
      <c r="AN30" s="30">
        <f>IF(AN$5&gt;$B30,0,INDEX(Decrements!$G$6:$G$58,Census!$G30+AN$5-18)/INDEX(Decrements!$G$6:$G$58,Census!$G30-17)*(INDEX(Decrements!$D$6:$D$58,Census!$G30+AN$5-18)+IF(AN$5=$B30,INDEX(Decrements!$F$6:$F$58,Census!$G30+AN$5-18),0)+INDEX(Decrements!$E$6:$E$58,Census!$G30+AN$5-18)*IF((Census!$F30+AN$5)&gt;=Assumptions!$B$11,1,0))*MIN(15/26*Census!$D30*(1+Assumptions!$B$9)^AN$5*(INT((Census!$F30+AN$5))+IF((Census!$F30+AN$5)-INT((Census!$F30+AN$5))&gt;0.5,1,0)),Assumptions!$B$10))</f>
        <v>0</v>
      </c>
      <c r="AO30" s="30">
        <f>IF(AO$5&gt;$B30,0,INDEX(Decrements!$G$6:$G$58,Census!$G30+AO$5-18)/INDEX(Decrements!$G$6:$G$58,Census!$G30-17)*(INDEX(Decrements!$D$6:$D$58,Census!$G30+AO$5-18)+IF(AO$5=$B30,INDEX(Decrements!$F$6:$F$58,Census!$G30+AO$5-18),0)+INDEX(Decrements!$E$6:$E$58,Census!$G30+AO$5-18)*IF((Census!$F30+AO$5)&gt;=Assumptions!$B$11,1,0))*MIN(15/26*Census!$D30*(1+Assumptions!$B$9)^AO$5*(INT((Census!$F30+AO$5))+IF((Census!$F30+AO$5)-INT((Census!$F30+AO$5))&gt;0.5,1,0)),Assumptions!$B$10))</f>
        <v>0</v>
      </c>
      <c r="AP30" s="30">
        <f>IF(AP$5&gt;$B30,0,INDEX(Decrements!$G$6:$G$58,Census!$G30+AP$5-18)/INDEX(Decrements!$G$6:$G$58,Census!$G30-17)*(INDEX(Decrements!$D$6:$D$58,Census!$G30+AP$5-18)+IF(AP$5=$B30,INDEX(Decrements!$F$6:$F$58,Census!$G30+AP$5-18),0)+INDEX(Decrements!$E$6:$E$58,Census!$G30+AP$5-18)*IF((Census!$F30+AP$5)&gt;=Assumptions!$B$11,1,0))*MIN(15/26*Census!$D30*(1+Assumptions!$B$9)^AP$5*(INT((Census!$F30+AP$5))+IF((Census!$F30+AP$5)-INT((Census!$F30+AP$5))&gt;0.5,1,0)),Assumptions!$B$10))</f>
        <v>0</v>
      </c>
      <c r="AQ30" s="30">
        <f>IF(AQ$5&gt;$B30,0,INDEX(Decrements!$G$6:$G$58,Census!$G30+AQ$5-18)/INDEX(Decrements!$G$6:$G$58,Census!$G30-17)*(INDEX(Decrements!$D$6:$D$58,Census!$G30+AQ$5-18)+IF(AQ$5=$B30,INDEX(Decrements!$F$6:$F$58,Census!$G30+AQ$5-18),0)+INDEX(Decrements!$E$6:$E$58,Census!$G30+AQ$5-18)*IF((Census!$F30+AQ$5)&gt;=Assumptions!$B$11,1,0))*MIN(15/26*Census!$D30*(1+Assumptions!$B$9)^AQ$5*(INT((Census!$F30+AQ$5))+IF((Census!$F30+AQ$5)-INT((Census!$F30+AQ$5))&gt;0.5,1,0)),Assumptions!$B$10))</f>
        <v>0</v>
      </c>
      <c r="AR30" s="30">
        <f>IF(AR$5&gt;$B30,0,INDEX(Decrements!$G$6:$G$58,Census!$G30+AR$5-18)/INDEX(Decrements!$G$6:$G$58,Census!$G30-17)*(INDEX(Decrements!$D$6:$D$58,Census!$G30+AR$5-18)+IF(AR$5=$B30,INDEX(Decrements!$F$6:$F$58,Census!$G30+AR$5-18),0)+INDEX(Decrements!$E$6:$E$58,Census!$G30+AR$5-18)*IF((Census!$F30+AR$5)&gt;=Assumptions!$B$11,1,0))*MIN(15/26*Census!$D30*(1+Assumptions!$B$9)^AR$5*(INT((Census!$F30+AR$5))+IF((Census!$F30+AR$5)-INT((Census!$F30+AR$5))&gt;0.5,1,0)),Assumptions!$B$10))</f>
        <v>0</v>
      </c>
      <c r="AS30" s="30">
        <f>IF(AS$5&gt;$B30,0,INDEX(Decrements!$G$6:$G$58,Census!$G30+AS$5-18)/INDEX(Decrements!$G$6:$G$58,Census!$G30-17)*(INDEX(Decrements!$D$6:$D$58,Census!$G30+AS$5-18)+IF(AS$5=$B30,INDEX(Decrements!$F$6:$F$58,Census!$G30+AS$5-18),0)+INDEX(Decrements!$E$6:$E$58,Census!$G30+AS$5-18)*IF((Census!$F30+AS$5)&gt;=Assumptions!$B$11,1,0))*MIN(15/26*Census!$D30*(1+Assumptions!$B$9)^AS$5*(INT((Census!$F30+AS$5))+IF((Census!$F30+AS$5)-INT((Census!$F30+AS$5))&gt;0.5,1,0)),Assumptions!$B$10))</f>
        <v>0</v>
      </c>
      <c r="AT30" s="30">
        <f>IF(AT$5&gt;$B30,0,INDEX(Decrements!$G$6:$G$58,Census!$G30+AT$5-18)/INDEX(Decrements!$G$6:$G$58,Census!$G30-17)*(INDEX(Decrements!$D$6:$D$58,Census!$G30+AT$5-18)+IF(AT$5=$B30,INDEX(Decrements!$F$6:$F$58,Census!$G30+AT$5-18),0)+INDEX(Decrements!$E$6:$E$58,Census!$G30+AT$5-18)*IF((Census!$F30+AT$5)&gt;=Assumptions!$B$11,1,0))*MIN(15/26*Census!$D30*(1+Assumptions!$B$9)^AT$5*(INT((Census!$F30+AT$5))+IF((Census!$F30+AT$5)-INT((Census!$F30+AT$5))&gt;0.5,1,0)),Assumptions!$B$10))</f>
        <v>0</v>
      </c>
      <c r="AU30" s="30">
        <f>IF(AU$5&gt;$B30,0,INDEX(Decrements!$G$6:$G$58,Census!$G30+AU$5-18)/INDEX(Decrements!$G$6:$G$58,Census!$G30-17)*(INDEX(Decrements!$D$6:$D$58,Census!$G30+AU$5-18)+IF(AU$5=$B30,INDEX(Decrements!$F$6:$F$58,Census!$G30+AU$5-18),0)+INDEX(Decrements!$E$6:$E$58,Census!$G30+AU$5-18)*IF((Census!$F30+AU$5)&gt;=Assumptions!$B$11,1,0))*MIN(15/26*Census!$D30*(1+Assumptions!$B$9)^AU$5*(INT((Census!$F30+AU$5))+IF((Census!$F30+AU$5)-INT((Census!$F30+AU$5))&gt;0.5,1,0)),Assumptions!$B$10))</f>
        <v>0</v>
      </c>
    </row>
    <row r="31" spans="1:47" x14ac:dyDescent="0.3">
      <c r="A31" s="10" t="str">
        <f>Census!A31</f>
        <v>E026</v>
      </c>
      <c r="B31" s="29">
        <f>Census!H31</f>
        <v>21</v>
      </c>
      <c r="C31" s="30">
        <f>IF(C$5&gt;$B31,0,INDEX(Decrements!$G$6:$G$58,Census!$G31+C$5-18)/INDEX(Decrements!$G$6:$G$58,Census!$G31-17)*(INDEX(Decrements!$D$6:$D$58,Census!$G31+C$5-18)+IF(C$5=$B31,INDEX(Decrements!$F$6:$F$58,Census!$G31+C$5-18),0)+INDEX(Decrements!$E$6:$E$58,Census!$G31+C$5-18)*IF((Census!$F31+C$5)&gt;=Assumptions!$B$11,1,0))*MIN(15/26*Census!$D31*(1+Assumptions!$B$9)^C$5*(INT((Census!$F31+C$5))+IF((Census!$F31+C$5)-INT((Census!$F31+C$5))&gt;0.5,1,0)),Assumptions!$B$10))</f>
        <v>38412.902703591892</v>
      </c>
      <c r="D31" s="30">
        <f>IF(D$5&gt;$B31,0,INDEX(Decrements!$G$6:$G$58,Census!$G31+D$5-18)/INDEX(Decrements!$G$6:$G$58,Census!$G31-17)*(INDEX(Decrements!$D$6:$D$58,Census!$G31+D$5-18)+IF(D$5=$B31,INDEX(Decrements!$F$6:$F$58,Census!$G31+D$5-18),0)+INDEX(Decrements!$E$6:$E$58,Census!$G31+D$5-18)*IF((Census!$F31+D$5)&gt;=Assumptions!$B$11,1,0))*MIN(15/26*Census!$D31*(1+Assumptions!$B$9)^D$5*(INT((Census!$F31+D$5))+IF((Census!$F31+D$5)-INT((Census!$F31+D$5))&gt;0.5,1,0)),Assumptions!$B$10))</f>
        <v>26092.235236067754</v>
      </c>
      <c r="E31" s="30">
        <f>IF(E$5&gt;$B31,0,INDEX(Decrements!$G$6:$G$58,Census!$G31+E$5-18)/INDEX(Decrements!$G$6:$G$58,Census!$G31-17)*(INDEX(Decrements!$D$6:$D$58,Census!$G31+E$5-18)+IF(E$5=$B31,INDEX(Decrements!$F$6:$F$58,Census!$G31+E$5-18),0)+INDEX(Decrements!$E$6:$E$58,Census!$G31+E$5-18)*IF((Census!$F31+E$5)&gt;=Assumptions!$B$11,1,0))*MIN(15/26*Census!$D31*(1+Assumptions!$B$9)^E$5*(INT((Census!$F31+E$5))+IF((Census!$F31+E$5)-INT((Census!$F31+E$5))&gt;0.5,1,0)),Assumptions!$B$10))</f>
        <v>28841.610532126841</v>
      </c>
      <c r="F31" s="30">
        <f>IF(F$5&gt;$B31,0,INDEX(Decrements!$G$6:$G$58,Census!$G31+F$5-18)/INDEX(Decrements!$G$6:$G$58,Census!$G31-17)*(INDEX(Decrements!$D$6:$D$58,Census!$G31+F$5-18)+IF(F$5=$B31,INDEX(Decrements!$F$6:$F$58,Census!$G31+F$5-18),0)+INDEX(Decrements!$E$6:$E$58,Census!$G31+F$5-18)*IF((Census!$F31+F$5)&gt;=Assumptions!$B$11,1,0))*MIN(15/26*Census!$D31*(1+Assumptions!$B$9)^F$5*(INT((Census!$F31+F$5))+IF((Census!$F31+F$5)-INT((Census!$F31+F$5))&gt;0.5,1,0)),Assumptions!$B$10))</f>
        <v>31720.471501508218</v>
      </c>
      <c r="G31" s="30">
        <f>IF(G$5&gt;$B31,0,INDEX(Decrements!$G$6:$G$58,Census!$G31+G$5-18)/INDEX(Decrements!$G$6:$G$58,Census!$G31-17)*(INDEX(Decrements!$D$6:$D$58,Census!$G31+G$5-18)+IF(G$5=$B31,INDEX(Decrements!$F$6:$F$58,Census!$G31+G$5-18),0)+INDEX(Decrements!$E$6:$E$58,Census!$G31+G$5-18)*IF((Census!$F31+G$5)&gt;=Assumptions!$B$11,1,0))*MIN(15/26*Census!$D31*(1+Assumptions!$B$9)^G$5*(INT((Census!$F31+G$5))+IF((Census!$F31+G$5)-INT((Census!$F31+G$5))&gt;0.5,1,0)),Assumptions!$B$10))</f>
        <v>34734.545993495529</v>
      </c>
      <c r="H31" s="30">
        <f>IF(H$5&gt;$B31,0,INDEX(Decrements!$G$6:$G$58,Census!$G31+H$5-18)/INDEX(Decrements!$G$6:$G$58,Census!$G31-17)*(INDEX(Decrements!$D$6:$D$58,Census!$G31+H$5-18)+IF(H$5=$B31,INDEX(Decrements!$F$6:$F$58,Census!$G31+H$5-18),0)+INDEX(Decrements!$E$6:$E$58,Census!$G31+H$5-18)*IF((Census!$F31+H$5)&gt;=Assumptions!$B$11,1,0))*MIN(15/26*Census!$D31*(1+Assumptions!$B$9)^H$5*(INT((Census!$F31+H$5))+IF((Census!$F31+H$5)-INT((Census!$F31+H$5))&gt;0.5,1,0)),Assumptions!$B$10))</f>
        <v>37889.897971752791</v>
      </c>
      <c r="I31" s="30">
        <f>IF(I$5&gt;$B31,0,INDEX(Decrements!$G$6:$G$58,Census!$G31+I$5-18)/INDEX(Decrements!$G$6:$G$58,Census!$G31-17)*(INDEX(Decrements!$D$6:$D$58,Census!$G31+I$5-18)+IF(I$5=$B31,INDEX(Decrements!$F$6:$F$58,Census!$G31+I$5-18),0)+INDEX(Decrements!$E$6:$E$58,Census!$G31+I$5-18)*IF((Census!$F31+I$5)&gt;=Assumptions!$B$11,1,0))*MIN(15/26*Census!$D31*(1+Assumptions!$B$9)^I$5*(INT((Census!$F31+I$5))+IF((Census!$F31+I$5)-INT((Census!$F31+I$5))&gt;0.5,1,0)),Assumptions!$B$10))</f>
        <v>25328.584878414607</v>
      </c>
      <c r="J31" s="30">
        <f>IF(J$5&gt;$B31,0,INDEX(Decrements!$G$6:$G$58,Census!$G31+J$5-18)/INDEX(Decrements!$G$6:$G$58,Census!$G31-17)*(INDEX(Decrements!$D$6:$D$58,Census!$G31+J$5-18)+IF(J$5=$B31,INDEX(Decrements!$F$6:$F$58,Census!$G31+J$5-18),0)+INDEX(Decrements!$E$6:$E$58,Census!$G31+J$5-18)*IF((Census!$F31+J$5)&gt;=Assumptions!$B$11,1,0))*MIN(15/26*Census!$D31*(1+Assumptions!$B$9)^J$5*(INT((Census!$F31+J$5))+IF((Census!$F31+J$5)-INT((Census!$F31+J$5))&gt;0.5,1,0)),Assumptions!$B$10))</f>
        <v>28084.234756782804</v>
      </c>
      <c r="K31" s="30">
        <f>IF(K$5&gt;$B31,0,INDEX(Decrements!$G$6:$G$58,Census!$G31+K$5-18)/INDEX(Decrements!$G$6:$G$58,Census!$G31-17)*(INDEX(Decrements!$D$6:$D$58,Census!$G31+K$5-18)+IF(K$5=$B31,INDEX(Decrements!$F$6:$F$58,Census!$G31+K$5-18),0)+INDEX(Decrements!$E$6:$E$58,Census!$G31+K$5-18)*IF((Census!$F31+K$5)&gt;=Assumptions!$B$11,1,0))*MIN(15/26*Census!$D31*(1+Assumptions!$B$9)^K$5*(INT((Census!$F31+K$5))+IF((Census!$F31+K$5)-INT((Census!$F31+K$5))&gt;0.5,1,0)),Assumptions!$B$10))</f>
        <v>31062.282461066938</v>
      </c>
      <c r="L31" s="30">
        <f>IF(L$5&gt;$B31,0,INDEX(Decrements!$G$6:$G$58,Census!$G31+L$5-18)/INDEX(Decrements!$G$6:$G$58,Census!$G31-17)*(INDEX(Decrements!$D$6:$D$58,Census!$G31+L$5-18)+IF(L$5=$B31,INDEX(Decrements!$F$6:$F$58,Census!$G31+L$5-18),0)+INDEX(Decrements!$E$6:$E$58,Census!$G31+L$5-18)*IF((Census!$F31+L$5)&gt;=Assumptions!$B$11,1,0))*MIN(15/26*Census!$D31*(1+Assumptions!$B$9)^L$5*(INT((Census!$F31+L$5))+IF((Census!$F31+L$5)-INT((Census!$F31+L$5))&gt;0.5,1,0)),Assumptions!$B$10))</f>
        <v>34280.806712567777</v>
      </c>
      <c r="M31" s="30">
        <f>IF(M$5&gt;$B31,0,INDEX(Decrements!$G$6:$G$58,Census!$G31+M$5-18)/INDEX(Decrements!$G$6:$G$58,Census!$G31-17)*(INDEX(Decrements!$D$6:$D$58,Census!$G31+M$5-18)+IF(M$5=$B31,INDEX(Decrements!$F$6:$F$58,Census!$G31+M$5-18),0)+INDEX(Decrements!$E$6:$E$58,Census!$G31+M$5-18)*IF((Census!$F31+M$5)&gt;=Assumptions!$B$11,1,0))*MIN(15/26*Census!$D31*(1+Assumptions!$B$9)^M$5*(INT((Census!$F31+M$5))+IF((Census!$F31+M$5)-INT((Census!$F31+M$5))&gt;0.5,1,0)),Assumptions!$B$10))</f>
        <v>37759.616776389063</v>
      </c>
      <c r="N31" s="30">
        <f>IF(N$5&gt;$B31,0,INDEX(Decrements!$G$6:$G$58,Census!$G31+N$5-18)/INDEX(Decrements!$G$6:$G$58,Census!$G31-17)*(INDEX(Decrements!$D$6:$D$58,Census!$G31+N$5-18)+IF(N$5=$B31,INDEX(Decrements!$F$6:$F$58,Census!$G31+N$5-18),0)+INDEX(Decrements!$E$6:$E$58,Census!$G31+N$5-18)*IF((Census!$F31+N$5)&gt;=Assumptions!$B$11,1,0))*MIN(15/26*Census!$D31*(1+Assumptions!$B$9)^N$5*(INT((Census!$F31+N$5))+IF((Census!$F31+N$5)-INT((Census!$F31+N$5))&gt;0.5,1,0)),Assumptions!$B$10))</f>
        <v>27315.505595322913</v>
      </c>
      <c r="O31" s="30">
        <f>IF(O$5&gt;$B31,0,INDEX(Decrements!$G$6:$G$58,Census!$G31+O$5-18)/INDEX(Decrements!$G$6:$G$58,Census!$G31-17)*(INDEX(Decrements!$D$6:$D$58,Census!$G31+O$5-18)+IF(O$5=$B31,INDEX(Decrements!$F$6:$F$58,Census!$G31+O$5-18),0)+INDEX(Decrements!$E$6:$E$58,Census!$G31+O$5-18)*IF((Census!$F31+O$5)&gt;=Assumptions!$B$11,1,0))*MIN(15/26*Census!$D31*(1+Assumptions!$B$9)^O$5*(INT((Census!$F31+O$5))+IF((Census!$F31+O$5)-INT((Census!$F31+O$5))&gt;0.5,1,0)),Assumptions!$B$10))</f>
        <v>26974.410733549972</v>
      </c>
      <c r="P31" s="30">
        <f>IF(P$5&gt;$B31,0,INDEX(Decrements!$G$6:$G$58,Census!$G31+P$5-18)/INDEX(Decrements!$G$6:$G$58,Census!$G31-17)*(INDEX(Decrements!$D$6:$D$58,Census!$G31+P$5-18)+IF(P$5=$B31,INDEX(Decrements!$F$6:$F$58,Census!$G31+P$5-18),0)+INDEX(Decrements!$E$6:$E$58,Census!$G31+P$5-18)*IF((Census!$F31+P$5)&gt;=Assumptions!$B$11,1,0))*MIN(15/26*Census!$D31*(1+Assumptions!$B$9)^P$5*(INT((Census!$F31+P$5))+IF((Census!$F31+P$5)-INT((Census!$F31+P$5))&gt;0.5,1,0)),Assumptions!$B$10))</f>
        <v>26655.556671355662</v>
      </c>
      <c r="Q31" s="30">
        <f>IF(Q$5&gt;$B31,0,INDEX(Decrements!$G$6:$G$58,Census!$G31+Q$5-18)/INDEX(Decrements!$G$6:$G$58,Census!$G31-17)*(INDEX(Decrements!$D$6:$D$58,Census!$G31+Q$5-18)+IF(Q$5=$B31,INDEX(Decrements!$F$6:$F$58,Census!$G31+Q$5-18),0)+INDEX(Decrements!$E$6:$E$58,Census!$G31+Q$5-18)*IF((Census!$F31+Q$5)&gt;=Assumptions!$B$11,1,0))*MIN(15/26*Census!$D31*(1+Assumptions!$B$9)^Q$5*(INT((Census!$F31+Q$5))+IF((Census!$F31+Q$5)-INT((Census!$F31+Q$5))&gt;0.5,1,0)),Assumptions!$B$10))</f>
        <v>26359.412066258559</v>
      </c>
      <c r="R31" s="30">
        <f>IF(R$5&gt;$B31,0,INDEX(Decrements!$G$6:$G$58,Census!$G31+R$5-18)/INDEX(Decrements!$G$6:$G$58,Census!$G31-17)*(INDEX(Decrements!$D$6:$D$58,Census!$G31+R$5-18)+IF(R$5=$B31,INDEX(Decrements!$F$6:$F$58,Census!$G31+R$5-18),0)+INDEX(Decrements!$E$6:$E$58,Census!$G31+R$5-18)*IF((Census!$F31+R$5)&gt;=Assumptions!$B$11,1,0))*MIN(15/26*Census!$D31*(1+Assumptions!$B$9)^R$5*(INT((Census!$F31+R$5))+IF((Census!$F31+R$5)-INT((Census!$F31+R$5))&gt;0.5,1,0)),Assumptions!$B$10))</f>
        <v>26086.461041428975</v>
      </c>
      <c r="S31" s="30">
        <f>IF(S$5&gt;$B31,0,INDEX(Decrements!$G$6:$G$58,Census!$G31+S$5-18)/INDEX(Decrements!$G$6:$G$58,Census!$G31-17)*(INDEX(Decrements!$D$6:$D$58,Census!$G31+S$5-18)+IF(S$5=$B31,INDEX(Decrements!$F$6:$F$58,Census!$G31+S$5-18),0)+INDEX(Decrements!$E$6:$E$58,Census!$G31+S$5-18)*IF((Census!$F31+S$5)&gt;=Assumptions!$B$11,1,0))*MIN(15/26*Census!$D31*(1+Assumptions!$B$9)^S$5*(INT((Census!$F31+S$5))+IF((Census!$F31+S$5)-INT((Census!$F31+S$5))&gt;0.5,1,0)),Assumptions!$B$10))</f>
        <v>15238.09938259788</v>
      </c>
      <c r="T31" s="30">
        <f>IF(T$5&gt;$B31,0,INDEX(Decrements!$G$6:$G$58,Census!$G31+T$5-18)/INDEX(Decrements!$G$6:$G$58,Census!$G31-17)*(INDEX(Decrements!$D$6:$D$58,Census!$G31+T$5-18)+IF(T$5=$B31,INDEX(Decrements!$F$6:$F$58,Census!$G31+T$5-18),0)+INDEX(Decrements!$E$6:$E$58,Census!$G31+T$5-18)*IF((Census!$F31+T$5)&gt;=Assumptions!$B$11,1,0))*MIN(15/26*Census!$D31*(1+Assumptions!$B$9)^T$5*(INT((Census!$F31+T$5))+IF((Census!$F31+T$5)-INT((Census!$F31+T$5))&gt;0.5,1,0)),Assumptions!$B$10))</f>
        <v>15430.22557286387</v>
      </c>
      <c r="U31" s="30">
        <f>IF(U$5&gt;$B31,0,INDEX(Decrements!$G$6:$G$58,Census!$G31+U$5-18)/INDEX(Decrements!$G$6:$G$58,Census!$G31-17)*(INDEX(Decrements!$D$6:$D$58,Census!$G31+U$5-18)+IF(U$5=$B31,INDEX(Decrements!$F$6:$F$58,Census!$G31+U$5-18),0)+INDEX(Decrements!$E$6:$E$58,Census!$G31+U$5-18)*IF((Census!$F31+U$5)&gt;=Assumptions!$B$11,1,0))*MIN(15/26*Census!$D31*(1+Assumptions!$B$9)^U$5*(INT((Census!$F31+U$5))+IF((Census!$F31+U$5)-INT((Census!$F31+U$5))&gt;0.5,1,0)),Assumptions!$B$10))</f>
        <v>15647.772402611306</v>
      </c>
      <c r="V31" s="30">
        <f>IF(V$5&gt;$B31,0,INDEX(Decrements!$G$6:$G$58,Census!$G31+V$5-18)/INDEX(Decrements!$G$6:$G$58,Census!$G31-17)*(INDEX(Decrements!$D$6:$D$58,Census!$G31+V$5-18)+IF(V$5=$B31,INDEX(Decrements!$F$6:$F$58,Census!$G31+V$5-18),0)+INDEX(Decrements!$E$6:$E$58,Census!$G31+V$5-18)*IF((Census!$F31+V$5)&gt;=Assumptions!$B$11,1,0))*MIN(15/26*Census!$D31*(1+Assumptions!$B$9)^V$5*(INT((Census!$F31+V$5))+IF((Census!$F31+V$5)-INT((Census!$F31+V$5))&gt;0.5,1,0)),Assumptions!$B$10))</f>
        <v>15892.218432355952</v>
      </c>
      <c r="W31" s="30">
        <f>IF(W$5&gt;$B31,0,INDEX(Decrements!$G$6:$G$58,Census!$G31+W$5-18)/INDEX(Decrements!$G$6:$G$58,Census!$G31-17)*(INDEX(Decrements!$D$6:$D$58,Census!$G31+W$5-18)+IF(W$5=$B31,INDEX(Decrements!$F$6:$F$58,Census!$G31+W$5-18),0)+INDEX(Decrements!$E$6:$E$58,Census!$G31+W$5-18)*IF((Census!$F31+W$5)&gt;=Assumptions!$B$11,1,0))*MIN(15/26*Census!$D31*(1+Assumptions!$B$9)^W$5*(INT((Census!$F31+W$5))+IF((Census!$F31+W$5)-INT((Census!$F31+W$5))&gt;0.5,1,0)),Assumptions!$B$10))</f>
        <v>1002340.4356170596</v>
      </c>
      <c r="X31" s="30">
        <f>IF(X$5&gt;$B31,0,INDEX(Decrements!$G$6:$G$58,Census!$G31+X$5-18)/INDEX(Decrements!$G$6:$G$58,Census!$G31-17)*(INDEX(Decrements!$D$6:$D$58,Census!$G31+X$5-18)+IF(X$5=$B31,INDEX(Decrements!$F$6:$F$58,Census!$G31+X$5-18),0)+INDEX(Decrements!$E$6:$E$58,Census!$G31+X$5-18)*IF((Census!$F31+X$5)&gt;=Assumptions!$B$11,1,0))*MIN(15/26*Census!$D31*(1+Assumptions!$B$9)^X$5*(INT((Census!$F31+X$5))+IF((Census!$F31+X$5)-INT((Census!$F31+X$5))&gt;0.5,1,0)),Assumptions!$B$10))</f>
        <v>0</v>
      </c>
      <c r="Y31" s="30">
        <f>IF(Y$5&gt;$B31,0,INDEX(Decrements!$G$6:$G$58,Census!$G31+Y$5-18)/INDEX(Decrements!$G$6:$G$58,Census!$G31-17)*(INDEX(Decrements!$D$6:$D$58,Census!$G31+Y$5-18)+IF(Y$5=$B31,INDEX(Decrements!$F$6:$F$58,Census!$G31+Y$5-18),0)+INDEX(Decrements!$E$6:$E$58,Census!$G31+Y$5-18)*IF((Census!$F31+Y$5)&gt;=Assumptions!$B$11,1,0))*MIN(15/26*Census!$D31*(1+Assumptions!$B$9)^Y$5*(INT((Census!$F31+Y$5))+IF((Census!$F31+Y$5)-INT((Census!$F31+Y$5))&gt;0.5,1,0)),Assumptions!$B$10))</f>
        <v>0</v>
      </c>
      <c r="Z31" s="30">
        <f>IF(Z$5&gt;$B31,0,INDEX(Decrements!$G$6:$G$58,Census!$G31+Z$5-18)/INDEX(Decrements!$G$6:$G$58,Census!$G31-17)*(INDEX(Decrements!$D$6:$D$58,Census!$G31+Z$5-18)+IF(Z$5=$B31,INDEX(Decrements!$F$6:$F$58,Census!$G31+Z$5-18),0)+INDEX(Decrements!$E$6:$E$58,Census!$G31+Z$5-18)*IF((Census!$F31+Z$5)&gt;=Assumptions!$B$11,1,0))*MIN(15/26*Census!$D31*(1+Assumptions!$B$9)^Z$5*(INT((Census!$F31+Z$5))+IF((Census!$F31+Z$5)-INT((Census!$F31+Z$5))&gt;0.5,1,0)),Assumptions!$B$10))</f>
        <v>0</v>
      </c>
      <c r="AA31" s="30">
        <f>IF(AA$5&gt;$B31,0,INDEX(Decrements!$G$6:$G$58,Census!$G31+AA$5-18)/INDEX(Decrements!$G$6:$G$58,Census!$G31-17)*(INDEX(Decrements!$D$6:$D$58,Census!$G31+AA$5-18)+IF(AA$5=$B31,INDEX(Decrements!$F$6:$F$58,Census!$G31+AA$5-18),0)+INDEX(Decrements!$E$6:$E$58,Census!$G31+AA$5-18)*IF((Census!$F31+AA$5)&gt;=Assumptions!$B$11,1,0))*MIN(15/26*Census!$D31*(1+Assumptions!$B$9)^AA$5*(INT((Census!$F31+AA$5))+IF((Census!$F31+AA$5)-INT((Census!$F31+AA$5))&gt;0.5,1,0)),Assumptions!$B$10))</f>
        <v>0</v>
      </c>
      <c r="AB31" s="30">
        <f>IF(AB$5&gt;$B31,0,INDEX(Decrements!$G$6:$G$58,Census!$G31+AB$5-18)/INDEX(Decrements!$G$6:$G$58,Census!$G31-17)*(INDEX(Decrements!$D$6:$D$58,Census!$G31+AB$5-18)+IF(AB$5=$B31,INDEX(Decrements!$F$6:$F$58,Census!$G31+AB$5-18),0)+INDEX(Decrements!$E$6:$E$58,Census!$G31+AB$5-18)*IF((Census!$F31+AB$5)&gt;=Assumptions!$B$11,1,0))*MIN(15/26*Census!$D31*(1+Assumptions!$B$9)^AB$5*(INT((Census!$F31+AB$5))+IF((Census!$F31+AB$5)-INT((Census!$F31+AB$5))&gt;0.5,1,0)),Assumptions!$B$10))</f>
        <v>0</v>
      </c>
      <c r="AC31" s="30">
        <f>IF(AC$5&gt;$B31,0,INDEX(Decrements!$G$6:$G$58,Census!$G31+AC$5-18)/INDEX(Decrements!$G$6:$G$58,Census!$G31-17)*(INDEX(Decrements!$D$6:$D$58,Census!$G31+AC$5-18)+IF(AC$5=$B31,INDEX(Decrements!$F$6:$F$58,Census!$G31+AC$5-18),0)+INDEX(Decrements!$E$6:$E$58,Census!$G31+AC$5-18)*IF((Census!$F31+AC$5)&gt;=Assumptions!$B$11,1,0))*MIN(15/26*Census!$D31*(1+Assumptions!$B$9)^AC$5*(INT((Census!$F31+AC$5))+IF((Census!$F31+AC$5)-INT((Census!$F31+AC$5))&gt;0.5,1,0)),Assumptions!$B$10))</f>
        <v>0</v>
      </c>
      <c r="AD31" s="30">
        <f>IF(AD$5&gt;$B31,0,INDEX(Decrements!$G$6:$G$58,Census!$G31+AD$5-18)/INDEX(Decrements!$G$6:$G$58,Census!$G31-17)*(INDEX(Decrements!$D$6:$D$58,Census!$G31+AD$5-18)+IF(AD$5=$B31,INDEX(Decrements!$F$6:$F$58,Census!$G31+AD$5-18),0)+INDEX(Decrements!$E$6:$E$58,Census!$G31+AD$5-18)*IF((Census!$F31+AD$5)&gt;=Assumptions!$B$11,1,0))*MIN(15/26*Census!$D31*(1+Assumptions!$B$9)^AD$5*(INT((Census!$F31+AD$5))+IF((Census!$F31+AD$5)-INT((Census!$F31+AD$5))&gt;0.5,1,0)),Assumptions!$B$10))</f>
        <v>0</v>
      </c>
      <c r="AE31" s="30">
        <f>IF(AE$5&gt;$B31,0,INDEX(Decrements!$G$6:$G$58,Census!$G31+AE$5-18)/INDEX(Decrements!$G$6:$G$58,Census!$G31-17)*(INDEX(Decrements!$D$6:$D$58,Census!$G31+AE$5-18)+IF(AE$5=$B31,INDEX(Decrements!$F$6:$F$58,Census!$G31+AE$5-18),0)+INDEX(Decrements!$E$6:$E$58,Census!$G31+AE$5-18)*IF((Census!$F31+AE$5)&gt;=Assumptions!$B$11,1,0))*MIN(15/26*Census!$D31*(1+Assumptions!$B$9)^AE$5*(INT((Census!$F31+AE$5))+IF((Census!$F31+AE$5)-INT((Census!$F31+AE$5))&gt;0.5,1,0)),Assumptions!$B$10))</f>
        <v>0</v>
      </c>
      <c r="AF31" s="30">
        <f>IF(AF$5&gt;$B31,0,INDEX(Decrements!$G$6:$G$58,Census!$G31+AF$5-18)/INDEX(Decrements!$G$6:$G$58,Census!$G31-17)*(INDEX(Decrements!$D$6:$D$58,Census!$G31+AF$5-18)+IF(AF$5=$B31,INDEX(Decrements!$F$6:$F$58,Census!$G31+AF$5-18),0)+INDEX(Decrements!$E$6:$E$58,Census!$G31+AF$5-18)*IF((Census!$F31+AF$5)&gt;=Assumptions!$B$11,1,0))*MIN(15/26*Census!$D31*(1+Assumptions!$B$9)^AF$5*(INT((Census!$F31+AF$5))+IF((Census!$F31+AF$5)-INT((Census!$F31+AF$5))&gt;0.5,1,0)),Assumptions!$B$10))</f>
        <v>0</v>
      </c>
      <c r="AG31" s="30">
        <f>IF(AG$5&gt;$B31,0,INDEX(Decrements!$G$6:$G$58,Census!$G31+AG$5-18)/INDEX(Decrements!$G$6:$G$58,Census!$G31-17)*(INDEX(Decrements!$D$6:$D$58,Census!$G31+AG$5-18)+IF(AG$5=$B31,INDEX(Decrements!$F$6:$F$58,Census!$G31+AG$5-18),0)+INDEX(Decrements!$E$6:$E$58,Census!$G31+AG$5-18)*IF((Census!$F31+AG$5)&gt;=Assumptions!$B$11,1,0))*MIN(15/26*Census!$D31*(1+Assumptions!$B$9)^AG$5*(INT((Census!$F31+AG$5))+IF((Census!$F31+AG$5)-INT((Census!$F31+AG$5))&gt;0.5,1,0)),Assumptions!$B$10))</f>
        <v>0</v>
      </c>
      <c r="AH31" s="30">
        <f>IF(AH$5&gt;$B31,0,INDEX(Decrements!$G$6:$G$58,Census!$G31+AH$5-18)/INDEX(Decrements!$G$6:$G$58,Census!$G31-17)*(INDEX(Decrements!$D$6:$D$58,Census!$G31+AH$5-18)+IF(AH$5=$B31,INDEX(Decrements!$F$6:$F$58,Census!$G31+AH$5-18),0)+INDEX(Decrements!$E$6:$E$58,Census!$G31+AH$5-18)*IF((Census!$F31+AH$5)&gt;=Assumptions!$B$11,1,0))*MIN(15/26*Census!$D31*(1+Assumptions!$B$9)^AH$5*(INT((Census!$F31+AH$5))+IF((Census!$F31+AH$5)-INT((Census!$F31+AH$5))&gt;0.5,1,0)),Assumptions!$B$10))</f>
        <v>0</v>
      </c>
      <c r="AI31" s="30">
        <f>IF(AI$5&gt;$B31,0,INDEX(Decrements!$G$6:$G$58,Census!$G31+AI$5-18)/INDEX(Decrements!$G$6:$G$58,Census!$G31-17)*(INDEX(Decrements!$D$6:$D$58,Census!$G31+AI$5-18)+IF(AI$5=$B31,INDEX(Decrements!$F$6:$F$58,Census!$G31+AI$5-18),0)+INDEX(Decrements!$E$6:$E$58,Census!$G31+AI$5-18)*IF((Census!$F31+AI$5)&gt;=Assumptions!$B$11,1,0))*MIN(15/26*Census!$D31*(1+Assumptions!$B$9)^AI$5*(INT((Census!$F31+AI$5))+IF((Census!$F31+AI$5)-INT((Census!$F31+AI$5))&gt;0.5,1,0)),Assumptions!$B$10))</f>
        <v>0</v>
      </c>
      <c r="AJ31" s="30">
        <f>IF(AJ$5&gt;$B31,0,INDEX(Decrements!$G$6:$G$58,Census!$G31+AJ$5-18)/INDEX(Decrements!$G$6:$G$58,Census!$G31-17)*(INDEX(Decrements!$D$6:$D$58,Census!$G31+AJ$5-18)+IF(AJ$5=$B31,INDEX(Decrements!$F$6:$F$58,Census!$G31+AJ$5-18),0)+INDEX(Decrements!$E$6:$E$58,Census!$G31+AJ$5-18)*IF((Census!$F31+AJ$5)&gt;=Assumptions!$B$11,1,0))*MIN(15/26*Census!$D31*(1+Assumptions!$B$9)^AJ$5*(INT((Census!$F31+AJ$5))+IF((Census!$F31+AJ$5)-INT((Census!$F31+AJ$5))&gt;0.5,1,0)),Assumptions!$B$10))</f>
        <v>0</v>
      </c>
      <c r="AK31" s="30">
        <f>IF(AK$5&gt;$B31,0,INDEX(Decrements!$G$6:$G$58,Census!$G31+AK$5-18)/INDEX(Decrements!$G$6:$G$58,Census!$G31-17)*(INDEX(Decrements!$D$6:$D$58,Census!$G31+AK$5-18)+IF(AK$5=$B31,INDEX(Decrements!$F$6:$F$58,Census!$G31+AK$5-18),0)+INDEX(Decrements!$E$6:$E$58,Census!$G31+AK$5-18)*IF((Census!$F31+AK$5)&gt;=Assumptions!$B$11,1,0))*MIN(15/26*Census!$D31*(1+Assumptions!$B$9)^AK$5*(INT((Census!$F31+AK$5))+IF((Census!$F31+AK$5)-INT((Census!$F31+AK$5))&gt;0.5,1,0)),Assumptions!$B$10))</f>
        <v>0</v>
      </c>
      <c r="AL31" s="30">
        <f>IF(AL$5&gt;$B31,0,INDEX(Decrements!$G$6:$G$58,Census!$G31+AL$5-18)/INDEX(Decrements!$G$6:$G$58,Census!$G31-17)*(INDEX(Decrements!$D$6:$D$58,Census!$G31+AL$5-18)+IF(AL$5=$B31,INDEX(Decrements!$F$6:$F$58,Census!$G31+AL$5-18),0)+INDEX(Decrements!$E$6:$E$58,Census!$G31+AL$5-18)*IF((Census!$F31+AL$5)&gt;=Assumptions!$B$11,1,0))*MIN(15/26*Census!$D31*(1+Assumptions!$B$9)^AL$5*(INT((Census!$F31+AL$5))+IF((Census!$F31+AL$5)-INT((Census!$F31+AL$5))&gt;0.5,1,0)),Assumptions!$B$10))</f>
        <v>0</v>
      </c>
      <c r="AM31" s="30">
        <f>IF(AM$5&gt;$B31,0,INDEX(Decrements!$G$6:$G$58,Census!$G31+AM$5-18)/INDEX(Decrements!$G$6:$G$58,Census!$G31-17)*(INDEX(Decrements!$D$6:$D$58,Census!$G31+AM$5-18)+IF(AM$5=$B31,INDEX(Decrements!$F$6:$F$58,Census!$G31+AM$5-18),0)+INDEX(Decrements!$E$6:$E$58,Census!$G31+AM$5-18)*IF((Census!$F31+AM$5)&gt;=Assumptions!$B$11,1,0))*MIN(15/26*Census!$D31*(1+Assumptions!$B$9)^AM$5*(INT((Census!$F31+AM$5))+IF((Census!$F31+AM$5)-INT((Census!$F31+AM$5))&gt;0.5,1,0)),Assumptions!$B$10))</f>
        <v>0</v>
      </c>
      <c r="AN31" s="30">
        <f>IF(AN$5&gt;$B31,0,INDEX(Decrements!$G$6:$G$58,Census!$G31+AN$5-18)/INDEX(Decrements!$G$6:$G$58,Census!$G31-17)*(INDEX(Decrements!$D$6:$D$58,Census!$G31+AN$5-18)+IF(AN$5=$B31,INDEX(Decrements!$F$6:$F$58,Census!$G31+AN$5-18),0)+INDEX(Decrements!$E$6:$E$58,Census!$G31+AN$5-18)*IF((Census!$F31+AN$5)&gt;=Assumptions!$B$11,1,0))*MIN(15/26*Census!$D31*(1+Assumptions!$B$9)^AN$5*(INT((Census!$F31+AN$5))+IF((Census!$F31+AN$5)-INT((Census!$F31+AN$5))&gt;0.5,1,0)),Assumptions!$B$10))</f>
        <v>0</v>
      </c>
      <c r="AO31" s="30">
        <f>IF(AO$5&gt;$B31,0,INDEX(Decrements!$G$6:$G$58,Census!$G31+AO$5-18)/INDEX(Decrements!$G$6:$G$58,Census!$G31-17)*(INDEX(Decrements!$D$6:$D$58,Census!$G31+AO$5-18)+IF(AO$5=$B31,INDEX(Decrements!$F$6:$F$58,Census!$G31+AO$5-18),0)+INDEX(Decrements!$E$6:$E$58,Census!$G31+AO$5-18)*IF((Census!$F31+AO$5)&gt;=Assumptions!$B$11,1,0))*MIN(15/26*Census!$D31*(1+Assumptions!$B$9)^AO$5*(INT((Census!$F31+AO$5))+IF((Census!$F31+AO$5)-INT((Census!$F31+AO$5))&gt;0.5,1,0)),Assumptions!$B$10))</f>
        <v>0</v>
      </c>
      <c r="AP31" s="30">
        <f>IF(AP$5&gt;$B31,0,INDEX(Decrements!$G$6:$G$58,Census!$G31+AP$5-18)/INDEX(Decrements!$G$6:$G$58,Census!$G31-17)*(INDEX(Decrements!$D$6:$D$58,Census!$G31+AP$5-18)+IF(AP$5=$B31,INDEX(Decrements!$F$6:$F$58,Census!$G31+AP$5-18),0)+INDEX(Decrements!$E$6:$E$58,Census!$G31+AP$5-18)*IF((Census!$F31+AP$5)&gt;=Assumptions!$B$11,1,0))*MIN(15/26*Census!$D31*(1+Assumptions!$B$9)^AP$5*(INT((Census!$F31+AP$5))+IF((Census!$F31+AP$5)-INT((Census!$F31+AP$5))&gt;0.5,1,0)),Assumptions!$B$10))</f>
        <v>0</v>
      </c>
      <c r="AQ31" s="30">
        <f>IF(AQ$5&gt;$B31,0,INDEX(Decrements!$G$6:$G$58,Census!$G31+AQ$5-18)/INDEX(Decrements!$G$6:$G$58,Census!$G31-17)*(INDEX(Decrements!$D$6:$D$58,Census!$G31+AQ$5-18)+IF(AQ$5=$B31,INDEX(Decrements!$F$6:$F$58,Census!$G31+AQ$5-18),0)+INDEX(Decrements!$E$6:$E$58,Census!$G31+AQ$5-18)*IF((Census!$F31+AQ$5)&gt;=Assumptions!$B$11,1,0))*MIN(15/26*Census!$D31*(1+Assumptions!$B$9)^AQ$5*(INT((Census!$F31+AQ$5))+IF((Census!$F31+AQ$5)-INT((Census!$F31+AQ$5))&gt;0.5,1,0)),Assumptions!$B$10))</f>
        <v>0</v>
      </c>
      <c r="AR31" s="30">
        <f>IF(AR$5&gt;$B31,0,INDEX(Decrements!$G$6:$G$58,Census!$G31+AR$5-18)/INDEX(Decrements!$G$6:$G$58,Census!$G31-17)*(INDEX(Decrements!$D$6:$D$58,Census!$G31+AR$5-18)+IF(AR$5=$B31,INDEX(Decrements!$F$6:$F$58,Census!$G31+AR$5-18),0)+INDEX(Decrements!$E$6:$E$58,Census!$G31+AR$5-18)*IF((Census!$F31+AR$5)&gt;=Assumptions!$B$11,1,0))*MIN(15/26*Census!$D31*(1+Assumptions!$B$9)^AR$5*(INT((Census!$F31+AR$5))+IF((Census!$F31+AR$5)-INT((Census!$F31+AR$5))&gt;0.5,1,0)),Assumptions!$B$10))</f>
        <v>0</v>
      </c>
      <c r="AS31" s="30">
        <f>IF(AS$5&gt;$B31,0,INDEX(Decrements!$G$6:$G$58,Census!$G31+AS$5-18)/INDEX(Decrements!$G$6:$G$58,Census!$G31-17)*(INDEX(Decrements!$D$6:$D$58,Census!$G31+AS$5-18)+IF(AS$5=$B31,INDEX(Decrements!$F$6:$F$58,Census!$G31+AS$5-18),0)+INDEX(Decrements!$E$6:$E$58,Census!$G31+AS$5-18)*IF((Census!$F31+AS$5)&gt;=Assumptions!$B$11,1,0))*MIN(15/26*Census!$D31*(1+Assumptions!$B$9)^AS$5*(INT((Census!$F31+AS$5))+IF((Census!$F31+AS$5)-INT((Census!$F31+AS$5))&gt;0.5,1,0)),Assumptions!$B$10))</f>
        <v>0</v>
      </c>
      <c r="AT31" s="30">
        <f>IF(AT$5&gt;$B31,0,INDEX(Decrements!$G$6:$G$58,Census!$G31+AT$5-18)/INDEX(Decrements!$G$6:$G$58,Census!$G31-17)*(INDEX(Decrements!$D$6:$D$58,Census!$G31+AT$5-18)+IF(AT$5=$B31,INDEX(Decrements!$F$6:$F$58,Census!$G31+AT$5-18),0)+INDEX(Decrements!$E$6:$E$58,Census!$G31+AT$5-18)*IF((Census!$F31+AT$5)&gt;=Assumptions!$B$11,1,0))*MIN(15/26*Census!$D31*(1+Assumptions!$B$9)^AT$5*(INT((Census!$F31+AT$5))+IF((Census!$F31+AT$5)-INT((Census!$F31+AT$5))&gt;0.5,1,0)),Assumptions!$B$10))</f>
        <v>0</v>
      </c>
      <c r="AU31" s="30">
        <f>IF(AU$5&gt;$B31,0,INDEX(Decrements!$G$6:$G$58,Census!$G31+AU$5-18)/INDEX(Decrements!$G$6:$G$58,Census!$G31-17)*(INDEX(Decrements!$D$6:$D$58,Census!$G31+AU$5-18)+IF(AU$5=$B31,INDEX(Decrements!$F$6:$F$58,Census!$G31+AU$5-18),0)+INDEX(Decrements!$E$6:$E$58,Census!$G31+AU$5-18)*IF((Census!$F31+AU$5)&gt;=Assumptions!$B$11,1,0))*MIN(15/26*Census!$D31*(1+Assumptions!$B$9)^AU$5*(INT((Census!$F31+AU$5))+IF((Census!$F31+AU$5)-INT((Census!$F31+AU$5))&gt;0.5,1,0)),Assumptions!$B$10))</f>
        <v>0</v>
      </c>
    </row>
    <row r="32" spans="1:47" x14ac:dyDescent="0.3">
      <c r="A32" s="10" t="str">
        <f>Census!A32</f>
        <v>E027</v>
      </c>
      <c r="B32" s="29">
        <f>Census!H32</f>
        <v>22</v>
      </c>
      <c r="C32" s="30">
        <f>IF(C$5&gt;$B32,0,INDEX(Decrements!$G$6:$G$58,Census!$G32+C$5-18)/INDEX(Decrements!$G$6:$G$58,Census!$G32-17)*(INDEX(Decrements!$D$6:$D$58,Census!$G32+C$5-18)+IF(C$5=$B32,INDEX(Decrements!$F$6:$F$58,Census!$G32+C$5-18),0)+INDEX(Decrements!$E$6:$E$58,Census!$G32+C$5-18)*IF((Census!$F32+C$5)&gt;=Assumptions!$B$11,1,0))*MIN(15/26*Census!$D32*(1+Assumptions!$B$9)^C$5*(INT((Census!$F32+C$5))+IF((Census!$F32+C$5)-INT((Census!$F32+C$5))&gt;0.5,1,0)),Assumptions!$B$10))</f>
        <v>113.33296718584673</v>
      </c>
      <c r="D32" s="30">
        <f>IF(D$5&gt;$B32,0,INDEX(Decrements!$G$6:$G$58,Census!$G32+D$5-18)/INDEX(Decrements!$G$6:$G$58,Census!$G32-17)*(INDEX(Decrements!$D$6:$D$58,Census!$G32+D$5-18)+IF(D$5=$B32,INDEX(Decrements!$F$6:$F$58,Census!$G32+D$5-18),0)+INDEX(Decrements!$E$6:$E$58,Census!$G32+D$5-18)*IF((Census!$F32+D$5)&gt;=Assumptions!$B$11,1,0))*MIN(15/26*Census!$D32*(1+Assumptions!$B$9)^D$5*(INT((Census!$F32+D$5))+IF((Census!$F32+D$5)-INT((Census!$F32+D$5))&gt;0.5,1,0)),Assumptions!$B$10))</f>
        <v>10037.351992760041</v>
      </c>
      <c r="E32" s="30">
        <f>IF(E$5&gt;$B32,0,INDEX(Decrements!$G$6:$G$58,Census!$G32+E$5-18)/INDEX(Decrements!$G$6:$G$58,Census!$G32-17)*(INDEX(Decrements!$D$6:$D$58,Census!$G32+E$5-18)+IF(E$5=$B32,INDEX(Decrements!$F$6:$F$58,Census!$G32+E$5-18),0)+INDEX(Decrements!$E$6:$E$58,Census!$G32+E$5-18)*IF((Census!$F32+E$5)&gt;=Assumptions!$B$11,1,0))*MIN(15/26*Census!$D32*(1+Assumptions!$B$9)^E$5*(INT((Census!$F32+E$5))+IF((Census!$F32+E$5)-INT((Census!$F32+E$5))&gt;0.5,1,0)),Assumptions!$B$10))</f>
        <v>7552.1820996732558</v>
      </c>
      <c r="F32" s="30">
        <f>IF(F$5&gt;$B32,0,INDEX(Decrements!$G$6:$G$58,Census!$G32+F$5-18)/INDEX(Decrements!$G$6:$G$58,Census!$G32-17)*(INDEX(Decrements!$D$6:$D$58,Census!$G32+F$5-18)+IF(F$5=$B32,INDEX(Decrements!$F$6:$F$58,Census!$G32+F$5-18),0)+INDEX(Decrements!$E$6:$E$58,Census!$G32+F$5-18)*IF((Census!$F32+F$5)&gt;=Assumptions!$B$11,1,0))*MIN(15/26*Census!$D32*(1+Assumptions!$B$9)^F$5*(INT((Census!$F32+F$5))+IF((Census!$F32+F$5)-INT((Census!$F32+F$5))&gt;0.5,1,0)),Assumptions!$B$10))</f>
        <v>9043.6299235043007</v>
      </c>
      <c r="G32" s="30">
        <f>IF(G$5&gt;$B32,0,INDEX(Decrements!$G$6:$G$58,Census!$G32+G$5-18)/INDEX(Decrements!$G$6:$G$58,Census!$G32-17)*(INDEX(Decrements!$D$6:$D$58,Census!$G32+G$5-18)+IF(G$5=$B32,INDEX(Decrements!$F$6:$F$58,Census!$G32+G$5-18),0)+INDEX(Decrements!$E$6:$E$58,Census!$G32+G$5-18)*IF((Census!$F32+G$5)&gt;=Assumptions!$B$11,1,0))*MIN(15/26*Census!$D32*(1+Assumptions!$B$9)^G$5*(INT((Census!$F32+G$5))+IF((Census!$F32+G$5)-INT((Census!$F32+G$5))&gt;0.5,1,0)),Assumptions!$B$10))</f>
        <v>10609.419745652031</v>
      </c>
      <c r="H32" s="30">
        <f>IF(H$5&gt;$B32,0,INDEX(Decrements!$G$6:$G$58,Census!$G32+H$5-18)/INDEX(Decrements!$G$6:$G$58,Census!$G32-17)*(INDEX(Decrements!$D$6:$D$58,Census!$G32+H$5-18)+IF(H$5=$B32,INDEX(Decrements!$F$6:$F$58,Census!$G32+H$5-18),0)+INDEX(Decrements!$E$6:$E$58,Census!$G32+H$5-18)*IF((Census!$F32+H$5)&gt;=Assumptions!$B$11,1,0))*MIN(15/26*Census!$D32*(1+Assumptions!$B$9)^H$5*(INT((Census!$F32+H$5))+IF((Census!$F32+H$5)-INT((Census!$F32+H$5))&gt;0.5,1,0)),Assumptions!$B$10))</f>
        <v>12252.858645783012</v>
      </c>
      <c r="I32" s="30">
        <f>IF(I$5&gt;$B32,0,INDEX(Decrements!$G$6:$G$58,Census!$G32+I$5-18)/INDEX(Decrements!$G$6:$G$58,Census!$G32-17)*(INDEX(Decrements!$D$6:$D$58,Census!$G32+I$5-18)+IF(I$5=$B32,INDEX(Decrements!$F$6:$F$58,Census!$G32+I$5-18),0)+INDEX(Decrements!$E$6:$E$58,Census!$G32+I$5-18)*IF((Census!$F32+I$5)&gt;=Assumptions!$B$11,1,0))*MIN(15/26*Census!$D32*(1+Assumptions!$B$9)^I$5*(INT((Census!$F32+I$5))+IF((Census!$F32+I$5)-INT((Census!$F32+I$5))&gt;0.5,1,0)),Assumptions!$B$10))</f>
        <v>13977.44475159576</v>
      </c>
      <c r="J32" s="30">
        <f>IF(J$5&gt;$B32,0,INDEX(Decrements!$G$6:$G$58,Census!$G32+J$5-18)/INDEX(Decrements!$G$6:$G$58,Census!$G32-17)*(INDEX(Decrements!$D$6:$D$58,Census!$G32+J$5-18)+IF(J$5=$B32,INDEX(Decrements!$F$6:$F$58,Census!$G32+J$5-18),0)+INDEX(Decrements!$E$6:$E$58,Census!$G32+J$5-18)*IF((Census!$F32+J$5)&gt;=Assumptions!$B$11,1,0))*MIN(15/26*Census!$D32*(1+Assumptions!$B$9)^J$5*(INT((Census!$F32+J$5))+IF((Census!$F32+J$5)-INT((Census!$F32+J$5))&gt;0.5,1,0)),Assumptions!$B$10))</f>
        <v>9706.9853932981259</v>
      </c>
      <c r="K32" s="30">
        <f>IF(K$5&gt;$B32,0,INDEX(Decrements!$G$6:$G$58,Census!$G32+K$5-18)/INDEX(Decrements!$G$6:$G$58,Census!$G32-17)*(INDEX(Decrements!$D$6:$D$58,Census!$G32+K$5-18)+IF(K$5=$B32,INDEX(Decrements!$F$6:$F$58,Census!$G32+K$5-18),0)+INDEX(Decrements!$E$6:$E$58,Census!$G32+K$5-18)*IF((Census!$F32+K$5)&gt;=Assumptions!$B$11,1,0))*MIN(15/26*Census!$D32*(1+Assumptions!$B$9)^K$5*(INT((Census!$F32+K$5))+IF((Census!$F32+K$5)-INT((Census!$F32+K$5))&gt;0.5,1,0)),Assumptions!$B$10))</f>
        <v>11123.552518192286</v>
      </c>
      <c r="L32" s="30">
        <f>IF(L$5&gt;$B32,0,INDEX(Decrements!$G$6:$G$58,Census!$G32+L$5-18)/INDEX(Decrements!$G$6:$G$58,Census!$G32-17)*(INDEX(Decrements!$D$6:$D$58,Census!$G32+L$5-18)+IF(L$5=$B32,INDEX(Decrements!$F$6:$F$58,Census!$G32+L$5-18),0)+INDEX(Decrements!$E$6:$E$58,Census!$G32+L$5-18)*IF((Census!$F32+L$5)&gt;=Assumptions!$B$11,1,0))*MIN(15/26*Census!$D32*(1+Assumptions!$B$9)^L$5*(INT((Census!$F32+L$5))+IF((Census!$F32+L$5)-INT((Census!$F32+L$5))&gt;0.5,1,0)),Assumptions!$B$10))</f>
        <v>12661.932415238536</v>
      </c>
      <c r="M32" s="30">
        <f>IF(M$5&gt;$B32,0,INDEX(Decrements!$G$6:$G$58,Census!$G32+M$5-18)/INDEX(Decrements!$G$6:$G$58,Census!$G32-17)*(INDEX(Decrements!$D$6:$D$58,Census!$G32+M$5-18)+IF(M$5=$B32,INDEX(Decrements!$F$6:$F$58,Census!$G32+M$5-18),0)+INDEX(Decrements!$E$6:$E$58,Census!$G32+M$5-18)*IF((Census!$F32+M$5)&gt;=Assumptions!$B$11,1,0))*MIN(15/26*Census!$D32*(1+Assumptions!$B$9)^M$5*(INT((Census!$F32+M$5))+IF((Census!$F32+M$5)-INT((Census!$F32+M$5))&gt;0.5,1,0)),Assumptions!$B$10))</f>
        <v>14332.206080854774</v>
      </c>
      <c r="N32" s="30">
        <f>IF(N$5&gt;$B32,0,INDEX(Decrements!$G$6:$G$58,Census!$G32+N$5-18)/INDEX(Decrements!$G$6:$G$58,Census!$G32-17)*(INDEX(Decrements!$D$6:$D$58,Census!$G32+N$5-18)+IF(N$5=$B32,INDEX(Decrements!$F$6:$F$58,Census!$G32+N$5-18),0)+INDEX(Decrements!$E$6:$E$58,Census!$G32+N$5-18)*IF((Census!$F32+N$5)&gt;=Assumptions!$B$11,1,0))*MIN(15/26*Census!$D32*(1+Assumptions!$B$9)^N$5*(INT((Census!$F32+N$5))+IF((Census!$F32+N$5)-INT((Census!$F32+N$5))&gt;0.5,1,0)),Assumptions!$B$10))</f>
        <v>16145.422937647645</v>
      </c>
      <c r="O32" s="30">
        <f>IF(O$5&gt;$B32,0,INDEX(Decrements!$G$6:$G$58,Census!$G32+O$5-18)/INDEX(Decrements!$G$6:$G$58,Census!$G32-17)*(INDEX(Decrements!$D$6:$D$58,Census!$G32+O$5-18)+IF(O$5=$B32,INDEX(Decrements!$F$6:$F$58,Census!$G32+O$5-18),0)+INDEX(Decrements!$E$6:$E$58,Census!$G32+O$5-18)*IF((Census!$F32+O$5)&gt;=Assumptions!$B$11,1,0))*MIN(15/26*Census!$D32*(1+Assumptions!$B$9)^O$5*(INT((Census!$F32+O$5))+IF((Census!$F32+O$5)-INT((Census!$F32+O$5))&gt;0.5,1,0)),Assumptions!$B$10))</f>
        <v>12602.571999504597</v>
      </c>
      <c r="P32" s="30">
        <f>IF(P$5&gt;$B32,0,INDEX(Decrements!$G$6:$G$58,Census!$G32+P$5-18)/INDEX(Decrements!$G$6:$G$58,Census!$G32-17)*(INDEX(Decrements!$D$6:$D$58,Census!$G32+P$5-18)+IF(P$5=$B32,INDEX(Decrements!$F$6:$F$58,Census!$G32+P$5-18),0)+INDEX(Decrements!$E$6:$E$58,Census!$G32+P$5-18)*IF((Census!$F32+P$5)&gt;=Assumptions!$B$11,1,0))*MIN(15/26*Census!$D32*(1+Assumptions!$B$9)^P$5*(INT((Census!$F32+P$5))+IF((Census!$F32+P$5)-INT((Census!$F32+P$5))&gt;0.5,1,0)),Assumptions!$B$10))</f>
        <v>14280.867973723229</v>
      </c>
      <c r="Q32" s="30">
        <f>IF(Q$5&gt;$B32,0,INDEX(Decrements!$G$6:$G$58,Census!$G32+Q$5-18)/INDEX(Decrements!$G$6:$G$58,Census!$G32-17)*(INDEX(Decrements!$D$6:$D$58,Census!$G32+Q$5-18)+IF(Q$5=$B32,INDEX(Decrements!$F$6:$F$58,Census!$G32+Q$5-18),0)+INDEX(Decrements!$E$6:$E$58,Census!$G32+Q$5-18)*IF((Census!$F32+Q$5)&gt;=Assumptions!$B$11,1,0))*MIN(15/26*Census!$D32*(1+Assumptions!$B$9)^Q$5*(INT((Census!$F32+Q$5))+IF((Census!$F32+Q$5)-INT((Census!$F32+Q$5))&gt;0.5,1,0)),Assumptions!$B$10))</f>
        <v>16137.554943683022</v>
      </c>
      <c r="R32" s="30">
        <f>IF(R$5&gt;$B32,0,INDEX(Decrements!$G$6:$G$58,Census!$G32+R$5-18)/INDEX(Decrements!$G$6:$G$58,Census!$G32-17)*(INDEX(Decrements!$D$6:$D$58,Census!$G32+R$5-18)+IF(R$5=$B32,INDEX(Decrements!$F$6:$F$58,Census!$G32+R$5-18),0)+INDEX(Decrements!$E$6:$E$58,Census!$G32+R$5-18)*IF((Census!$F32+R$5)&gt;=Assumptions!$B$11,1,0))*MIN(15/26*Census!$D32*(1+Assumptions!$B$9)^R$5*(INT((Census!$F32+R$5))+IF((Census!$F32+R$5)-INT((Census!$F32+R$5))&gt;0.5,1,0)),Assumptions!$B$10))</f>
        <v>18192.423101554603</v>
      </c>
      <c r="S32" s="30">
        <f>IF(S$5&gt;$B32,0,INDEX(Decrements!$G$6:$G$58,Census!$G32+S$5-18)/INDEX(Decrements!$G$6:$G$58,Census!$G32-17)*(INDEX(Decrements!$D$6:$D$58,Census!$G32+S$5-18)+IF(S$5=$B32,INDEX(Decrements!$F$6:$F$58,Census!$G32+S$5-18),0)+INDEX(Decrements!$E$6:$E$58,Census!$G32+S$5-18)*IF((Census!$F32+S$5)&gt;=Assumptions!$B$11,1,0))*MIN(15/26*Census!$D32*(1+Assumptions!$B$9)^S$5*(INT((Census!$F32+S$5))+IF((Census!$F32+S$5)-INT((Census!$F32+S$5))&gt;0.5,1,0)),Assumptions!$B$10))</f>
        <v>20467.751912977852</v>
      </c>
      <c r="T32" s="30">
        <f>IF(T$5&gt;$B32,0,INDEX(Decrements!$G$6:$G$58,Census!$G32+T$5-18)/INDEX(Decrements!$G$6:$G$58,Census!$G32-17)*(INDEX(Decrements!$D$6:$D$58,Census!$G32+T$5-18)+IF(T$5=$B32,INDEX(Decrements!$F$6:$F$58,Census!$G32+T$5-18),0)+INDEX(Decrements!$E$6:$E$58,Census!$G32+T$5-18)*IF((Census!$F32+T$5)&gt;=Assumptions!$B$11,1,0))*MIN(15/26*Census!$D32*(1+Assumptions!$B$9)^T$5*(INT((Census!$F32+T$5))+IF((Census!$F32+T$5)-INT((Census!$F32+T$5))&gt;0.5,1,0)),Assumptions!$B$10))</f>
        <v>13558.10006923708</v>
      </c>
      <c r="U32" s="30">
        <f>IF(U$5&gt;$B32,0,INDEX(Decrements!$G$6:$G$58,Census!$G32+U$5-18)/INDEX(Decrements!$G$6:$G$58,Census!$G32-17)*(INDEX(Decrements!$D$6:$D$58,Census!$G32+U$5-18)+IF(U$5=$B32,INDEX(Decrements!$F$6:$F$58,Census!$G32+U$5-18),0)+INDEX(Decrements!$E$6:$E$58,Census!$G32+U$5-18)*IF((Census!$F32+U$5)&gt;=Assumptions!$B$11,1,0))*MIN(15/26*Census!$D32*(1+Assumptions!$B$9)^U$5*(INT((Census!$F32+U$5))+IF((Census!$F32+U$5)-INT((Census!$F32+U$5))&gt;0.5,1,0)),Assumptions!$B$10))</f>
        <v>14178.996916781822</v>
      </c>
      <c r="V32" s="30">
        <f>IF(V$5&gt;$B32,0,INDEX(Decrements!$G$6:$G$58,Census!$G32+V$5-18)/INDEX(Decrements!$G$6:$G$58,Census!$G32-17)*(INDEX(Decrements!$D$6:$D$58,Census!$G32+V$5-18)+IF(V$5=$B32,INDEX(Decrements!$F$6:$F$58,Census!$G32+V$5-18),0)+INDEX(Decrements!$E$6:$E$58,Census!$G32+V$5-18)*IF((Census!$F32+V$5)&gt;=Assumptions!$B$11,1,0))*MIN(15/26*Census!$D32*(1+Assumptions!$B$9)^V$5*(INT((Census!$F32+V$5))+IF((Census!$F32+V$5)-INT((Census!$F32+V$5))&gt;0.5,1,0)),Assumptions!$B$10))</f>
        <v>14378.902991626848</v>
      </c>
      <c r="W32" s="30">
        <f>IF(W$5&gt;$B32,0,INDEX(Decrements!$G$6:$G$58,Census!$G32+W$5-18)/INDEX(Decrements!$G$6:$G$58,Census!$G32-17)*(INDEX(Decrements!$D$6:$D$58,Census!$G32+W$5-18)+IF(W$5=$B32,INDEX(Decrements!$F$6:$F$58,Census!$G32+W$5-18),0)+INDEX(Decrements!$E$6:$E$58,Census!$G32+W$5-18)*IF((Census!$F32+W$5)&gt;=Assumptions!$B$11,1,0))*MIN(15/26*Census!$D32*(1+Assumptions!$B$9)^W$5*(INT((Census!$F32+W$5))+IF((Census!$F32+W$5)-INT((Census!$F32+W$5))&gt;0.5,1,0)),Assumptions!$B$10))</f>
        <v>14603.527024872632</v>
      </c>
      <c r="X32" s="30">
        <f>IF(X$5&gt;$B32,0,INDEX(Decrements!$G$6:$G$58,Census!$G32+X$5-18)/INDEX(Decrements!$G$6:$G$58,Census!$G32-17)*(INDEX(Decrements!$D$6:$D$58,Census!$G32+X$5-18)+IF(X$5=$B32,INDEX(Decrements!$F$6:$F$58,Census!$G32+X$5-18),0)+INDEX(Decrements!$E$6:$E$58,Census!$G32+X$5-18)*IF((Census!$F32+X$5)&gt;=Assumptions!$B$11,1,0))*MIN(15/26*Census!$D32*(1+Assumptions!$B$9)^X$5*(INT((Census!$F32+X$5))+IF((Census!$F32+X$5)-INT((Census!$F32+X$5))&gt;0.5,1,0)),Assumptions!$B$10))</f>
        <v>921061.19117105263</v>
      </c>
      <c r="Y32" s="30">
        <f>IF(Y$5&gt;$B32,0,INDEX(Decrements!$G$6:$G$58,Census!$G32+Y$5-18)/INDEX(Decrements!$G$6:$G$58,Census!$G32-17)*(INDEX(Decrements!$D$6:$D$58,Census!$G32+Y$5-18)+IF(Y$5=$B32,INDEX(Decrements!$F$6:$F$58,Census!$G32+Y$5-18),0)+INDEX(Decrements!$E$6:$E$58,Census!$G32+Y$5-18)*IF((Census!$F32+Y$5)&gt;=Assumptions!$B$11,1,0))*MIN(15/26*Census!$D32*(1+Assumptions!$B$9)^Y$5*(INT((Census!$F32+Y$5))+IF((Census!$F32+Y$5)-INT((Census!$F32+Y$5))&gt;0.5,1,0)),Assumptions!$B$10))</f>
        <v>0</v>
      </c>
      <c r="Z32" s="30">
        <f>IF(Z$5&gt;$B32,0,INDEX(Decrements!$G$6:$G$58,Census!$G32+Z$5-18)/INDEX(Decrements!$G$6:$G$58,Census!$G32-17)*(INDEX(Decrements!$D$6:$D$58,Census!$G32+Z$5-18)+IF(Z$5=$B32,INDEX(Decrements!$F$6:$F$58,Census!$G32+Z$5-18),0)+INDEX(Decrements!$E$6:$E$58,Census!$G32+Z$5-18)*IF((Census!$F32+Z$5)&gt;=Assumptions!$B$11,1,0))*MIN(15/26*Census!$D32*(1+Assumptions!$B$9)^Z$5*(INT((Census!$F32+Z$5))+IF((Census!$F32+Z$5)-INT((Census!$F32+Z$5))&gt;0.5,1,0)),Assumptions!$B$10))</f>
        <v>0</v>
      </c>
      <c r="AA32" s="30">
        <f>IF(AA$5&gt;$B32,0,INDEX(Decrements!$G$6:$G$58,Census!$G32+AA$5-18)/INDEX(Decrements!$G$6:$G$58,Census!$G32-17)*(INDEX(Decrements!$D$6:$D$58,Census!$G32+AA$5-18)+IF(AA$5=$B32,INDEX(Decrements!$F$6:$F$58,Census!$G32+AA$5-18),0)+INDEX(Decrements!$E$6:$E$58,Census!$G32+AA$5-18)*IF((Census!$F32+AA$5)&gt;=Assumptions!$B$11,1,0))*MIN(15/26*Census!$D32*(1+Assumptions!$B$9)^AA$5*(INT((Census!$F32+AA$5))+IF((Census!$F32+AA$5)-INT((Census!$F32+AA$5))&gt;0.5,1,0)),Assumptions!$B$10))</f>
        <v>0</v>
      </c>
      <c r="AB32" s="30">
        <f>IF(AB$5&gt;$B32,0,INDEX(Decrements!$G$6:$G$58,Census!$G32+AB$5-18)/INDEX(Decrements!$G$6:$G$58,Census!$G32-17)*(INDEX(Decrements!$D$6:$D$58,Census!$G32+AB$5-18)+IF(AB$5=$B32,INDEX(Decrements!$F$6:$F$58,Census!$G32+AB$5-18),0)+INDEX(Decrements!$E$6:$E$58,Census!$G32+AB$5-18)*IF((Census!$F32+AB$5)&gt;=Assumptions!$B$11,1,0))*MIN(15/26*Census!$D32*(1+Assumptions!$B$9)^AB$5*(INT((Census!$F32+AB$5))+IF((Census!$F32+AB$5)-INT((Census!$F32+AB$5))&gt;0.5,1,0)),Assumptions!$B$10))</f>
        <v>0</v>
      </c>
      <c r="AC32" s="30">
        <f>IF(AC$5&gt;$B32,0,INDEX(Decrements!$G$6:$G$58,Census!$G32+AC$5-18)/INDEX(Decrements!$G$6:$G$58,Census!$G32-17)*(INDEX(Decrements!$D$6:$D$58,Census!$G32+AC$5-18)+IF(AC$5=$B32,INDEX(Decrements!$F$6:$F$58,Census!$G32+AC$5-18),0)+INDEX(Decrements!$E$6:$E$58,Census!$G32+AC$5-18)*IF((Census!$F32+AC$5)&gt;=Assumptions!$B$11,1,0))*MIN(15/26*Census!$D32*(1+Assumptions!$B$9)^AC$5*(INT((Census!$F32+AC$5))+IF((Census!$F32+AC$5)-INT((Census!$F32+AC$5))&gt;0.5,1,0)),Assumptions!$B$10))</f>
        <v>0</v>
      </c>
      <c r="AD32" s="30">
        <f>IF(AD$5&gt;$B32,0,INDEX(Decrements!$G$6:$G$58,Census!$G32+AD$5-18)/INDEX(Decrements!$G$6:$G$58,Census!$G32-17)*(INDEX(Decrements!$D$6:$D$58,Census!$G32+AD$5-18)+IF(AD$5=$B32,INDEX(Decrements!$F$6:$F$58,Census!$G32+AD$5-18),0)+INDEX(Decrements!$E$6:$E$58,Census!$G32+AD$5-18)*IF((Census!$F32+AD$5)&gt;=Assumptions!$B$11,1,0))*MIN(15/26*Census!$D32*(1+Assumptions!$B$9)^AD$5*(INT((Census!$F32+AD$5))+IF((Census!$F32+AD$5)-INT((Census!$F32+AD$5))&gt;0.5,1,0)),Assumptions!$B$10))</f>
        <v>0</v>
      </c>
      <c r="AE32" s="30">
        <f>IF(AE$5&gt;$B32,0,INDEX(Decrements!$G$6:$G$58,Census!$G32+AE$5-18)/INDEX(Decrements!$G$6:$G$58,Census!$G32-17)*(INDEX(Decrements!$D$6:$D$58,Census!$G32+AE$5-18)+IF(AE$5=$B32,INDEX(Decrements!$F$6:$F$58,Census!$G32+AE$5-18),0)+INDEX(Decrements!$E$6:$E$58,Census!$G32+AE$5-18)*IF((Census!$F32+AE$5)&gt;=Assumptions!$B$11,1,0))*MIN(15/26*Census!$D32*(1+Assumptions!$B$9)^AE$5*(INT((Census!$F32+AE$5))+IF((Census!$F32+AE$5)-INT((Census!$F32+AE$5))&gt;0.5,1,0)),Assumptions!$B$10))</f>
        <v>0</v>
      </c>
      <c r="AF32" s="30">
        <f>IF(AF$5&gt;$B32,0,INDEX(Decrements!$G$6:$G$58,Census!$G32+AF$5-18)/INDEX(Decrements!$G$6:$G$58,Census!$G32-17)*(INDEX(Decrements!$D$6:$D$58,Census!$G32+AF$5-18)+IF(AF$5=$B32,INDEX(Decrements!$F$6:$F$58,Census!$G32+AF$5-18),0)+INDEX(Decrements!$E$6:$E$58,Census!$G32+AF$5-18)*IF((Census!$F32+AF$5)&gt;=Assumptions!$B$11,1,0))*MIN(15/26*Census!$D32*(1+Assumptions!$B$9)^AF$5*(INT((Census!$F32+AF$5))+IF((Census!$F32+AF$5)-INT((Census!$F32+AF$5))&gt;0.5,1,0)),Assumptions!$B$10))</f>
        <v>0</v>
      </c>
      <c r="AG32" s="30">
        <f>IF(AG$5&gt;$B32,0,INDEX(Decrements!$G$6:$G$58,Census!$G32+AG$5-18)/INDEX(Decrements!$G$6:$G$58,Census!$G32-17)*(INDEX(Decrements!$D$6:$D$58,Census!$G32+AG$5-18)+IF(AG$5=$B32,INDEX(Decrements!$F$6:$F$58,Census!$G32+AG$5-18),0)+INDEX(Decrements!$E$6:$E$58,Census!$G32+AG$5-18)*IF((Census!$F32+AG$5)&gt;=Assumptions!$B$11,1,0))*MIN(15/26*Census!$D32*(1+Assumptions!$B$9)^AG$5*(INT((Census!$F32+AG$5))+IF((Census!$F32+AG$5)-INT((Census!$F32+AG$5))&gt;0.5,1,0)),Assumptions!$B$10))</f>
        <v>0</v>
      </c>
      <c r="AH32" s="30">
        <f>IF(AH$5&gt;$B32,0,INDEX(Decrements!$G$6:$G$58,Census!$G32+AH$5-18)/INDEX(Decrements!$G$6:$G$58,Census!$G32-17)*(INDEX(Decrements!$D$6:$D$58,Census!$G32+AH$5-18)+IF(AH$5=$B32,INDEX(Decrements!$F$6:$F$58,Census!$G32+AH$5-18),0)+INDEX(Decrements!$E$6:$E$58,Census!$G32+AH$5-18)*IF((Census!$F32+AH$5)&gt;=Assumptions!$B$11,1,0))*MIN(15/26*Census!$D32*(1+Assumptions!$B$9)^AH$5*(INT((Census!$F32+AH$5))+IF((Census!$F32+AH$5)-INT((Census!$F32+AH$5))&gt;0.5,1,0)),Assumptions!$B$10))</f>
        <v>0</v>
      </c>
      <c r="AI32" s="30">
        <f>IF(AI$5&gt;$B32,0,INDEX(Decrements!$G$6:$G$58,Census!$G32+AI$5-18)/INDEX(Decrements!$G$6:$G$58,Census!$G32-17)*(INDEX(Decrements!$D$6:$D$58,Census!$G32+AI$5-18)+IF(AI$5=$B32,INDEX(Decrements!$F$6:$F$58,Census!$G32+AI$5-18),0)+INDEX(Decrements!$E$6:$E$58,Census!$G32+AI$5-18)*IF((Census!$F32+AI$5)&gt;=Assumptions!$B$11,1,0))*MIN(15/26*Census!$D32*(1+Assumptions!$B$9)^AI$5*(INT((Census!$F32+AI$5))+IF((Census!$F32+AI$5)-INT((Census!$F32+AI$5))&gt;0.5,1,0)),Assumptions!$B$10))</f>
        <v>0</v>
      </c>
      <c r="AJ32" s="30">
        <f>IF(AJ$5&gt;$B32,0,INDEX(Decrements!$G$6:$G$58,Census!$G32+AJ$5-18)/INDEX(Decrements!$G$6:$G$58,Census!$G32-17)*(INDEX(Decrements!$D$6:$D$58,Census!$G32+AJ$5-18)+IF(AJ$5=$B32,INDEX(Decrements!$F$6:$F$58,Census!$G32+AJ$5-18),0)+INDEX(Decrements!$E$6:$E$58,Census!$G32+AJ$5-18)*IF((Census!$F32+AJ$5)&gt;=Assumptions!$B$11,1,0))*MIN(15/26*Census!$D32*(1+Assumptions!$B$9)^AJ$5*(INT((Census!$F32+AJ$5))+IF((Census!$F32+AJ$5)-INT((Census!$F32+AJ$5))&gt;0.5,1,0)),Assumptions!$B$10))</f>
        <v>0</v>
      </c>
      <c r="AK32" s="30">
        <f>IF(AK$5&gt;$B32,0,INDEX(Decrements!$G$6:$G$58,Census!$G32+AK$5-18)/INDEX(Decrements!$G$6:$G$58,Census!$G32-17)*(INDEX(Decrements!$D$6:$D$58,Census!$G32+AK$5-18)+IF(AK$5=$B32,INDEX(Decrements!$F$6:$F$58,Census!$G32+AK$5-18),0)+INDEX(Decrements!$E$6:$E$58,Census!$G32+AK$5-18)*IF((Census!$F32+AK$5)&gt;=Assumptions!$B$11,1,0))*MIN(15/26*Census!$D32*(1+Assumptions!$B$9)^AK$5*(INT((Census!$F32+AK$5))+IF((Census!$F32+AK$5)-INT((Census!$F32+AK$5))&gt;0.5,1,0)),Assumptions!$B$10))</f>
        <v>0</v>
      </c>
      <c r="AL32" s="30">
        <f>IF(AL$5&gt;$B32,0,INDEX(Decrements!$G$6:$G$58,Census!$G32+AL$5-18)/INDEX(Decrements!$G$6:$G$58,Census!$G32-17)*(INDEX(Decrements!$D$6:$D$58,Census!$G32+AL$5-18)+IF(AL$5=$B32,INDEX(Decrements!$F$6:$F$58,Census!$G32+AL$5-18),0)+INDEX(Decrements!$E$6:$E$58,Census!$G32+AL$5-18)*IF((Census!$F32+AL$5)&gt;=Assumptions!$B$11,1,0))*MIN(15/26*Census!$D32*(1+Assumptions!$B$9)^AL$5*(INT((Census!$F32+AL$5))+IF((Census!$F32+AL$5)-INT((Census!$F32+AL$5))&gt;0.5,1,0)),Assumptions!$B$10))</f>
        <v>0</v>
      </c>
      <c r="AM32" s="30">
        <f>IF(AM$5&gt;$B32,0,INDEX(Decrements!$G$6:$G$58,Census!$G32+AM$5-18)/INDEX(Decrements!$G$6:$G$58,Census!$G32-17)*(INDEX(Decrements!$D$6:$D$58,Census!$G32+AM$5-18)+IF(AM$5=$B32,INDEX(Decrements!$F$6:$F$58,Census!$G32+AM$5-18),0)+INDEX(Decrements!$E$6:$E$58,Census!$G32+AM$5-18)*IF((Census!$F32+AM$5)&gt;=Assumptions!$B$11,1,0))*MIN(15/26*Census!$D32*(1+Assumptions!$B$9)^AM$5*(INT((Census!$F32+AM$5))+IF((Census!$F32+AM$5)-INT((Census!$F32+AM$5))&gt;0.5,1,0)),Assumptions!$B$10))</f>
        <v>0</v>
      </c>
      <c r="AN32" s="30">
        <f>IF(AN$5&gt;$B32,0,INDEX(Decrements!$G$6:$G$58,Census!$G32+AN$5-18)/INDEX(Decrements!$G$6:$G$58,Census!$G32-17)*(INDEX(Decrements!$D$6:$D$58,Census!$G32+AN$5-18)+IF(AN$5=$B32,INDEX(Decrements!$F$6:$F$58,Census!$G32+AN$5-18),0)+INDEX(Decrements!$E$6:$E$58,Census!$G32+AN$5-18)*IF((Census!$F32+AN$5)&gt;=Assumptions!$B$11,1,0))*MIN(15/26*Census!$D32*(1+Assumptions!$B$9)^AN$5*(INT((Census!$F32+AN$5))+IF((Census!$F32+AN$5)-INT((Census!$F32+AN$5))&gt;0.5,1,0)),Assumptions!$B$10))</f>
        <v>0</v>
      </c>
      <c r="AO32" s="30">
        <f>IF(AO$5&gt;$B32,0,INDEX(Decrements!$G$6:$G$58,Census!$G32+AO$5-18)/INDEX(Decrements!$G$6:$G$58,Census!$G32-17)*(INDEX(Decrements!$D$6:$D$58,Census!$G32+AO$5-18)+IF(AO$5=$B32,INDEX(Decrements!$F$6:$F$58,Census!$G32+AO$5-18),0)+INDEX(Decrements!$E$6:$E$58,Census!$G32+AO$5-18)*IF((Census!$F32+AO$5)&gt;=Assumptions!$B$11,1,0))*MIN(15/26*Census!$D32*(1+Assumptions!$B$9)^AO$5*(INT((Census!$F32+AO$5))+IF((Census!$F32+AO$5)-INT((Census!$F32+AO$5))&gt;0.5,1,0)),Assumptions!$B$10))</f>
        <v>0</v>
      </c>
      <c r="AP32" s="30">
        <f>IF(AP$5&gt;$B32,0,INDEX(Decrements!$G$6:$G$58,Census!$G32+AP$5-18)/INDEX(Decrements!$G$6:$G$58,Census!$G32-17)*(INDEX(Decrements!$D$6:$D$58,Census!$G32+AP$5-18)+IF(AP$5=$B32,INDEX(Decrements!$F$6:$F$58,Census!$G32+AP$5-18),0)+INDEX(Decrements!$E$6:$E$58,Census!$G32+AP$5-18)*IF((Census!$F32+AP$5)&gt;=Assumptions!$B$11,1,0))*MIN(15/26*Census!$D32*(1+Assumptions!$B$9)^AP$5*(INT((Census!$F32+AP$5))+IF((Census!$F32+AP$5)-INT((Census!$F32+AP$5))&gt;0.5,1,0)),Assumptions!$B$10))</f>
        <v>0</v>
      </c>
      <c r="AQ32" s="30">
        <f>IF(AQ$5&gt;$B32,0,INDEX(Decrements!$G$6:$G$58,Census!$G32+AQ$5-18)/INDEX(Decrements!$G$6:$G$58,Census!$G32-17)*(INDEX(Decrements!$D$6:$D$58,Census!$G32+AQ$5-18)+IF(AQ$5=$B32,INDEX(Decrements!$F$6:$F$58,Census!$G32+AQ$5-18),0)+INDEX(Decrements!$E$6:$E$58,Census!$G32+AQ$5-18)*IF((Census!$F32+AQ$5)&gt;=Assumptions!$B$11,1,0))*MIN(15/26*Census!$D32*(1+Assumptions!$B$9)^AQ$5*(INT((Census!$F32+AQ$5))+IF((Census!$F32+AQ$5)-INT((Census!$F32+AQ$5))&gt;0.5,1,0)),Assumptions!$B$10))</f>
        <v>0</v>
      </c>
      <c r="AR32" s="30">
        <f>IF(AR$5&gt;$B32,0,INDEX(Decrements!$G$6:$G$58,Census!$G32+AR$5-18)/INDEX(Decrements!$G$6:$G$58,Census!$G32-17)*(INDEX(Decrements!$D$6:$D$58,Census!$G32+AR$5-18)+IF(AR$5=$B32,INDEX(Decrements!$F$6:$F$58,Census!$G32+AR$5-18),0)+INDEX(Decrements!$E$6:$E$58,Census!$G32+AR$5-18)*IF((Census!$F32+AR$5)&gt;=Assumptions!$B$11,1,0))*MIN(15/26*Census!$D32*(1+Assumptions!$B$9)^AR$5*(INT((Census!$F32+AR$5))+IF((Census!$F32+AR$5)-INT((Census!$F32+AR$5))&gt;0.5,1,0)),Assumptions!$B$10))</f>
        <v>0</v>
      </c>
      <c r="AS32" s="30">
        <f>IF(AS$5&gt;$B32,0,INDEX(Decrements!$G$6:$G$58,Census!$G32+AS$5-18)/INDEX(Decrements!$G$6:$G$58,Census!$G32-17)*(INDEX(Decrements!$D$6:$D$58,Census!$G32+AS$5-18)+IF(AS$5=$B32,INDEX(Decrements!$F$6:$F$58,Census!$G32+AS$5-18),0)+INDEX(Decrements!$E$6:$E$58,Census!$G32+AS$5-18)*IF((Census!$F32+AS$5)&gt;=Assumptions!$B$11,1,0))*MIN(15/26*Census!$D32*(1+Assumptions!$B$9)^AS$5*(INT((Census!$F32+AS$5))+IF((Census!$F32+AS$5)-INT((Census!$F32+AS$5))&gt;0.5,1,0)),Assumptions!$B$10))</f>
        <v>0</v>
      </c>
      <c r="AT32" s="30">
        <f>IF(AT$5&gt;$B32,0,INDEX(Decrements!$G$6:$G$58,Census!$G32+AT$5-18)/INDEX(Decrements!$G$6:$G$58,Census!$G32-17)*(INDEX(Decrements!$D$6:$D$58,Census!$G32+AT$5-18)+IF(AT$5=$B32,INDEX(Decrements!$F$6:$F$58,Census!$G32+AT$5-18),0)+INDEX(Decrements!$E$6:$E$58,Census!$G32+AT$5-18)*IF((Census!$F32+AT$5)&gt;=Assumptions!$B$11,1,0))*MIN(15/26*Census!$D32*(1+Assumptions!$B$9)^AT$5*(INT((Census!$F32+AT$5))+IF((Census!$F32+AT$5)-INT((Census!$F32+AT$5))&gt;0.5,1,0)),Assumptions!$B$10))</f>
        <v>0</v>
      </c>
      <c r="AU32" s="30">
        <f>IF(AU$5&gt;$B32,0,INDEX(Decrements!$G$6:$G$58,Census!$G32+AU$5-18)/INDEX(Decrements!$G$6:$G$58,Census!$G32-17)*(INDEX(Decrements!$D$6:$D$58,Census!$G32+AU$5-18)+IF(AU$5=$B32,INDEX(Decrements!$F$6:$F$58,Census!$G32+AU$5-18),0)+INDEX(Decrements!$E$6:$E$58,Census!$G32+AU$5-18)*IF((Census!$F32+AU$5)&gt;=Assumptions!$B$11,1,0))*MIN(15/26*Census!$D32*(1+Assumptions!$B$9)^AU$5*(INT((Census!$F32+AU$5))+IF((Census!$F32+AU$5)-INT((Census!$F32+AU$5))&gt;0.5,1,0)),Assumptions!$B$10))</f>
        <v>0</v>
      </c>
    </row>
    <row r="33" spans="1:47" x14ac:dyDescent="0.3">
      <c r="A33" s="10" t="str">
        <f>Census!A33</f>
        <v>E028</v>
      </c>
      <c r="B33" s="29">
        <f>Census!H33</f>
        <v>20</v>
      </c>
      <c r="C33" s="30">
        <f>IF(C$5&gt;$B33,0,INDEX(Decrements!$G$6:$G$58,Census!$G33+C$5-18)/INDEX(Decrements!$G$6:$G$58,Census!$G33-17)*(INDEX(Decrements!$D$6:$D$58,Census!$G33+C$5-18)+IF(C$5=$B33,INDEX(Decrements!$F$6:$F$58,Census!$G33+C$5-18),0)+INDEX(Decrements!$E$6:$E$58,Census!$G33+C$5-18)*IF((Census!$F33+C$5)&gt;=Assumptions!$B$11,1,0))*MIN(15/26*Census!$D33*(1+Assumptions!$B$9)^C$5*(INT((Census!$F33+C$5))+IF((Census!$F33+C$5)-INT((Census!$F33+C$5))&gt;0.5,1,0)),Assumptions!$B$10))</f>
        <v>34936.580216601207</v>
      </c>
      <c r="D33" s="30">
        <f>IF(D$5&gt;$B33,0,INDEX(Decrements!$G$6:$G$58,Census!$G33+D$5-18)/INDEX(Decrements!$G$6:$G$58,Census!$G33-17)*(INDEX(Decrements!$D$6:$D$58,Census!$G33+D$5-18)+IF(D$5=$B33,INDEX(Decrements!$F$6:$F$58,Census!$G33+D$5-18),0)+INDEX(Decrements!$E$6:$E$58,Census!$G33+D$5-18)*IF((Census!$F33+D$5)&gt;=Assumptions!$B$11,1,0))*MIN(15/26*Census!$D33*(1+Assumptions!$B$9)^D$5*(INT((Census!$F33+D$5))+IF((Census!$F33+D$5)-INT((Census!$F33+D$5))&gt;0.5,1,0)),Assumptions!$B$10))</f>
        <v>38420.866420830498</v>
      </c>
      <c r="E33" s="30">
        <f>IF(E$5&gt;$B33,0,INDEX(Decrements!$G$6:$G$58,Census!$G33+E$5-18)/INDEX(Decrements!$G$6:$G$58,Census!$G33-17)*(INDEX(Decrements!$D$6:$D$58,Census!$G33+E$5-18)+IF(E$5=$B33,INDEX(Decrements!$F$6:$F$58,Census!$G33+E$5-18),0)+INDEX(Decrements!$E$6:$E$58,Census!$G33+E$5-18)*IF((Census!$F33+E$5)&gt;=Assumptions!$B$11,1,0))*MIN(15/26*Census!$D33*(1+Assumptions!$B$9)^E$5*(INT((Census!$F33+E$5))+IF((Census!$F33+E$5)-INT((Census!$F33+E$5))&gt;0.5,1,0)),Assumptions!$B$10))</f>
        <v>42068.088678060121</v>
      </c>
      <c r="F33" s="30">
        <f>IF(F$5&gt;$B33,0,INDEX(Decrements!$G$6:$G$58,Census!$G33+F$5-18)/INDEX(Decrements!$G$6:$G$58,Census!$G33-17)*(INDEX(Decrements!$D$6:$D$58,Census!$G33+F$5-18)+IF(F$5=$B33,INDEX(Decrements!$F$6:$F$58,Census!$G33+F$5-18),0)+INDEX(Decrements!$E$6:$E$58,Census!$G33+F$5-18)*IF((Census!$F33+F$5)&gt;=Assumptions!$B$11,1,0))*MIN(15/26*Census!$D33*(1+Assumptions!$B$9)^F$5*(INT((Census!$F33+F$5))+IF((Census!$F33+F$5)-INT((Census!$F33+F$5))&gt;0.5,1,0)),Assumptions!$B$10))</f>
        <v>45885.449279323759</v>
      </c>
      <c r="G33" s="30">
        <f>IF(G$5&gt;$B33,0,INDEX(Decrements!$G$6:$G$58,Census!$G33+G$5-18)/INDEX(Decrements!$G$6:$G$58,Census!$G33-17)*(INDEX(Decrements!$D$6:$D$58,Census!$G33+G$5-18)+IF(G$5=$B33,INDEX(Decrements!$F$6:$F$58,Census!$G33+G$5-18),0)+INDEX(Decrements!$E$6:$E$58,Census!$G33+G$5-18)*IF((Census!$F33+G$5)&gt;=Assumptions!$B$11,1,0))*MIN(15/26*Census!$D33*(1+Assumptions!$B$9)^G$5*(INT((Census!$F33+G$5))+IF((Census!$F33+G$5)-INT((Census!$F33+G$5))&gt;0.5,1,0)),Assumptions!$B$10))</f>
        <v>49880.574004946298</v>
      </c>
      <c r="H33" s="30">
        <f>IF(H$5&gt;$B33,0,INDEX(Decrements!$G$6:$G$58,Census!$G33+H$5-18)/INDEX(Decrements!$G$6:$G$58,Census!$G33-17)*(INDEX(Decrements!$D$6:$D$58,Census!$G33+H$5-18)+IF(H$5=$B33,INDEX(Decrements!$F$6:$F$58,Census!$G33+H$5-18),0)+INDEX(Decrements!$E$6:$E$58,Census!$G33+H$5-18)*IF((Census!$F33+H$5)&gt;=Assumptions!$B$11,1,0))*MIN(15/26*Census!$D33*(1+Assumptions!$B$9)^H$5*(INT((Census!$F33+H$5))+IF((Census!$F33+H$5)-INT((Census!$F33+H$5))&gt;0.5,1,0)),Assumptions!$B$10))</f>
        <v>33241.180993881288</v>
      </c>
      <c r="I33" s="30">
        <f>IF(I$5&gt;$B33,0,INDEX(Decrements!$G$6:$G$58,Census!$G33+I$5-18)/INDEX(Decrements!$G$6:$G$58,Census!$G33-17)*(INDEX(Decrements!$D$6:$D$58,Census!$G33+I$5-18)+IF(I$5=$B33,INDEX(Decrements!$F$6:$F$58,Census!$G33+I$5-18),0)+INDEX(Decrements!$E$6:$E$58,Census!$G33+I$5-18)*IF((Census!$F33+I$5)&gt;=Assumptions!$B$11,1,0))*MIN(15/26*Census!$D33*(1+Assumptions!$B$9)^I$5*(INT((Census!$F33+I$5))+IF((Census!$F33+I$5)-INT((Census!$F33+I$5))&gt;0.5,1,0)),Assumptions!$B$10))</f>
        <v>36755.5911765852</v>
      </c>
      <c r="J33" s="30">
        <f>IF(J$5&gt;$B33,0,INDEX(Decrements!$G$6:$G$58,Census!$G33+J$5-18)/INDEX(Decrements!$G$6:$G$58,Census!$G33-17)*(INDEX(Decrements!$D$6:$D$58,Census!$G33+J$5-18)+IF(J$5=$B33,INDEX(Decrements!$F$6:$F$58,Census!$G33+J$5-18),0)+INDEX(Decrements!$E$6:$E$58,Census!$G33+J$5-18)*IF((Census!$F33+J$5)&gt;=Assumptions!$B$11,1,0))*MIN(15/26*Census!$D33*(1+Assumptions!$B$9)^J$5*(INT((Census!$F33+J$5))+IF((Census!$F33+J$5)-INT((Census!$F33+J$5))&gt;0.5,1,0)),Assumptions!$B$10))</f>
        <v>40551.51524068712</v>
      </c>
      <c r="K33" s="30">
        <f>IF(K$5&gt;$B33,0,INDEX(Decrements!$G$6:$G$58,Census!$G33+K$5-18)/INDEX(Decrements!$G$6:$G$58,Census!$G33-17)*(INDEX(Decrements!$D$6:$D$58,Census!$G33+K$5-18)+IF(K$5=$B33,INDEX(Decrements!$F$6:$F$58,Census!$G33+K$5-18),0)+INDEX(Decrements!$E$6:$E$58,Census!$G33+K$5-18)*IF((Census!$F33+K$5)&gt;=Assumptions!$B$11,1,0))*MIN(15/26*Census!$D33*(1+Assumptions!$B$9)^K$5*(INT((Census!$F33+K$5))+IF((Census!$F33+K$5)-INT((Census!$F33+K$5))&gt;0.5,1,0)),Assumptions!$B$10))</f>
        <v>44651.786801441012</v>
      </c>
      <c r="L33" s="30">
        <f>IF(L$5&gt;$B33,0,INDEX(Decrements!$G$6:$G$58,Census!$G33+L$5-18)/INDEX(Decrements!$G$6:$G$58,Census!$G33-17)*(INDEX(Decrements!$D$6:$D$58,Census!$G33+L$5-18)+IF(L$5=$B33,INDEX(Decrements!$F$6:$F$58,Census!$G33+L$5-18),0)+INDEX(Decrements!$E$6:$E$58,Census!$G33+L$5-18)*IF((Census!$F33+L$5)&gt;=Assumptions!$B$11,1,0))*MIN(15/26*Census!$D33*(1+Assumptions!$B$9)^L$5*(INT((Census!$F33+L$5))+IF((Census!$F33+L$5)-INT((Census!$F33+L$5))&gt;0.5,1,0)),Assumptions!$B$10))</f>
        <v>43874.564224713795</v>
      </c>
      <c r="M33" s="30">
        <f>IF(M$5&gt;$B33,0,INDEX(Decrements!$G$6:$G$58,Census!$G33+M$5-18)/INDEX(Decrements!$G$6:$G$58,Census!$G33-17)*(INDEX(Decrements!$D$6:$D$58,Census!$G33+M$5-18)+IF(M$5=$B33,INDEX(Decrements!$F$6:$F$58,Census!$G33+M$5-18),0)+INDEX(Decrements!$E$6:$E$58,Census!$G33+M$5-18)*IF((Census!$F33+M$5)&gt;=Assumptions!$B$11,1,0))*MIN(15/26*Census!$D33*(1+Assumptions!$B$9)^M$5*(INT((Census!$F33+M$5))+IF((Census!$F33+M$5)-INT((Census!$F33+M$5))&gt;0.5,1,0)),Assumptions!$B$10))</f>
        <v>29728.301581252475</v>
      </c>
      <c r="N33" s="30">
        <f>IF(N$5&gt;$B33,0,INDEX(Decrements!$G$6:$G$58,Census!$G33+N$5-18)/INDEX(Decrements!$G$6:$G$58,Census!$G33-17)*(INDEX(Decrements!$D$6:$D$58,Census!$G33+N$5-18)+IF(N$5=$B33,INDEX(Decrements!$F$6:$F$58,Census!$G33+N$5-18),0)+INDEX(Decrements!$E$6:$E$58,Census!$G33+N$5-18)*IF((Census!$F33+N$5)&gt;=Assumptions!$B$11,1,0))*MIN(15/26*Census!$D33*(1+Assumptions!$B$9)^N$5*(INT((Census!$F33+N$5))+IF((Census!$F33+N$5)-INT((Census!$F33+N$5))&gt;0.5,1,0)),Assumptions!$B$10))</f>
        <v>29357.077593352435</v>
      </c>
      <c r="O33" s="30">
        <f>IF(O$5&gt;$B33,0,INDEX(Decrements!$G$6:$G$58,Census!$G33+O$5-18)/INDEX(Decrements!$G$6:$G$58,Census!$G33-17)*(INDEX(Decrements!$D$6:$D$58,Census!$G33+O$5-18)+IF(O$5=$B33,INDEX(Decrements!$F$6:$F$58,Census!$G33+O$5-18),0)+INDEX(Decrements!$E$6:$E$58,Census!$G33+O$5-18)*IF((Census!$F33+O$5)&gt;=Assumptions!$B$11,1,0))*MIN(15/26*Census!$D33*(1+Assumptions!$B$9)^O$5*(INT((Census!$F33+O$5))+IF((Census!$F33+O$5)-INT((Census!$F33+O$5))&gt;0.5,1,0)),Assumptions!$B$10))</f>
        <v>29010.058949006241</v>
      </c>
      <c r="P33" s="30">
        <f>IF(P$5&gt;$B33,0,INDEX(Decrements!$G$6:$G$58,Census!$G33+P$5-18)/INDEX(Decrements!$G$6:$G$58,Census!$G33-17)*(INDEX(Decrements!$D$6:$D$58,Census!$G33+P$5-18)+IF(P$5=$B33,INDEX(Decrements!$F$6:$F$58,Census!$G33+P$5-18),0)+INDEX(Decrements!$E$6:$E$58,Census!$G33+P$5-18)*IF((Census!$F33+P$5)&gt;=Assumptions!$B$11,1,0))*MIN(15/26*Census!$D33*(1+Assumptions!$B$9)^P$5*(INT((Census!$F33+P$5))+IF((Census!$F33+P$5)-INT((Census!$F33+P$5))&gt;0.5,1,0)),Assumptions!$B$10))</f>
        <v>28687.755702549217</v>
      </c>
      <c r="Q33" s="30">
        <f>IF(Q$5&gt;$B33,0,INDEX(Decrements!$G$6:$G$58,Census!$G33+Q$5-18)/INDEX(Decrements!$G$6:$G$58,Census!$G33-17)*(INDEX(Decrements!$D$6:$D$58,Census!$G33+Q$5-18)+IF(Q$5=$B33,INDEX(Decrements!$F$6:$F$58,Census!$G33+Q$5-18),0)+INDEX(Decrements!$E$6:$E$58,Census!$G33+Q$5-18)*IF((Census!$F33+Q$5)&gt;=Assumptions!$B$11,1,0))*MIN(15/26*Census!$D33*(1+Assumptions!$B$9)^Q$5*(INT((Census!$F33+Q$5))+IF((Census!$F33+Q$5)-INT((Census!$F33+Q$5))&gt;0.5,1,0)),Assumptions!$B$10))</f>
        <v>28390.694740059273</v>
      </c>
      <c r="R33" s="30">
        <f>IF(R$5&gt;$B33,0,INDEX(Decrements!$G$6:$G$58,Census!$G33+R$5-18)/INDEX(Decrements!$G$6:$G$58,Census!$G33-17)*(INDEX(Decrements!$D$6:$D$58,Census!$G33+R$5-18)+IF(R$5=$B33,INDEX(Decrements!$F$6:$F$58,Census!$G33+R$5-18),0)+INDEX(Decrements!$E$6:$E$58,Census!$G33+R$5-18)*IF((Census!$F33+R$5)&gt;=Assumptions!$B$11,1,0))*MIN(15/26*Census!$D33*(1+Assumptions!$B$9)^R$5*(INT((Census!$F33+R$5))+IF((Census!$F33+R$5)-INT((Census!$F33+R$5))&gt;0.5,1,0)),Assumptions!$B$10))</f>
        <v>16584.09039474386</v>
      </c>
      <c r="S33" s="30">
        <f>IF(S$5&gt;$B33,0,INDEX(Decrements!$G$6:$G$58,Census!$G33+S$5-18)/INDEX(Decrements!$G$6:$G$58,Census!$G33-17)*(INDEX(Decrements!$D$6:$D$58,Census!$G33+S$5-18)+IF(S$5=$B33,INDEX(Decrements!$F$6:$F$58,Census!$G33+S$5-18),0)+INDEX(Decrements!$E$6:$E$58,Census!$G33+S$5-18)*IF((Census!$F33+S$5)&gt;=Assumptions!$B$11,1,0))*MIN(15/26*Census!$D33*(1+Assumptions!$B$9)^S$5*(INT((Census!$F33+S$5))+IF((Census!$F33+S$5)-INT((Census!$F33+S$5))&gt;0.5,1,0)),Assumptions!$B$10))</f>
        <v>16793.187213616671</v>
      </c>
      <c r="T33" s="30">
        <f>IF(T$5&gt;$B33,0,INDEX(Decrements!$G$6:$G$58,Census!$G33+T$5-18)/INDEX(Decrements!$G$6:$G$58,Census!$G33-17)*(INDEX(Decrements!$D$6:$D$58,Census!$G33+T$5-18)+IF(T$5=$B33,INDEX(Decrements!$F$6:$F$58,Census!$G33+T$5-18),0)+INDEX(Decrements!$E$6:$E$58,Census!$G33+T$5-18)*IF((Census!$F33+T$5)&gt;=Assumptions!$B$11,1,0))*MIN(15/26*Census!$D33*(1+Assumptions!$B$9)^T$5*(INT((Census!$F33+T$5))+IF((Census!$F33+T$5)-INT((Census!$F33+T$5))&gt;0.5,1,0)),Assumptions!$B$10))</f>
        <v>17029.950093227606</v>
      </c>
      <c r="U33" s="30">
        <f>IF(U$5&gt;$B33,0,INDEX(Decrements!$G$6:$G$58,Census!$G33+U$5-18)/INDEX(Decrements!$G$6:$G$58,Census!$G33-17)*(INDEX(Decrements!$D$6:$D$58,Census!$G33+U$5-18)+IF(U$5=$B33,INDEX(Decrements!$F$6:$F$58,Census!$G33+U$5-18),0)+INDEX(Decrements!$E$6:$E$58,Census!$G33+U$5-18)*IF((Census!$F33+U$5)&gt;=Assumptions!$B$11,1,0))*MIN(15/26*Census!$D33*(1+Assumptions!$B$9)^U$5*(INT((Census!$F33+U$5))+IF((Census!$F33+U$5)-INT((Census!$F33+U$5))&gt;0.5,1,0)),Assumptions!$B$10))</f>
        <v>17295.988196283364</v>
      </c>
      <c r="V33" s="30">
        <f>IF(V$5&gt;$B33,0,INDEX(Decrements!$G$6:$G$58,Census!$G33+V$5-18)/INDEX(Decrements!$G$6:$G$58,Census!$G33-17)*(INDEX(Decrements!$D$6:$D$58,Census!$G33+V$5-18)+IF(V$5=$B33,INDEX(Decrements!$F$6:$F$58,Census!$G33+V$5-18),0)+INDEX(Decrements!$E$6:$E$58,Census!$G33+V$5-18)*IF((Census!$F33+V$5)&gt;=Assumptions!$B$11,1,0))*MIN(15/26*Census!$D33*(1+Assumptions!$B$9)^V$5*(INT((Census!$F33+V$5))+IF((Census!$F33+V$5)-INT((Census!$F33+V$5))&gt;0.5,1,0)),Assumptions!$B$10))</f>
        <v>1090877.8039316267</v>
      </c>
      <c r="W33" s="30">
        <f>IF(W$5&gt;$B33,0,INDEX(Decrements!$G$6:$G$58,Census!$G33+W$5-18)/INDEX(Decrements!$G$6:$G$58,Census!$G33-17)*(INDEX(Decrements!$D$6:$D$58,Census!$G33+W$5-18)+IF(W$5=$B33,INDEX(Decrements!$F$6:$F$58,Census!$G33+W$5-18),0)+INDEX(Decrements!$E$6:$E$58,Census!$G33+W$5-18)*IF((Census!$F33+W$5)&gt;=Assumptions!$B$11,1,0))*MIN(15/26*Census!$D33*(1+Assumptions!$B$9)^W$5*(INT((Census!$F33+W$5))+IF((Census!$F33+W$5)-INT((Census!$F33+W$5))&gt;0.5,1,0)),Assumptions!$B$10))</f>
        <v>0</v>
      </c>
      <c r="X33" s="30">
        <f>IF(X$5&gt;$B33,0,INDEX(Decrements!$G$6:$G$58,Census!$G33+X$5-18)/INDEX(Decrements!$G$6:$G$58,Census!$G33-17)*(INDEX(Decrements!$D$6:$D$58,Census!$G33+X$5-18)+IF(X$5=$B33,INDEX(Decrements!$F$6:$F$58,Census!$G33+X$5-18),0)+INDEX(Decrements!$E$6:$E$58,Census!$G33+X$5-18)*IF((Census!$F33+X$5)&gt;=Assumptions!$B$11,1,0))*MIN(15/26*Census!$D33*(1+Assumptions!$B$9)^X$5*(INT((Census!$F33+X$5))+IF((Census!$F33+X$5)-INT((Census!$F33+X$5))&gt;0.5,1,0)),Assumptions!$B$10))</f>
        <v>0</v>
      </c>
      <c r="Y33" s="30">
        <f>IF(Y$5&gt;$B33,0,INDEX(Decrements!$G$6:$G$58,Census!$G33+Y$5-18)/INDEX(Decrements!$G$6:$G$58,Census!$G33-17)*(INDEX(Decrements!$D$6:$D$58,Census!$G33+Y$5-18)+IF(Y$5=$B33,INDEX(Decrements!$F$6:$F$58,Census!$G33+Y$5-18),0)+INDEX(Decrements!$E$6:$E$58,Census!$G33+Y$5-18)*IF((Census!$F33+Y$5)&gt;=Assumptions!$B$11,1,0))*MIN(15/26*Census!$D33*(1+Assumptions!$B$9)^Y$5*(INT((Census!$F33+Y$5))+IF((Census!$F33+Y$5)-INT((Census!$F33+Y$5))&gt;0.5,1,0)),Assumptions!$B$10))</f>
        <v>0</v>
      </c>
      <c r="Z33" s="30">
        <f>IF(Z$5&gt;$B33,0,INDEX(Decrements!$G$6:$G$58,Census!$G33+Z$5-18)/INDEX(Decrements!$G$6:$G$58,Census!$G33-17)*(INDEX(Decrements!$D$6:$D$58,Census!$G33+Z$5-18)+IF(Z$5=$B33,INDEX(Decrements!$F$6:$F$58,Census!$G33+Z$5-18),0)+INDEX(Decrements!$E$6:$E$58,Census!$G33+Z$5-18)*IF((Census!$F33+Z$5)&gt;=Assumptions!$B$11,1,0))*MIN(15/26*Census!$D33*(1+Assumptions!$B$9)^Z$5*(INT((Census!$F33+Z$5))+IF((Census!$F33+Z$5)-INT((Census!$F33+Z$5))&gt;0.5,1,0)),Assumptions!$B$10))</f>
        <v>0</v>
      </c>
      <c r="AA33" s="30">
        <f>IF(AA$5&gt;$B33,0,INDEX(Decrements!$G$6:$G$58,Census!$G33+AA$5-18)/INDEX(Decrements!$G$6:$G$58,Census!$G33-17)*(INDEX(Decrements!$D$6:$D$58,Census!$G33+AA$5-18)+IF(AA$5=$B33,INDEX(Decrements!$F$6:$F$58,Census!$G33+AA$5-18),0)+INDEX(Decrements!$E$6:$E$58,Census!$G33+AA$5-18)*IF((Census!$F33+AA$5)&gt;=Assumptions!$B$11,1,0))*MIN(15/26*Census!$D33*(1+Assumptions!$B$9)^AA$5*(INT((Census!$F33+AA$5))+IF((Census!$F33+AA$5)-INT((Census!$F33+AA$5))&gt;0.5,1,0)),Assumptions!$B$10))</f>
        <v>0</v>
      </c>
      <c r="AB33" s="30">
        <f>IF(AB$5&gt;$B33,0,INDEX(Decrements!$G$6:$G$58,Census!$G33+AB$5-18)/INDEX(Decrements!$G$6:$G$58,Census!$G33-17)*(INDEX(Decrements!$D$6:$D$58,Census!$G33+AB$5-18)+IF(AB$5=$B33,INDEX(Decrements!$F$6:$F$58,Census!$G33+AB$5-18),0)+INDEX(Decrements!$E$6:$E$58,Census!$G33+AB$5-18)*IF((Census!$F33+AB$5)&gt;=Assumptions!$B$11,1,0))*MIN(15/26*Census!$D33*(1+Assumptions!$B$9)^AB$5*(INT((Census!$F33+AB$5))+IF((Census!$F33+AB$5)-INT((Census!$F33+AB$5))&gt;0.5,1,0)),Assumptions!$B$10))</f>
        <v>0</v>
      </c>
      <c r="AC33" s="30">
        <f>IF(AC$5&gt;$B33,0,INDEX(Decrements!$G$6:$G$58,Census!$G33+AC$5-18)/INDEX(Decrements!$G$6:$G$58,Census!$G33-17)*(INDEX(Decrements!$D$6:$D$58,Census!$G33+AC$5-18)+IF(AC$5=$B33,INDEX(Decrements!$F$6:$F$58,Census!$G33+AC$5-18),0)+INDEX(Decrements!$E$6:$E$58,Census!$G33+AC$5-18)*IF((Census!$F33+AC$5)&gt;=Assumptions!$B$11,1,0))*MIN(15/26*Census!$D33*(1+Assumptions!$B$9)^AC$5*(INT((Census!$F33+AC$5))+IF((Census!$F33+AC$5)-INT((Census!$F33+AC$5))&gt;0.5,1,0)),Assumptions!$B$10))</f>
        <v>0</v>
      </c>
      <c r="AD33" s="30">
        <f>IF(AD$5&gt;$B33,0,INDEX(Decrements!$G$6:$G$58,Census!$G33+AD$5-18)/INDEX(Decrements!$G$6:$G$58,Census!$G33-17)*(INDEX(Decrements!$D$6:$D$58,Census!$G33+AD$5-18)+IF(AD$5=$B33,INDEX(Decrements!$F$6:$F$58,Census!$G33+AD$5-18),0)+INDEX(Decrements!$E$6:$E$58,Census!$G33+AD$5-18)*IF((Census!$F33+AD$5)&gt;=Assumptions!$B$11,1,0))*MIN(15/26*Census!$D33*(1+Assumptions!$B$9)^AD$5*(INT((Census!$F33+AD$5))+IF((Census!$F33+AD$5)-INT((Census!$F33+AD$5))&gt;0.5,1,0)),Assumptions!$B$10))</f>
        <v>0</v>
      </c>
      <c r="AE33" s="30">
        <f>IF(AE$5&gt;$B33,0,INDEX(Decrements!$G$6:$G$58,Census!$G33+AE$5-18)/INDEX(Decrements!$G$6:$G$58,Census!$G33-17)*(INDEX(Decrements!$D$6:$D$58,Census!$G33+AE$5-18)+IF(AE$5=$B33,INDEX(Decrements!$F$6:$F$58,Census!$G33+AE$5-18),0)+INDEX(Decrements!$E$6:$E$58,Census!$G33+AE$5-18)*IF((Census!$F33+AE$5)&gt;=Assumptions!$B$11,1,0))*MIN(15/26*Census!$D33*(1+Assumptions!$B$9)^AE$5*(INT((Census!$F33+AE$5))+IF((Census!$F33+AE$5)-INT((Census!$F33+AE$5))&gt;0.5,1,0)),Assumptions!$B$10))</f>
        <v>0</v>
      </c>
      <c r="AF33" s="30">
        <f>IF(AF$5&gt;$B33,0,INDEX(Decrements!$G$6:$G$58,Census!$G33+AF$5-18)/INDEX(Decrements!$G$6:$G$58,Census!$G33-17)*(INDEX(Decrements!$D$6:$D$58,Census!$G33+AF$5-18)+IF(AF$5=$B33,INDEX(Decrements!$F$6:$F$58,Census!$G33+AF$5-18),0)+INDEX(Decrements!$E$6:$E$58,Census!$G33+AF$5-18)*IF((Census!$F33+AF$5)&gt;=Assumptions!$B$11,1,0))*MIN(15/26*Census!$D33*(1+Assumptions!$B$9)^AF$5*(INT((Census!$F33+AF$5))+IF((Census!$F33+AF$5)-INT((Census!$F33+AF$5))&gt;0.5,1,0)),Assumptions!$B$10))</f>
        <v>0</v>
      </c>
      <c r="AG33" s="30">
        <f>IF(AG$5&gt;$B33,0,INDEX(Decrements!$G$6:$G$58,Census!$G33+AG$5-18)/INDEX(Decrements!$G$6:$G$58,Census!$G33-17)*(INDEX(Decrements!$D$6:$D$58,Census!$G33+AG$5-18)+IF(AG$5=$B33,INDEX(Decrements!$F$6:$F$58,Census!$G33+AG$5-18),0)+INDEX(Decrements!$E$6:$E$58,Census!$G33+AG$5-18)*IF((Census!$F33+AG$5)&gt;=Assumptions!$B$11,1,0))*MIN(15/26*Census!$D33*(1+Assumptions!$B$9)^AG$5*(INT((Census!$F33+AG$5))+IF((Census!$F33+AG$5)-INT((Census!$F33+AG$5))&gt;0.5,1,0)),Assumptions!$B$10))</f>
        <v>0</v>
      </c>
      <c r="AH33" s="30">
        <f>IF(AH$5&gt;$B33,0,INDEX(Decrements!$G$6:$G$58,Census!$G33+AH$5-18)/INDEX(Decrements!$G$6:$G$58,Census!$G33-17)*(INDEX(Decrements!$D$6:$D$58,Census!$G33+AH$5-18)+IF(AH$5=$B33,INDEX(Decrements!$F$6:$F$58,Census!$G33+AH$5-18),0)+INDEX(Decrements!$E$6:$E$58,Census!$G33+AH$5-18)*IF((Census!$F33+AH$5)&gt;=Assumptions!$B$11,1,0))*MIN(15/26*Census!$D33*(1+Assumptions!$B$9)^AH$5*(INT((Census!$F33+AH$5))+IF((Census!$F33+AH$5)-INT((Census!$F33+AH$5))&gt;0.5,1,0)),Assumptions!$B$10))</f>
        <v>0</v>
      </c>
      <c r="AI33" s="30">
        <f>IF(AI$5&gt;$B33,0,INDEX(Decrements!$G$6:$G$58,Census!$G33+AI$5-18)/INDEX(Decrements!$G$6:$G$58,Census!$G33-17)*(INDEX(Decrements!$D$6:$D$58,Census!$G33+AI$5-18)+IF(AI$5=$B33,INDEX(Decrements!$F$6:$F$58,Census!$G33+AI$5-18),0)+INDEX(Decrements!$E$6:$E$58,Census!$G33+AI$5-18)*IF((Census!$F33+AI$5)&gt;=Assumptions!$B$11,1,0))*MIN(15/26*Census!$D33*(1+Assumptions!$B$9)^AI$5*(INT((Census!$F33+AI$5))+IF((Census!$F33+AI$5)-INT((Census!$F33+AI$5))&gt;0.5,1,0)),Assumptions!$B$10))</f>
        <v>0</v>
      </c>
      <c r="AJ33" s="30">
        <f>IF(AJ$5&gt;$B33,0,INDEX(Decrements!$G$6:$G$58,Census!$G33+AJ$5-18)/INDEX(Decrements!$G$6:$G$58,Census!$G33-17)*(INDEX(Decrements!$D$6:$D$58,Census!$G33+AJ$5-18)+IF(AJ$5=$B33,INDEX(Decrements!$F$6:$F$58,Census!$G33+AJ$5-18),0)+INDEX(Decrements!$E$6:$E$58,Census!$G33+AJ$5-18)*IF((Census!$F33+AJ$5)&gt;=Assumptions!$B$11,1,0))*MIN(15/26*Census!$D33*(1+Assumptions!$B$9)^AJ$5*(INT((Census!$F33+AJ$5))+IF((Census!$F33+AJ$5)-INT((Census!$F33+AJ$5))&gt;0.5,1,0)),Assumptions!$B$10))</f>
        <v>0</v>
      </c>
      <c r="AK33" s="30">
        <f>IF(AK$5&gt;$B33,0,INDEX(Decrements!$G$6:$G$58,Census!$G33+AK$5-18)/INDEX(Decrements!$G$6:$G$58,Census!$G33-17)*(INDEX(Decrements!$D$6:$D$58,Census!$G33+AK$5-18)+IF(AK$5=$B33,INDEX(Decrements!$F$6:$F$58,Census!$G33+AK$5-18),0)+INDEX(Decrements!$E$6:$E$58,Census!$G33+AK$5-18)*IF((Census!$F33+AK$5)&gt;=Assumptions!$B$11,1,0))*MIN(15/26*Census!$D33*(1+Assumptions!$B$9)^AK$5*(INT((Census!$F33+AK$5))+IF((Census!$F33+AK$5)-INT((Census!$F33+AK$5))&gt;0.5,1,0)),Assumptions!$B$10))</f>
        <v>0</v>
      </c>
      <c r="AL33" s="30">
        <f>IF(AL$5&gt;$B33,0,INDEX(Decrements!$G$6:$G$58,Census!$G33+AL$5-18)/INDEX(Decrements!$G$6:$G$58,Census!$G33-17)*(INDEX(Decrements!$D$6:$D$58,Census!$G33+AL$5-18)+IF(AL$5=$B33,INDEX(Decrements!$F$6:$F$58,Census!$G33+AL$5-18),0)+INDEX(Decrements!$E$6:$E$58,Census!$G33+AL$5-18)*IF((Census!$F33+AL$5)&gt;=Assumptions!$B$11,1,0))*MIN(15/26*Census!$D33*(1+Assumptions!$B$9)^AL$5*(INT((Census!$F33+AL$5))+IF((Census!$F33+AL$5)-INT((Census!$F33+AL$5))&gt;0.5,1,0)),Assumptions!$B$10))</f>
        <v>0</v>
      </c>
      <c r="AM33" s="30">
        <f>IF(AM$5&gt;$B33,0,INDEX(Decrements!$G$6:$G$58,Census!$G33+AM$5-18)/INDEX(Decrements!$G$6:$G$58,Census!$G33-17)*(INDEX(Decrements!$D$6:$D$58,Census!$G33+AM$5-18)+IF(AM$5=$B33,INDEX(Decrements!$F$6:$F$58,Census!$G33+AM$5-18),0)+INDEX(Decrements!$E$6:$E$58,Census!$G33+AM$5-18)*IF((Census!$F33+AM$5)&gt;=Assumptions!$B$11,1,0))*MIN(15/26*Census!$D33*(1+Assumptions!$B$9)^AM$5*(INT((Census!$F33+AM$5))+IF((Census!$F33+AM$5)-INT((Census!$F33+AM$5))&gt;0.5,1,0)),Assumptions!$B$10))</f>
        <v>0</v>
      </c>
      <c r="AN33" s="30">
        <f>IF(AN$5&gt;$B33,0,INDEX(Decrements!$G$6:$G$58,Census!$G33+AN$5-18)/INDEX(Decrements!$G$6:$G$58,Census!$G33-17)*(INDEX(Decrements!$D$6:$D$58,Census!$G33+AN$5-18)+IF(AN$5=$B33,INDEX(Decrements!$F$6:$F$58,Census!$G33+AN$5-18),0)+INDEX(Decrements!$E$6:$E$58,Census!$G33+AN$5-18)*IF((Census!$F33+AN$5)&gt;=Assumptions!$B$11,1,0))*MIN(15/26*Census!$D33*(1+Assumptions!$B$9)^AN$5*(INT((Census!$F33+AN$5))+IF((Census!$F33+AN$5)-INT((Census!$F33+AN$5))&gt;0.5,1,0)),Assumptions!$B$10))</f>
        <v>0</v>
      </c>
      <c r="AO33" s="30">
        <f>IF(AO$5&gt;$B33,0,INDEX(Decrements!$G$6:$G$58,Census!$G33+AO$5-18)/INDEX(Decrements!$G$6:$G$58,Census!$G33-17)*(INDEX(Decrements!$D$6:$D$58,Census!$G33+AO$5-18)+IF(AO$5=$B33,INDEX(Decrements!$F$6:$F$58,Census!$G33+AO$5-18),0)+INDEX(Decrements!$E$6:$E$58,Census!$G33+AO$5-18)*IF((Census!$F33+AO$5)&gt;=Assumptions!$B$11,1,0))*MIN(15/26*Census!$D33*(1+Assumptions!$B$9)^AO$5*(INT((Census!$F33+AO$5))+IF((Census!$F33+AO$5)-INT((Census!$F33+AO$5))&gt;0.5,1,0)),Assumptions!$B$10))</f>
        <v>0</v>
      </c>
      <c r="AP33" s="30">
        <f>IF(AP$5&gt;$B33,0,INDEX(Decrements!$G$6:$G$58,Census!$G33+AP$5-18)/INDEX(Decrements!$G$6:$G$58,Census!$G33-17)*(INDEX(Decrements!$D$6:$D$58,Census!$G33+AP$5-18)+IF(AP$5=$B33,INDEX(Decrements!$F$6:$F$58,Census!$G33+AP$5-18),0)+INDEX(Decrements!$E$6:$E$58,Census!$G33+AP$5-18)*IF((Census!$F33+AP$5)&gt;=Assumptions!$B$11,1,0))*MIN(15/26*Census!$D33*(1+Assumptions!$B$9)^AP$5*(INT((Census!$F33+AP$5))+IF((Census!$F33+AP$5)-INT((Census!$F33+AP$5))&gt;0.5,1,0)),Assumptions!$B$10))</f>
        <v>0</v>
      </c>
      <c r="AQ33" s="30">
        <f>IF(AQ$5&gt;$B33,0,INDEX(Decrements!$G$6:$G$58,Census!$G33+AQ$5-18)/INDEX(Decrements!$G$6:$G$58,Census!$G33-17)*(INDEX(Decrements!$D$6:$D$58,Census!$G33+AQ$5-18)+IF(AQ$5=$B33,INDEX(Decrements!$F$6:$F$58,Census!$G33+AQ$5-18),0)+INDEX(Decrements!$E$6:$E$58,Census!$G33+AQ$5-18)*IF((Census!$F33+AQ$5)&gt;=Assumptions!$B$11,1,0))*MIN(15/26*Census!$D33*(1+Assumptions!$B$9)^AQ$5*(INT((Census!$F33+AQ$5))+IF((Census!$F33+AQ$5)-INT((Census!$F33+AQ$5))&gt;0.5,1,0)),Assumptions!$B$10))</f>
        <v>0</v>
      </c>
      <c r="AR33" s="30">
        <f>IF(AR$5&gt;$B33,0,INDEX(Decrements!$G$6:$G$58,Census!$G33+AR$5-18)/INDEX(Decrements!$G$6:$G$58,Census!$G33-17)*(INDEX(Decrements!$D$6:$D$58,Census!$G33+AR$5-18)+IF(AR$5=$B33,INDEX(Decrements!$F$6:$F$58,Census!$G33+AR$5-18),0)+INDEX(Decrements!$E$6:$E$58,Census!$G33+AR$5-18)*IF((Census!$F33+AR$5)&gt;=Assumptions!$B$11,1,0))*MIN(15/26*Census!$D33*(1+Assumptions!$B$9)^AR$5*(INT((Census!$F33+AR$5))+IF((Census!$F33+AR$5)-INT((Census!$F33+AR$5))&gt;0.5,1,0)),Assumptions!$B$10))</f>
        <v>0</v>
      </c>
      <c r="AS33" s="30">
        <f>IF(AS$5&gt;$B33,0,INDEX(Decrements!$G$6:$G$58,Census!$G33+AS$5-18)/INDEX(Decrements!$G$6:$G$58,Census!$G33-17)*(INDEX(Decrements!$D$6:$D$58,Census!$G33+AS$5-18)+IF(AS$5=$B33,INDEX(Decrements!$F$6:$F$58,Census!$G33+AS$5-18),0)+INDEX(Decrements!$E$6:$E$58,Census!$G33+AS$5-18)*IF((Census!$F33+AS$5)&gt;=Assumptions!$B$11,1,0))*MIN(15/26*Census!$D33*(1+Assumptions!$B$9)^AS$5*(INT((Census!$F33+AS$5))+IF((Census!$F33+AS$5)-INT((Census!$F33+AS$5))&gt;0.5,1,0)),Assumptions!$B$10))</f>
        <v>0</v>
      </c>
      <c r="AT33" s="30">
        <f>IF(AT$5&gt;$B33,0,INDEX(Decrements!$G$6:$G$58,Census!$G33+AT$5-18)/INDEX(Decrements!$G$6:$G$58,Census!$G33-17)*(INDEX(Decrements!$D$6:$D$58,Census!$G33+AT$5-18)+IF(AT$5=$B33,INDEX(Decrements!$F$6:$F$58,Census!$G33+AT$5-18),0)+INDEX(Decrements!$E$6:$E$58,Census!$G33+AT$5-18)*IF((Census!$F33+AT$5)&gt;=Assumptions!$B$11,1,0))*MIN(15/26*Census!$D33*(1+Assumptions!$B$9)^AT$5*(INT((Census!$F33+AT$5))+IF((Census!$F33+AT$5)-INT((Census!$F33+AT$5))&gt;0.5,1,0)),Assumptions!$B$10))</f>
        <v>0</v>
      </c>
      <c r="AU33" s="30">
        <f>IF(AU$5&gt;$B33,0,INDEX(Decrements!$G$6:$G$58,Census!$G33+AU$5-18)/INDEX(Decrements!$G$6:$G$58,Census!$G33-17)*(INDEX(Decrements!$D$6:$D$58,Census!$G33+AU$5-18)+IF(AU$5=$B33,INDEX(Decrements!$F$6:$F$58,Census!$G33+AU$5-18),0)+INDEX(Decrements!$E$6:$E$58,Census!$G33+AU$5-18)*IF((Census!$F33+AU$5)&gt;=Assumptions!$B$11,1,0))*MIN(15/26*Census!$D33*(1+Assumptions!$B$9)^AU$5*(INT((Census!$F33+AU$5))+IF((Census!$F33+AU$5)-INT((Census!$F33+AU$5))&gt;0.5,1,0)),Assumptions!$B$10))</f>
        <v>0</v>
      </c>
    </row>
    <row r="34" spans="1:47" x14ac:dyDescent="0.3">
      <c r="A34" s="10" t="str">
        <f>Census!A34</f>
        <v>E029</v>
      </c>
      <c r="B34" s="29">
        <f>Census!H34</f>
        <v>28</v>
      </c>
      <c r="C34" s="30">
        <f>IF(C$5&gt;$B34,0,INDEX(Decrements!$G$6:$G$58,Census!$G34+C$5-18)/INDEX(Decrements!$G$6:$G$58,Census!$G34-17)*(INDEX(Decrements!$D$6:$D$58,Census!$G34+C$5-18)+IF(C$5=$B34,INDEX(Decrements!$F$6:$F$58,Census!$G34+C$5-18),0)+INDEX(Decrements!$E$6:$E$58,Census!$G34+C$5-18)*IF((Census!$F34+C$5)&gt;=Assumptions!$B$11,1,0))*MIN(15/26*Census!$D34*(1+Assumptions!$B$9)^C$5*(INT((Census!$F34+C$5))+IF((Census!$F34+C$5)-INT((Census!$F34+C$5))&gt;0.5,1,0)),Assumptions!$B$10))</f>
        <v>67736.064203738308</v>
      </c>
      <c r="D34" s="30">
        <f>IF(D$5&gt;$B34,0,INDEX(Decrements!$G$6:$G$58,Census!$G34+D$5-18)/INDEX(Decrements!$G$6:$G$58,Census!$G34-17)*(INDEX(Decrements!$D$6:$D$58,Census!$G34+D$5-18)+IF(D$5=$B34,INDEX(Decrements!$F$6:$F$58,Census!$G34+D$5-18),0)+INDEX(Decrements!$E$6:$E$58,Census!$G34+D$5-18)*IF((Census!$F34+D$5)&gt;=Assumptions!$B$11,1,0))*MIN(15/26*Census!$D34*(1+Assumptions!$B$9)^D$5*(INT((Census!$F34+D$5))+IF((Census!$F34+D$5)-INT((Census!$F34+D$5))&gt;0.5,1,0)),Assumptions!$B$10))</f>
        <v>70499.195257383079</v>
      </c>
      <c r="E34" s="30">
        <f>IF(E$5&gt;$B34,0,INDEX(Decrements!$G$6:$G$58,Census!$G34+E$5-18)/INDEX(Decrements!$G$6:$G$58,Census!$G34-17)*(INDEX(Decrements!$D$6:$D$58,Census!$G34+E$5-18)+IF(E$5=$B34,INDEX(Decrements!$F$6:$F$58,Census!$G34+E$5-18),0)+INDEX(Decrements!$E$6:$E$58,Census!$G34+E$5-18)*IF((Census!$F34+E$5)&gt;=Assumptions!$B$11,1,0))*MIN(15/26*Census!$D34*(1+Assumptions!$B$9)^E$5*(INT((Census!$F34+E$5))+IF((Census!$F34+E$5)-INT((Census!$F34+E$5))&gt;0.5,1,0)),Assumptions!$B$10))</f>
        <v>72940.220455112372</v>
      </c>
      <c r="F34" s="30">
        <f>IF(F$5&gt;$B34,0,INDEX(Decrements!$G$6:$G$58,Census!$G34+F$5-18)/INDEX(Decrements!$G$6:$G$58,Census!$G34-17)*(INDEX(Decrements!$D$6:$D$58,Census!$G34+F$5-18)+IF(F$5=$B34,INDEX(Decrements!$F$6:$F$58,Census!$G34+F$5-18),0)+INDEX(Decrements!$E$6:$E$58,Census!$G34+F$5-18)*IF((Census!$F34+F$5)&gt;=Assumptions!$B$11,1,0))*MIN(15/26*Census!$D34*(1+Assumptions!$B$9)^F$5*(INT((Census!$F34+F$5))+IF((Census!$F34+F$5)-INT((Census!$F34+F$5))&gt;0.5,1,0)),Assumptions!$B$10))</f>
        <v>54786.314426619479</v>
      </c>
      <c r="G34" s="30">
        <f>IF(G$5&gt;$B34,0,INDEX(Decrements!$G$6:$G$58,Census!$G34+G$5-18)/INDEX(Decrements!$G$6:$G$58,Census!$G34-17)*(INDEX(Decrements!$D$6:$D$58,Census!$G34+G$5-18)+IF(G$5=$B34,INDEX(Decrements!$F$6:$F$58,Census!$G34+G$5-18),0)+INDEX(Decrements!$E$6:$E$58,Census!$G34+G$5-18)*IF((Census!$F34+G$5)&gt;=Assumptions!$B$11,1,0))*MIN(15/26*Census!$D34*(1+Assumptions!$B$9)^G$5*(INT((Census!$F34+G$5))+IF((Census!$F34+G$5)-INT((Census!$F34+G$5))&gt;0.5,1,0)),Assumptions!$B$10))</f>
        <v>58046.145124824958</v>
      </c>
      <c r="H34" s="30">
        <f>IF(H$5&gt;$B34,0,INDEX(Decrements!$G$6:$G$58,Census!$G34+H$5-18)/INDEX(Decrements!$G$6:$G$58,Census!$G34-17)*(INDEX(Decrements!$D$6:$D$58,Census!$G34+H$5-18)+IF(H$5=$B34,INDEX(Decrements!$F$6:$F$58,Census!$G34+H$5-18),0)+INDEX(Decrements!$E$6:$E$58,Census!$G34+H$5-18)*IF((Census!$F34+H$5)&gt;=Assumptions!$B$11,1,0))*MIN(15/26*Census!$D34*(1+Assumptions!$B$9)^H$5*(INT((Census!$F34+H$5))+IF((Census!$F34+H$5)-INT((Census!$F34+H$5))&gt;0.5,1,0)),Assumptions!$B$10))</f>
        <v>61260.159389458851</v>
      </c>
      <c r="I34" s="30">
        <f>IF(I$5&gt;$B34,0,INDEX(Decrements!$G$6:$G$58,Census!$G34+I$5-18)/INDEX(Decrements!$G$6:$G$58,Census!$G34-17)*(INDEX(Decrements!$D$6:$D$58,Census!$G34+I$5-18)+IF(I$5=$B34,INDEX(Decrements!$F$6:$F$58,Census!$G34+I$5-18),0)+INDEX(Decrements!$E$6:$E$58,Census!$G34+I$5-18)*IF((Census!$F34+I$5)&gt;=Assumptions!$B$11,1,0))*MIN(15/26*Census!$D34*(1+Assumptions!$B$9)^I$5*(INT((Census!$F34+I$5))+IF((Census!$F34+I$5)-INT((Census!$F34+I$5))&gt;0.5,1,0)),Assumptions!$B$10))</f>
        <v>64428.942726116562</v>
      </c>
      <c r="J34" s="30">
        <f>IF(J$5&gt;$B34,0,INDEX(Decrements!$G$6:$G$58,Census!$G34+J$5-18)/INDEX(Decrements!$G$6:$G$58,Census!$G34-17)*(INDEX(Decrements!$D$6:$D$58,Census!$G34+J$5-18)+IF(J$5=$B34,INDEX(Decrements!$F$6:$F$58,Census!$G34+J$5-18),0)+INDEX(Decrements!$E$6:$E$58,Census!$G34+J$5-18)*IF((Census!$F34+J$5)&gt;=Assumptions!$B$11,1,0))*MIN(15/26*Census!$D34*(1+Assumptions!$B$9)^J$5*(INT((Census!$F34+J$5))+IF((Census!$F34+J$5)-INT((Census!$F34+J$5))&gt;0.5,1,0)),Assumptions!$B$10))</f>
        <v>67553.084751382761</v>
      </c>
      <c r="K34" s="30">
        <f>IF(K$5&gt;$B34,0,INDEX(Decrements!$G$6:$G$58,Census!$G34+K$5-18)/INDEX(Decrements!$G$6:$G$58,Census!$G34-17)*(INDEX(Decrements!$D$6:$D$58,Census!$G34+K$5-18)+IF(K$5=$B34,INDEX(Decrements!$F$6:$F$58,Census!$G34+K$5-18),0)+INDEX(Decrements!$E$6:$E$58,Census!$G34+K$5-18)*IF((Census!$F34+K$5)&gt;=Assumptions!$B$11,1,0))*MIN(15/26*Census!$D34*(1+Assumptions!$B$9)^K$5*(INT((Census!$F34+K$5))+IF((Census!$F34+K$5)-INT((Census!$F34+K$5))&gt;0.5,1,0)),Assumptions!$B$10))</f>
        <v>44585.49913880026</v>
      </c>
      <c r="L34" s="30">
        <f>IF(L$5&gt;$B34,0,INDEX(Decrements!$G$6:$G$58,Census!$G34+L$5-18)/INDEX(Decrements!$G$6:$G$58,Census!$G34-17)*(INDEX(Decrements!$D$6:$D$58,Census!$G34+L$5-18)+IF(L$5=$B34,INDEX(Decrements!$F$6:$F$58,Census!$G34+L$5-18),0)+INDEX(Decrements!$E$6:$E$58,Census!$G34+L$5-18)*IF((Census!$F34+L$5)&gt;=Assumptions!$B$11,1,0))*MIN(15/26*Census!$D34*(1+Assumptions!$B$9)^L$5*(INT((Census!$F34+L$5))+IF((Census!$F34+L$5)-INT((Census!$F34+L$5))&gt;0.5,1,0)),Assumptions!$B$10))</f>
        <v>44916.758046279494</v>
      </c>
      <c r="M34" s="30">
        <f>IF(M$5&gt;$B34,0,INDEX(Decrements!$G$6:$G$58,Census!$G34+M$5-18)/INDEX(Decrements!$G$6:$G$58,Census!$G34-17)*(INDEX(Decrements!$D$6:$D$58,Census!$G34+M$5-18)+IF(M$5=$B34,INDEX(Decrements!$F$6:$F$58,Census!$G34+M$5-18),0)+INDEX(Decrements!$E$6:$E$58,Census!$G34+M$5-18)*IF((Census!$F34+M$5)&gt;=Assumptions!$B$11,1,0))*MIN(15/26*Census!$D34*(1+Assumptions!$B$9)^M$5*(INT((Census!$F34+M$5))+IF((Census!$F34+M$5)-INT((Census!$F34+M$5))&gt;0.5,1,0)),Assumptions!$B$10))</f>
        <v>42691.513333652358</v>
      </c>
      <c r="N34" s="30">
        <f>IF(N$5&gt;$B34,0,INDEX(Decrements!$G$6:$G$58,Census!$G34+N$5-18)/INDEX(Decrements!$G$6:$G$58,Census!$G34-17)*(INDEX(Decrements!$D$6:$D$58,Census!$G34+N$5-18)+IF(N$5=$B34,INDEX(Decrements!$F$6:$F$58,Census!$G34+N$5-18),0)+INDEX(Decrements!$E$6:$E$58,Census!$G34+N$5-18)*IF((Census!$F34+N$5)&gt;=Assumptions!$B$11,1,0))*MIN(15/26*Census!$D34*(1+Assumptions!$B$9)^N$5*(INT((Census!$F34+N$5))+IF((Census!$F34+N$5)-INT((Census!$F34+N$5))&gt;0.5,1,0)),Assumptions!$B$10))</f>
        <v>40579.908499539961</v>
      </c>
      <c r="O34" s="30">
        <f>IF(O$5&gt;$B34,0,INDEX(Decrements!$G$6:$G$58,Census!$G34+O$5-18)/INDEX(Decrements!$G$6:$G$58,Census!$G34-17)*(INDEX(Decrements!$D$6:$D$58,Census!$G34+O$5-18)+IF(O$5=$B34,INDEX(Decrements!$F$6:$F$58,Census!$G34+O$5-18),0)+INDEX(Decrements!$E$6:$E$58,Census!$G34+O$5-18)*IF((Census!$F34+O$5)&gt;=Assumptions!$B$11,1,0))*MIN(15/26*Census!$D34*(1+Assumptions!$B$9)^O$5*(INT((Census!$F34+O$5))+IF((Census!$F34+O$5)-INT((Census!$F34+O$5))&gt;0.5,1,0)),Assumptions!$B$10))</f>
        <v>38576.265171688581</v>
      </c>
      <c r="P34" s="30">
        <f>IF(P$5&gt;$B34,0,INDEX(Decrements!$G$6:$G$58,Census!$G34+P$5-18)/INDEX(Decrements!$G$6:$G$58,Census!$G34-17)*(INDEX(Decrements!$D$6:$D$58,Census!$G34+P$5-18)+IF(P$5=$B34,INDEX(Decrements!$F$6:$F$58,Census!$G34+P$5-18),0)+INDEX(Decrements!$E$6:$E$58,Census!$G34+P$5-18)*IF((Census!$F34+P$5)&gt;=Assumptions!$B$11,1,0))*MIN(15/26*Census!$D34*(1+Assumptions!$B$9)^P$5*(INT((Census!$F34+P$5))+IF((Census!$F34+P$5)-INT((Census!$F34+P$5))&gt;0.5,1,0)),Assumptions!$B$10))</f>
        <v>22550.715686535121</v>
      </c>
      <c r="Q34" s="30">
        <f>IF(Q$5&gt;$B34,0,INDEX(Decrements!$G$6:$G$58,Census!$G34+Q$5-18)/INDEX(Decrements!$G$6:$G$58,Census!$G34-17)*(INDEX(Decrements!$D$6:$D$58,Census!$G34+Q$5-18)+IF(Q$5=$B34,INDEX(Decrements!$F$6:$F$58,Census!$G34+Q$5-18),0)+INDEX(Decrements!$E$6:$E$58,Census!$G34+Q$5-18)*IF((Census!$F34+Q$5)&gt;=Assumptions!$B$11,1,0))*MIN(15/26*Census!$D34*(1+Assumptions!$B$9)^Q$5*(INT((Census!$F34+Q$5))+IF((Census!$F34+Q$5)-INT((Census!$F34+Q$5))&gt;0.5,1,0)),Assumptions!$B$10))</f>
        <v>21933.45998360432</v>
      </c>
      <c r="R34" s="30">
        <f>IF(R$5&gt;$B34,0,INDEX(Decrements!$G$6:$G$58,Census!$G34+R$5-18)/INDEX(Decrements!$G$6:$G$58,Census!$G34-17)*(INDEX(Decrements!$D$6:$D$58,Census!$G34+R$5-18)+IF(R$5=$B34,INDEX(Decrements!$F$6:$F$58,Census!$G34+R$5-18),0)+INDEX(Decrements!$E$6:$E$58,Census!$G34+R$5-18)*IF((Census!$F34+R$5)&gt;=Assumptions!$B$11,1,0))*MIN(15/26*Census!$D34*(1+Assumptions!$B$9)^R$5*(INT((Census!$F34+R$5))+IF((Census!$F34+R$5)-INT((Census!$F34+R$5))&gt;0.5,1,0)),Assumptions!$B$10))</f>
        <v>21339.181945306518</v>
      </c>
      <c r="S34" s="30">
        <f>IF(S$5&gt;$B34,0,INDEX(Decrements!$G$6:$G$58,Census!$G34+S$5-18)/INDEX(Decrements!$G$6:$G$58,Census!$G34-17)*(INDEX(Decrements!$D$6:$D$58,Census!$G34+S$5-18)+IF(S$5=$B34,INDEX(Decrements!$F$6:$F$58,Census!$G34+S$5-18),0)+INDEX(Decrements!$E$6:$E$58,Census!$G34+S$5-18)*IF((Census!$F34+S$5)&gt;=Assumptions!$B$11,1,0))*MIN(15/26*Census!$D34*(1+Assumptions!$B$9)^S$5*(INT((Census!$F34+S$5))+IF((Census!$F34+S$5)-INT((Census!$F34+S$5))&gt;0.5,1,0)),Assumptions!$B$10))</f>
        <v>20767.412084971365</v>
      </c>
      <c r="T34" s="30">
        <f>IF(T$5&gt;$B34,0,INDEX(Decrements!$G$6:$G$58,Census!$G34+T$5-18)/INDEX(Decrements!$G$6:$G$58,Census!$G34-17)*(INDEX(Decrements!$D$6:$D$58,Census!$G34+T$5-18)+IF(T$5=$B34,INDEX(Decrements!$F$6:$F$58,Census!$G34+T$5-18),0)+INDEX(Decrements!$E$6:$E$58,Census!$G34+T$5-18)*IF((Census!$F34+T$5)&gt;=Assumptions!$B$11,1,0))*MIN(15/26*Census!$D34*(1+Assumptions!$B$9)^T$5*(INT((Census!$F34+T$5))+IF((Census!$F34+T$5)-INT((Census!$F34+T$5))&gt;0.5,1,0)),Assumptions!$B$10))</f>
        <v>20217.701659826253</v>
      </c>
      <c r="U34" s="30">
        <f>IF(U$5&gt;$B34,0,INDEX(Decrements!$G$6:$G$58,Census!$G34+U$5-18)/INDEX(Decrements!$G$6:$G$58,Census!$G34-17)*(INDEX(Decrements!$D$6:$D$58,Census!$G34+U$5-18)+IF(U$5=$B34,INDEX(Decrements!$F$6:$F$58,Census!$G34+U$5-18),0)+INDEX(Decrements!$E$6:$E$58,Census!$G34+U$5-18)*IF((Census!$F34+U$5)&gt;=Assumptions!$B$11,1,0))*MIN(15/26*Census!$D34*(1+Assumptions!$B$9)^U$5*(INT((Census!$F34+U$5))+IF((Census!$F34+U$5)-INT((Census!$F34+U$5))&gt;0.5,1,0)),Assumptions!$B$10))</f>
        <v>13699.006311373214</v>
      </c>
      <c r="V34" s="30">
        <f>IF(V$5&gt;$B34,0,INDEX(Decrements!$G$6:$G$58,Census!$G34+V$5-18)/INDEX(Decrements!$G$6:$G$58,Census!$G34-17)*(INDEX(Decrements!$D$6:$D$58,Census!$G34+V$5-18)+IF(V$5=$B34,INDEX(Decrements!$F$6:$F$58,Census!$G34+V$5-18),0)+INDEX(Decrements!$E$6:$E$58,Census!$G34+V$5-18)*IF((Census!$F34+V$5)&gt;=Assumptions!$B$11,1,0))*MIN(15/26*Census!$D34*(1+Assumptions!$B$9)^V$5*(INT((Census!$F34+V$5))+IF((Census!$F34+V$5)-INT((Census!$F34+V$5))&gt;0.5,1,0)),Assumptions!$B$10))</f>
        <v>13527.943738582888</v>
      </c>
      <c r="W34" s="30">
        <f>IF(W$5&gt;$B34,0,INDEX(Decrements!$G$6:$G$58,Census!$G34+W$5-18)/INDEX(Decrements!$G$6:$G$58,Census!$G34-17)*(INDEX(Decrements!$D$6:$D$58,Census!$G34+W$5-18)+IF(W$5=$B34,INDEX(Decrements!$F$6:$F$58,Census!$G34+W$5-18),0)+INDEX(Decrements!$E$6:$E$58,Census!$G34+W$5-18)*IF((Census!$F34+W$5)&gt;=Assumptions!$B$11,1,0))*MIN(15/26*Census!$D34*(1+Assumptions!$B$9)^W$5*(INT((Census!$F34+W$5))+IF((Census!$F34+W$5)-INT((Census!$F34+W$5))&gt;0.5,1,0)),Assumptions!$B$10))</f>
        <v>13368.035154970408</v>
      </c>
      <c r="X34" s="30">
        <f>IF(X$5&gt;$B34,0,INDEX(Decrements!$G$6:$G$58,Census!$G34+X$5-18)/INDEX(Decrements!$G$6:$G$58,Census!$G34-17)*(INDEX(Decrements!$D$6:$D$58,Census!$G34+X$5-18)+IF(X$5=$B34,INDEX(Decrements!$F$6:$F$58,Census!$G34+X$5-18),0)+INDEX(Decrements!$E$6:$E$58,Census!$G34+X$5-18)*IF((Census!$F34+X$5)&gt;=Assumptions!$B$11,1,0))*MIN(15/26*Census!$D34*(1+Assumptions!$B$9)^X$5*(INT((Census!$F34+X$5))+IF((Census!$F34+X$5)-INT((Census!$F34+X$5))&gt;0.5,1,0)),Assumptions!$B$10))</f>
        <v>13219.515597089739</v>
      </c>
      <c r="Y34" s="30">
        <f>IF(Y$5&gt;$B34,0,INDEX(Decrements!$G$6:$G$58,Census!$G34+Y$5-18)/INDEX(Decrements!$G$6:$G$58,Census!$G34-17)*(INDEX(Decrements!$D$6:$D$58,Census!$G34+Y$5-18)+IF(Y$5=$B34,INDEX(Decrements!$F$6:$F$58,Census!$G34+Y$5-18),0)+INDEX(Decrements!$E$6:$E$58,Census!$G34+Y$5-18)*IF((Census!$F34+Y$5)&gt;=Assumptions!$B$11,1,0))*MIN(15/26*Census!$D34*(1+Assumptions!$B$9)^Y$5*(INT((Census!$F34+Y$5))+IF((Census!$F34+Y$5)-INT((Census!$F34+Y$5))&gt;0.5,1,0)),Assumptions!$B$10))</f>
        <v>13082.627857677857</v>
      </c>
      <c r="Z34" s="30">
        <f>IF(Z$5&gt;$B34,0,INDEX(Decrements!$G$6:$G$58,Census!$G34+Z$5-18)/INDEX(Decrements!$G$6:$G$58,Census!$G34-17)*(INDEX(Decrements!$D$6:$D$58,Census!$G34+Z$5-18)+IF(Z$5=$B34,INDEX(Decrements!$F$6:$F$58,Census!$G34+Z$5-18),0)+INDEX(Decrements!$E$6:$E$58,Census!$G34+Z$5-18)*IF((Census!$F34+Z$5)&gt;=Assumptions!$B$11,1,0))*MIN(15/26*Census!$D34*(1+Assumptions!$B$9)^Z$5*(INT((Census!$F34+Z$5))+IF((Census!$F34+Z$5)-INT((Census!$F34+Z$5))&gt;0.5,1,0)),Assumptions!$B$10))</f>
        <v>7642.0631822858595</v>
      </c>
      <c r="AA34" s="30">
        <f>IF(AA$5&gt;$B34,0,INDEX(Decrements!$G$6:$G$58,Census!$G34+AA$5-18)/INDEX(Decrements!$G$6:$G$58,Census!$G34-17)*(INDEX(Decrements!$D$6:$D$58,Census!$G34+AA$5-18)+IF(AA$5=$B34,INDEX(Decrements!$F$6:$F$58,Census!$G34+AA$5-18),0)+INDEX(Decrements!$E$6:$E$58,Census!$G34+AA$5-18)*IF((Census!$F34+AA$5)&gt;=Assumptions!$B$11,1,0))*MIN(15/26*Census!$D34*(1+Assumptions!$B$9)^AA$5*(INT((Census!$F34+AA$5))+IF((Census!$F34+AA$5)-INT((Census!$F34+AA$5))&gt;0.5,1,0)),Assumptions!$B$10))</f>
        <v>7738.416437906526</v>
      </c>
      <c r="AB34" s="30">
        <f>IF(AB$5&gt;$B34,0,INDEX(Decrements!$G$6:$G$58,Census!$G34+AB$5-18)/INDEX(Decrements!$G$6:$G$58,Census!$G34-17)*(INDEX(Decrements!$D$6:$D$58,Census!$G34+AB$5-18)+IF(AB$5=$B34,INDEX(Decrements!$F$6:$F$58,Census!$G34+AB$5-18),0)+INDEX(Decrements!$E$6:$E$58,Census!$G34+AB$5-18)*IF((Census!$F34+AB$5)&gt;=Assumptions!$B$11,1,0))*MIN(15/26*Census!$D34*(1+Assumptions!$B$9)^AB$5*(INT((Census!$F34+AB$5))+IF((Census!$F34+AB$5)-INT((Census!$F34+AB$5))&gt;0.5,1,0)),Assumptions!$B$10))</f>
        <v>7847.5184050412518</v>
      </c>
      <c r="AC34" s="30">
        <f>IF(AC$5&gt;$B34,0,INDEX(Decrements!$G$6:$G$58,Census!$G34+AC$5-18)/INDEX(Decrements!$G$6:$G$58,Census!$G34-17)*(INDEX(Decrements!$D$6:$D$58,Census!$G34+AC$5-18)+IF(AC$5=$B34,INDEX(Decrements!$F$6:$F$58,Census!$G34+AC$5-18),0)+INDEX(Decrements!$E$6:$E$58,Census!$G34+AC$5-18)*IF((Census!$F34+AC$5)&gt;=Assumptions!$B$11,1,0))*MIN(15/26*Census!$D34*(1+Assumptions!$B$9)^AC$5*(INT((Census!$F34+AC$5))+IF((Census!$F34+AC$5)-INT((Census!$F34+AC$5))&gt;0.5,1,0)),Assumptions!$B$10))</f>
        <v>7970.1105969586306</v>
      </c>
      <c r="AD34" s="30">
        <f>IF(AD$5&gt;$B34,0,INDEX(Decrements!$G$6:$G$58,Census!$G34+AD$5-18)/INDEX(Decrements!$G$6:$G$58,Census!$G34-17)*(INDEX(Decrements!$D$6:$D$58,Census!$G34+AD$5-18)+IF(AD$5=$B34,INDEX(Decrements!$F$6:$F$58,Census!$G34+AD$5-18),0)+INDEX(Decrements!$E$6:$E$58,Census!$G34+AD$5-18)*IF((Census!$F34+AD$5)&gt;=Assumptions!$B$11,1,0))*MIN(15/26*Census!$D34*(1+Assumptions!$B$9)^AD$5*(INT((Census!$F34+AD$5))+IF((Census!$F34+AD$5)-INT((Census!$F34+AD$5))&gt;0.5,1,0)),Assumptions!$B$10))</f>
        <v>502684.01240992476</v>
      </c>
      <c r="AE34" s="30">
        <f>IF(AE$5&gt;$B34,0,INDEX(Decrements!$G$6:$G$58,Census!$G34+AE$5-18)/INDEX(Decrements!$G$6:$G$58,Census!$G34-17)*(INDEX(Decrements!$D$6:$D$58,Census!$G34+AE$5-18)+IF(AE$5=$B34,INDEX(Decrements!$F$6:$F$58,Census!$G34+AE$5-18),0)+INDEX(Decrements!$E$6:$E$58,Census!$G34+AE$5-18)*IF((Census!$F34+AE$5)&gt;=Assumptions!$B$11,1,0))*MIN(15/26*Census!$D34*(1+Assumptions!$B$9)^AE$5*(INT((Census!$F34+AE$5))+IF((Census!$F34+AE$5)-INT((Census!$F34+AE$5))&gt;0.5,1,0)),Assumptions!$B$10))</f>
        <v>0</v>
      </c>
      <c r="AF34" s="30">
        <f>IF(AF$5&gt;$B34,0,INDEX(Decrements!$G$6:$G$58,Census!$G34+AF$5-18)/INDEX(Decrements!$G$6:$G$58,Census!$G34-17)*(INDEX(Decrements!$D$6:$D$58,Census!$G34+AF$5-18)+IF(AF$5=$B34,INDEX(Decrements!$F$6:$F$58,Census!$G34+AF$5-18),0)+INDEX(Decrements!$E$6:$E$58,Census!$G34+AF$5-18)*IF((Census!$F34+AF$5)&gt;=Assumptions!$B$11,1,0))*MIN(15/26*Census!$D34*(1+Assumptions!$B$9)^AF$5*(INT((Census!$F34+AF$5))+IF((Census!$F34+AF$5)-INT((Census!$F34+AF$5))&gt;0.5,1,0)),Assumptions!$B$10))</f>
        <v>0</v>
      </c>
      <c r="AG34" s="30">
        <f>IF(AG$5&gt;$B34,0,INDEX(Decrements!$G$6:$G$58,Census!$G34+AG$5-18)/INDEX(Decrements!$G$6:$G$58,Census!$G34-17)*(INDEX(Decrements!$D$6:$D$58,Census!$G34+AG$5-18)+IF(AG$5=$B34,INDEX(Decrements!$F$6:$F$58,Census!$G34+AG$5-18),0)+INDEX(Decrements!$E$6:$E$58,Census!$G34+AG$5-18)*IF((Census!$F34+AG$5)&gt;=Assumptions!$B$11,1,0))*MIN(15/26*Census!$D34*(1+Assumptions!$B$9)^AG$5*(INT((Census!$F34+AG$5))+IF((Census!$F34+AG$5)-INT((Census!$F34+AG$5))&gt;0.5,1,0)),Assumptions!$B$10))</f>
        <v>0</v>
      </c>
      <c r="AH34" s="30">
        <f>IF(AH$5&gt;$B34,0,INDEX(Decrements!$G$6:$G$58,Census!$G34+AH$5-18)/INDEX(Decrements!$G$6:$G$58,Census!$G34-17)*(INDEX(Decrements!$D$6:$D$58,Census!$G34+AH$5-18)+IF(AH$5=$B34,INDEX(Decrements!$F$6:$F$58,Census!$G34+AH$5-18),0)+INDEX(Decrements!$E$6:$E$58,Census!$G34+AH$5-18)*IF((Census!$F34+AH$5)&gt;=Assumptions!$B$11,1,0))*MIN(15/26*Census!$D34*(1+Assumptions!$B$9)^AH$5*(INT((Census!$F34+AH$5))+IF((Census!$F34+AH$5)-INT((Census!$F34+AH$5))&gt;0.5,1,0)),Assumptions!$B$10))</f>
        <v>0</v>
      </c>
      <c r="AI34" s="30">
        <f>IF(AI$5&gt;$B34,0,INDEX(Decrements!$G$6:$G$58,Census!$G34+AI$5-18)/INDEX(Decrements!$G$6:$G$58,Census!$G34-17)*(INDEX(Decrements!$D$6:$D$58,Census!$G34+AI$5-18)+IF(AI$5=$B34,INDEX(Decrements!$F$6:$F$58,Census!$G34+AI$5-18),0)+INDEX(Decrements!$E$6:$E$58,Census!$G34+AI$5-18)*IF((Census!$F34+AI$5)&gt;=Assumptions!$B$11,1,0))*MIN(15/26*Census!$D34*(1+Assumptions!$B$9)^AI$5*(INT((Census!$F34+AI$5))+IF((Census!$F34+AI$5)-INT((Census!$F34+AI$5))&gt;0.5,1,0)),Assumptions!$B$10))</f>
        <v>0</v>
      </c>
      <c r="AJ34" s="30">
        <f>IF(AJ$5&gt;$B34,0,INDEX(Decrements!$G$6:$G$58,Census!$G34+AJ$5-18)/INDEX(Decrements!$G$6:$G$58,Census!$G34-17)*(INDEX(Decrements!$D$6:$D$58,Census!$G34+AJ$5-18)+IF(AJ$5=$B34,INDEX(Decrements!$F$6:$F$58,Census!$G34+AJ$5-18),0)+INDEX(Decrements!$E$6:$E$58,Census!$G34+AJ$5-18)*IF((Census!$F34+AJ$5)&gt;=Assumptions!$B$11,1,0))*MIN(15/26*Census!$D34*(1+Assumptions!$B$9)^AJ$5*(INT((Census!$F34+AJ$5))+IF((Census!$F34+AJ$5)-INT((Census!$F34+AJ$5))&gt;0.5,1,0)),Assumptions!$B$10))</f>
        <v>0</v>
      </c>
      <c r="AK34" s="30">
        <f>IF(AK$5&gt;$B34,0,INDEX(Decrements!$G$6:$G$58,Census!$G34+AK$5-18)/INDEX(Decrements!$G$6:$G$58,Census!$G34-17)*(INDEX(Decrements!$D$6:$D$58,Census!$G34+AK$5-18)+IF(AK$5=$B34,INDEX(Decrements!$F$6:$F$58,Census!$G34+AK$5-18),0)+INDEX(Decrements!$E$6:$E$58,Census!$G34+AK$5-18)*IF((Census!$F34+AK$5)&gt;=Assumptions!$B$11,1,0))*MIN(15/26*Census!$D34*(1+Assumptions!$B$9)^AK$5*(INT((Census!$F34+AK$5))+IF((Census!$F34+AK$5)-INT((Census!$F34+AK$5))&gt;0.5,1,0)),Assumptions!$B$10))</f>
        <v>0</v>
      </c>
      <c r="AL34" s="30">
        <f>IF(AL$5&gt;$B34,0,INDEX(Decrements!$G$6:$G$58,Census!$G34+AL$5-18)/INDEX(Decrements!$G$6:$G$58,Census!$G34-17)*(INDEX(Decrements!$D$6:$D$58,Census!$G34+AL$5-18)+IF(AL$5=$B34,INDEX(Decrements!$F$6:$F$58,Census!$G34+AL$5-18),0)+INDEX(Decrements!$E$6:$E$58,Census!$G34+AL$5-18)*IF((Census!$F34+AL$5)&gt;=Assumptions!$B$11,1,0))*MIN(15/26*Census!$D34*(1+Assumptions!$B$9)^AL$5*(INT((Census!$F34+AL$5))+IF((Census!$F34+AL$5)-INT((Census!$F34+AL$5))&gt;0.5,1,0)),Assumptions!$B$10))</f>
        <v>0</v>
      </c>
      <c r="AM34" s="30">
        <f>IF(AM$5&gt;$B34,0,INDEX(Decrements!$G$6:$G$58,Census!$G34+AM$5-18)/INDEX(Decrements!$G$6:$G$58,Census!$G34-17)*(INDEX(Decrements!$D$6:$D$58,Census!$G34+AM$5-18)+IF(AM$5=$B34,INDEX(Decrements!$F$6:$F$58,Census!$G34+AM$5-18),0)+INDEX(Decrements!$E$6:$E$58,Census!$G34+AM$5-18)*IF((Census!$F34+AM$5)&gt;=Assumptions!$B$11,1,0))*MIN(15/26*Census!$D34*(1+Assumptions!$B$9)^AM$5*(INT((Census!$F34+AM$5))+IF((Census!$F34+AM$5)-INT((Census!$F34+AM$5))&gt;0.5,1,0)),Assumptions!$B$10))</f>
        <v>0</v>
      </c>
      <c r="AN34" s="30">
        <f>IF(AN$5&gt;$B34,0,INDEX(Decrements!$G$6:$G$58,Census!$G34+AN$5-18)/INDEX(Decrements!$G$6:$G$58,Census!$G34-17)*(INDEX(Decrements!$D$6:$D$58,Census!$G34+AN$5-18)+IF(AN$5=$B34,INDEX(Decrements!$F$6:$F$58,Census!$G34+AN$5-18),0)+INDEX(Decrements!$E$6:$E$58,Census!$G34+AN$5-18)*IF((Census!$F34+AN$5)&gt;=Assumptions!$B$11,1,0))*MIN(15/26*Census!$D34*(1+Assumptions!$B$9)^AN$5*(INT((Census!$F34+AN$5))+IF((Census!$F34+AN$5)-INT((Census!$F34+AN$5))&gt;0.5,1,0)),Assumptions!$B$10))</f>
        <v>0</v>
      </c>
      <c r="AO34" s="30">
        <f>IF(AO$5&gt;$B34,0,INDEX(Decrements!$G$6:$G$58,Census!$G34+AO$5-18)/INDEX(Decrements!$G$6:$G$58,Census!$G34-17)*(INDEX(Decrements!$D$6:$D$58,Census!$G34+AO$5-18)+IF(AO$5=$B34,INDEX(Decrements!$F$6:$F$58,Census!$G34+AO$5-18),0)+INDEX(Decrements!$E$6:$E$58,Census!$G34+AO$5-18)*IF((Census!$F34+AO$5)&gt;=Assumptions!$B$11,1,0))*MIN(15/26*Census!$D34*(1+Assumptions!$B$9)^AO$5*(INT((Census!$F34+AO$5))+IF((Census!$F34+AO$5)-INT((Census!$F34+AO$5))&gt;0.5,1,0)),Assumptions!$B$10))</f>
        <v>0</v>
      </c>
      <c r="AP34" s="30">
        <f>IF(AP$5&gt;$B34,0,INDEX(Decrements!$G$6:$G$58,Census!$G34+AP$5-18)/INDEX(Decrements!$G$6:$G$58,Census!$G34-17)*(INDEX(Decrements!$D$6:$D$58,Census!$G34+AP$5-18)+IF(AP$5=$B34,INDEX(Decrements!$F$6:$F$58,Census!$G34+AP$5-18),0)+INDEX(Decrements!$E$6:$E$58,Census!$G34+AP$5-18)*IF((Census!$F34+AP$5)&gt;=Assumptions!$B$11,1,0))*MIN(15/26*Census!$D34*(1+Assumptions!$B$9)^AP$5*(INT((Census!$F34+AP$5))+IF((Census!$F34+AP$5)-INT((Census!$F34+AP$5))&gt;0.5,1,0)),Assumptions!$B$10))</f>
        <v>0</v>
      </c>
      <c r="AQ34" s="30">
        <f>IF(AQ$5&gt;$B34,0,INDEX(Decrements!$G$6:$G$58,Census!$G34+AQ$5-18)/INDEX(Decrements!$G$6:$G$58,Census!$G34-17)*(INDEX(Decrements!$D$6:$D$58,Census!$G34+AQ$5-18)+IF(AQ$5=$B34,INDEX(Decrements!$F$6:$F$58,Census!$G34+AQ$5-18),0)+INDEX(Decrements!$E$6:$E$58,Census!$G34+AQ$5-18)*IF((Census!$F34+AQ$5)&gt;=Assumptions!$B$11,1,0))*MIN(15/26*Census!$D34*(1+Assumptions!$B$9)^AQ$5*(INT((Census!$F34+AQ$5))+IF((Census!$F34+AQ$5)-INT((Census!$F34+AQ$5))&gt;0.5,1,0)),Assumptions!$B$10))</f>
        <v>0</v>
      </c>
      <c r="AR34" s="30">
        <f>IF(AR$5&gt;$B34,0,INDEX(Decrements!$G$6:$G$58,Census!$G34+AR$5-18)/INDEX(Decrements!$G$6:$G$58,Census!$G34-17)*(INDEX(Decrements!$D$6:$D$58,Census!$G34+AR$5-18)+IF(AR$5=$B34,INDEX(Decrements!$F$6:$F$58,Census!$G34+AR$5-18),0)+INDEX(Decrements!$E$6:$E$58,Census!$G34+AR$5-18)*IF((Census!$F34+AR$5)&gt;=Assumptions!$B$11,1,0))*MIN(15/26*Census!$D34*(1+Assumptions!$B$9)^AR$5*(INT((Census!$F34+AR$5))+IF((Census!$F34+AR$5)-INT((Census!$F34+AR$5))&gt;0.5,1,0)),Assumptions!$B$10))</f>
        <v>0</v>
      </c>
      <c r="AS34" s="30">
        <f>IF(AS$5&gt;$B34,0,INDEX(Decrements!$G$6:$G$58,Census!$G34+AS$5-18)/INDEX(Decrements!$G$6:$G$58,Census!$G34-17)*(INDEX(Decrements!$D$6:$D$58,Census!$G34+AS$5-18)+IF(AS$5=$B34,INDEX(Decrements!$F$6:$F$58,Census!$G34+AS$5-18),0)+INDEX(Decrements!$E$6:$E$58,Census!$G34+AS$5-18)*IF((Census!$F34+AS$5)&gt;=Assumptions!$B$11,1,0))*MIN(15/26*Census!$D34*(1+Assumptions!$B$9)^AS$5*(INT((Census!$F34+AS$5))+IF((Census!$F34+AS$5)-INT((Census!$F34+AS$5))&gt;0.5,1,0)),Assumptions!$B$10))</f>
        <v>0</v>
      </c>
      <c r="AT34" s="30">
        <f>IF(AT$5&gt;$B34,0,INDEX(Decrements!$G$6:$G$58,Census!$G34+AT$5-18)/INDEX(Decrements!$G$6:$G$58,Census!$G34-17)*(INDEX(Decrements!$D$6:$D$58,Census!$G34+AT$5-18)+IF(AT$5=$B34,INDEX(Decrements!$F$6:$F$58,Census!$G34+AT$5-18),0)+INDEX(Decrements!$E$6:$E$58,Census!$G34+AT$5-18)*IF((Census!$F34+AT$5)&gt;=Assumptions!$B$11,1,0))*MIN(15/26*Census!$D34*(1+Assumptions!$B$9)^AT$5*(INT((Census!$F34+AT$5))+IF((Census!$F34+AT$5)-INT((Census!$F34+AT$5))&gt;0.5,1,0)),Assumptions!$B$10))</f>
        <v>0</v>
      </c>
      <c r="AU34" s="30">
        <f>IF(AU$5&gt;$B34,0,INDEX(Decrements!$G$6:$G$58,Census!$G34+AU$5-18)/INDEX(Decrements!$G$6:$G$58,Census!$G34-17)*(INDEX(Decrements!$D$6:$D$58,Census!$G34+AU$5-18)+IF(AU$5=$B34,INDEX(Decrements!$F$6:$F$58,Census!$G34+AU$5-18),0)+INDEX(Decrements!$E$6:$E$58,Census!$G34+AU$5-18)*IF((Census!$F34+AU$5)&gt;=Assumptions!$B$11,1,0))*MIN(15/26*Census!$D34*(1+Assumptions!$B$9)^AU$5*(INT((Census!$F34+AU$5))+IF((Census!$F34+AU$5)-INT((Census!$F34+AU$5))&gt;0.5,1,0)),Assumptions!$B$10))</f>
        <v>0</v>
      </c>
    </row>
    <row r="35" spans="1:47" x14ac:dyDescent="0.3">
      <c r="A35" s="10" t="str">
        <f>Census!A35</f>
        <v>E030</v>
      </c>
      <c r="B35" s="29">
        <f>Census!H35</f>
        <v>29</v>
      </c>
      <c r="C35" s="30">
        <f>IF(C$5&gt;$B35,0,INDEX(Decrements!$G$6:$G$58,Census!$G35+C$5-18)/INDEX(Decrements!$G$6:$G$58,Census!$G35-17)*(INDEX(Decrements!$D$6:$D$58,Census!$G35+C$5-18)+IF(C$5=$B35,INDEX(Decrements!$F$6:$F$58,Census!$G35+C$5-18),0)+INDEX(Decrements!$E$6:$E$58,Census!$G35+C$5-18)*IF((Census!$F35+C$5)&gt;=Assumptions!$B$11,1,0))*MIN(15/26*Census!$D35*(1+Assumptions!$B$9)^C$5*(INT((Census!$F35+C$5))+IF((Census!$F35+C$5)-INT((Census!$F35+C$5))&gt;0.5,1,0)),Assumptions!$B$10))</f>
        <v>14403.745039518753</v>
      </c>
      <c r="D35" s="30">
        <f>IF(D$5&gt;$B35,0,INDEX(Decrements!$G$6:$G$58,Census!$G35+D$5-18)/INDEX(Decrements!$G$6:$G$58,Census!$G35-17)*(INDEX(Decrements!$D$6:$D$58,Census!$G35+D$5-18)+IF(D$5=$B35,INDEX(Decrements!$F$6:$F$58,Census!$G35+D$5-18),0)+INDEX(Decrements!$E$6:$E$58,Census!$G35+D$5-18)*IF((Census!$F35+D$5)&gt;=Assumptions!$B$11,1,0))*MIN(15/26*Census!$D35*(1+Assumptions!$B$9)^D$5*(INT((Census!$F35+D$5))+IF((Census!$F35+D$5)-INT((Census!$F35+D$5))&gt;0.5,1,0)),Assumptions!$B$10))</f>
        <v>16144.619482416871</v>
      </c>
      <c r="E35" s="30">
        <f>IF(E$5&gt;$B35,0,INDEX(Decrements!$G$6:$G$58,Census!$G35+E$5-18)/INDEX(Decrements!$G$6:$G$58,Census!$G35-17)*(INDEX(Decrements!$D$6:$D$58,Census!$G35+E$5-18)+IF(E$5=$B35,INDEX(Decrements!$F$6:$F$58,Census!$G35+E$5-18),0)+INDEX(Decrements!$E$6:$E$58,Census!$G35+E$5-18)*IF((Census!$F35+E$5)&gt;=Assumptions!$B$11,1,0))*MIN(15/26*Census!$D35*(1+Assumptions!$B$9)^E$5*(INT((Census!$F35+E$5))+IF((Census!$F35+E$5)-INT((Census!$F35+E$5))&gt;0.5,1,0)),Assumptions!$B$10))</f>
        <v>17726.453482654815</v>
      </c>
      <c r="F35" s="30">
        <f>IF(F$5&gt;$B35,0,INDEX(Decrements!$G$6:$G$58,Census!$G35+F$5-18)/INDEX(Decrements!$G$6:$G$58,Census!$G35-17)*(INDEX(Decrements!$D$6:$D$58,Census!$G35+F$5-18)+IF(F$5=$B35,INDEX(Decrements!$F$6:$F$58,Census!$G35+F$5-18),0)+INDEX(Decrements!$E$6:$E$58,Census!$G35+F$5-18)*IF((Census!$F35+F$5)&gt;=Assumptions!$B$11,1,0))*MIN(15/26*Census!$D35*(1+Assumptions!$B$9)^F$5*(INT((Census!$F35+F$5))+IF((Census!$F35+F$5)-INT((Census!$F35+F$5))&gt;0.5,1,0)),Assumptions!$B$10))</f>
        <v>19158.989809643725</v>
      </c>
      <c r="G35" s="30">
        <f>IF(G$5&gt;$B35,0,INDEX(Decrements!$G$6:$G$58,Census!$G35+G$5-18)/INDEX(Decrements!$G$6:$G$58,Census!$G35-17)*(INDEX(Decrements!$D$6:$D$58,Census!$G35+G$5-18)+IF(G$5=$B35,INDEX(Decrements!$F$6:$F$58,Census!$G35+G$5-18),0)+INDEX(Decrements!$E$6:$E$58,Census!$G35+G$5-18)*IF((Census!$F35+G$5)&gt;=Assumptions!$B$11,1,0))*MIN(15/26*Census!$D35*(1+Assumptions!$B$9)^G$5*(INT((Census!$F35+G$5))+IF((Census!$F35+G$5)-INT((Census!$F35+G$5))&gt;0.5,1,0)),Assumptions!$B$10))</f>
        <v>14923.541157824111</v>
      </c>
      <c r="H35" s="30">
        <f>IF(H$5&gt;$B35,0,INDEX(Decrements!$G$6:$G$58,Census!$G35+H$5-18)/INDEX(Decrements!$G$6:$G$58,Census!$G35-17)*(INDEX(Decrements!$D$6:$D$58,Census!$G35+H$5-18)+IF(H$5=$B35,INDEX(Decrements!$F$6:$F$58,Census!$G35+H$5-18),0)+INDEX(Decrements!$E$6:$E$58,Census!$G35+H$5-18)*IF((Census!$F35+H$5)&gt;=Assumptions!$B$11,1,0))*MIN(15/26*Census!$D35*(1+Assumptions!$B$9)^H$5*(INT((Census!$F35+H$5))+IF((Census!$F35+H$5)-INT((Census!$F35+H$5))&gt;0.5,1,0)),Assumptions!$B$10))</f>
        <v>16305.61361522778</v>
      </c>
      <c r="I35" s="30">
        <f>IF(I$5&gt;$B35,0,INDEX(Decrements!$G$6:$G$58,Census!$G35+I$5-18)/INDEX(Decrements!$G$6:$G$58,Census!$G35-17)*(INDEX(Decrements!$D$6:$D$58,Census!$G35+I$5-18)+IF(I$5=$B35,INDEX(Decrements!$F$6:$F$58,Census!$G35+I$5-18),0)+INDEX(Decrements!$E$6:$E$58,Census!$G35+I$5-18)*IF((Census!$F35+I$5)&gt;=Assumptions!$B$11,1,0))*MIN(15/26*Census!$D35*(1+Assumptions!$B$9)^I$5*(INT((Census!$F35+I$5))+IF((Census!$F35+I$5)-INT((Census!$F35+I$5))&gt;0.5,1,0)),Assumptions!$B$10))</f>
        <v>17668.574342425884</v>
      </c>
      <c r="J35" s="30">
        <f>IF(J$5&gt;$B35,0,INDEX(Decrements!$G$6:$G$58,Census!$G35+J$5-18)/INDEX(Decrements!$G$6:$G$58,Census!$G35-17)*(INDEX(Decrements!$D$6:$D$58,Census!$G35+J$5-18)+IF(J$5=$B35,INDEX(Decrements!$F$6:$F$58,Census!$G35+J$5-18),0)+INDEX(Decrements!$E$6:$E$58,Census!$G35+J$5-18)*IF((Census!$F35+J$5)&gt;=Assumptions!$B$11,1,0))*MIN(15/26*Census!$D35*(1+Assumptions!$B$9)^J$5*(INT((Census!$F35+J$5))+IF((Census!$F35+J$5)-INT((Census!$F35+J$5))&gt;0.5,1,0)),Assumptions!$B$10))</f>
        <v>19012.661360909933</v>
      </c>
      <c r="K35" s="30">
        <f>IF(K$5&gt;$B35,0,INDEX(Decrements!$G$6:$G$58,Census!$G35+K$5-18)/INDEX(Decrements!$G$6:$G$58,Census!$G35-17)*(INDEX(Decrements!$D$6:$D$58,Census!$G35+K$5-18)+IF(K$5=$B35,INDEX(Decrements!$F$6:$F$58,Census!$G35+K$5-18),0)+INDEX(Decrements!$E$6:$E$58,Census!$G35+K$5-18)*IF((Census!$F35+K$5)&gt;=Assumptions!$B$11,1,0))*MIN(15/26*Census!$D35*(1+Assumptions!$B$9)^K$5*(INT((Census!$F35+K$5))+IF((Census!$F35+K$5)-INT((Census!$F35+K$5))&gt;0.5,1,0)),Assumptions!$B$10))</f>
        <v>20338.114185034556</v>
      </c>
      <c r="L35" s="30">
        <f>IF(L$5&gt;$B35,0,INDEX(Decrements!$G$6:$G$58,Census!$G35+L$5-18)/INDEX(Decrements!$G$6:$G$58,Census!$G35-17)*(INDEX(Decrements!$D$6:$D$58,Census!$G35+L$5-18)+IF(L$5=$B35,INDEX(Decrements!$F$6:$F$58,Census!$G35+L$5-18),0)+INDEX(Decrements!$E$6:$E$58,Census!$G35+L$5-18)*IF((Census!$F35+L$5)&gt;=Assumptions!$B$11,1,0))*MIN(15/26*Census!$D35*(1+Assumptions!$B$9)^L$5*(INT((Census!$F35+L$5))+IF((Census!$F35+L$5)-INT((Census!$F35+L$5))&gt;0.5,1,0)),Assumptions!$B$10))</f>
        <v>13662.996511156396</v>
      </c>
      <c r="M35" s="30">
        <f>IF(M$5&gt;$B35,0,INDEX(Decrements!$G$6:$G$58,Census!$G35+M$5-18)/INDEX(Decrements!$G$6:$G$58,Census!$G35-17)*(INDEX(Decrements!$D$6:$D$58,Census!$G35+M$5-18)+IF(M$5=$B35,INDEX(Decrements!$F$6:$F$58,Census!$G35+M$5-18),0)+INDEX(Decrements!$E$6:$E$58,Census!$G35+M$5-18)*IF((Census!$F35+M$5)&gt;=Assumptions!$B$11,1,0))*MIN(15/26*Census!$D35*(1+Assumptions!$B$9)^M$5*(INT((Census!$F35+M$5))+IF((Census!$F35+M$5)-INT((Census!$F35+M$5))&gt;0.5,1,0)),Assumptions!$B$10))</f>
        <v>14958.850449888963</v>
      </c>
      <c r="N35" s="30">
        <f>IF(N$5&gt;$B35,0,INDEX(Decrements!$G$6:$G$58,Census!$G35+N$5-18)/INDEX(Decrements!$G$6:$G$58,Census!$G35-17)*(INDEX(Decrements!$D$6:$D$58,Census!$G35+N$5-18)+IF(N$5=$B35,INDEX(Decrements!$F$6:$F$58,Census!$G35+N$5-18),0)+INDEX(Decrements!$E$6:$E$58,Census!$G35+N$5-18)*IF((Census!$F35+N$5)&gt;=Assumptions!$B$11,1,0))*MIN(15/26*Census!$D35*(1+Assumptions!$B$9)^N$5*(INT((Census!$F35+N$5))+IF((Census!$F35+N$5)-INT((Census!$F35+N$5))&gt;0.5,1,0)),Assumptions!$B$10))</f>
        <v>16314.8866908324</v>
      </c>
      <c r="O35" s="30">
        <f>IF(O$5&gt;$B35,0,INDEX(Decrements!$G$6:$G$58,Census!$G35+O$5-18)/INDEX(Decrements!$G$6:$G$58,Census!$G35-17)*(INDEX(Decrements!$D$6:$D$58,Census!$G35+O$5-18)+IF(O$5=$B35,INDEX(Decrements!$F$6:$F$58,Census!$G35+O$5-18),0)+INDEX(Decrements!$E$6:$E$58,Census!$G35+O$5-18)*IF((Census!$F35+O$5)&gt;=Assumptions!$B$11,1,0))*MIN(15/26*Census!$D35*(1+Assumptions!$B$9)^O$5*(INT((Census!$F35+O$5))+IF((Census!$F35+O$5)-INT((Census!$F35+O$5))&gt;0.5,1,0)),Assumptions!$B$10))</f>
        <v>17733.763589865641</v>
      </c>
      <c r="P35" s="30">
        <f>IF(P$5&gt;$B35,0,INDEX(Decrements!$G$6:$G$58,Census!$G35+P$5-18)/INDEX(Decrements!$G$6:$G$58,Census!$G35-17)*(INDEX(Decrements!$D$6:$D$58,Census!$G35+P$5-18)+IF(P$5=$B35,INDEX(Decrements!$F$6:$F$58,Census!$G35+P$5-18),0)+INDEX(Decrements!$E$6:$E$58,Census!$G35+P$5-18)*IF((Census!$F35+P$5)&gt;=Assumptions!$B$11,1,0))*MIN(15/26*Census!$D35*(1+Assumptions!$B$9)^P$5*(INT((Census!$F35+P$5))+IF((Census!$F35+P$5)-INT((Census!$F35+P$5))&gt;0.5,1,0)),Assumptions!$B$10))</f>
        <v>19218.296120268267</v>
      </c>
      <c r="Q35" s="30">
        <f>IF(Q$5&gt;$B35,0,INDEX(Decrements!$G$6:$G$58,Census!$G35+Q$5-18)/INDEX(Decrements!$G$6:$G$58,Census!$G35-17)*(INDEX(Decrements!$D$6:$D$58,Census!$G35+Q$5-18)+IF(Q$5=$B35,INDEX(Decrements!$F$6:$F$58,Census!$G35+Q$5-18),0)+INDEX(Decrements!$E$6:$E$58,Census!$G35+Q$5-18)*IF((Census!$F35+Q$5)&gt;=Assumptions!$B$11,1,0))*MIN(15/26*Census!$D35*(1+Assumptions!$B$9)^Q$5*(INT((Census!$F35+Q$5))+IF((Census!$F35+Q$5)-INT((Census!$F35+Q$5))&gt;0.5,1,0)),Assumptions!$B$10))</f>
        <v>12771.890374279221</v>
      </c>
      <c r="R35" s="30">
        <f>IF(R$5&gt;$B35,0,INDEX(Decrements!$G$6:$G$58,Census!$G35+R$5-18)/INDEX(Decrements!$G$6:$G$58,Census!$G35-17)*(INDEX(Decrements!$D$6:$D$58,Census!$G35+R$5-18)+IF(R$5=$B35,INDEX(Decrements!$F$6:$F$58,Census!$G35+R$5-18),0)+INDEX(Decrements!$E$6:$E$58,Census!$G35+R$5-18)*IF((Census!$F35+R$5)&gt;=Assumptions!$B$11,1,0))*MIN(15/26*Census!$D35*(1+Assumptions!$B$9)^R$5*(INT((Census!$F35+R$5))+IF((Census!$F35+R$5)-INT((Census!$F35+R$5))&gt;0.5,1,0)),Assumptions!$B$10))</f>
        <v>14086.887745729955</v>
      </c>
      <c r="S35" s="30">
        <f>IF(S$5&gt;$B35,0,INDEX(Decrements!$G$6:$G$58,Census!$G35+S$5-18)/INDEX(Decrements!$G$6:$G$58,Census!$G35-17)*(INDEX(Decrements!$D$6:$D$58,Census!$G35+S$5-18)+IF(S$5=$B35,INDEX(Decrements!$F$6:$F$58,Census!$G35+S$5-18),0)+INDEX(Decrements!$E$6:$E$58,Census!$G35+S$5-18)*IF((Census!$F35+S$5)&gt;=Assumptions!$B$11,1,0))*MIN(15/26*Census!$D35*(1+Assumptions!$B$9)^S$5*(INT((Census!$F35+S$5))+IF((Census!$F35+S$5)-INT((Census!$F35+S$5))&gt;0.5,1,0)),Assumptions!$B$10))</f>
        <v>15506.465425894352</v>
      </c>
      <c r="T35" s="30">
        <f>IF(T$5&gt;$B35,0,INDEX(Decrements!$G$6:$G$58,Census!$G35+T$5-18)/INDEX(Decrements!$G$6:$G$58,Census!$G35-17)*(INDEX(Decrements!$D$6:$D$58,Census!$G35+T$5-18)+IF(T$5=$B35,INDEX(Decrements!$F$6:$F$58,Census!$G35+T$5-18),0)+INDEX(Decrements!$E$6:$E$58,Census!$G35+T$5-18)*IF((Census!$F35+T$5)&gt;=Assumptions!$B$11,1,0))*MIN(15/26*Census!$D35*(1+Assumptions!$B$9)^T$5*(INT((Census!$F35+T$5))+IF((Census!$F35+T$5)-INT((Census!$F35+T$5))&gt;0.5,1,0)),Assumptions!$B$10))</f>
        <v>17039.087773178282</v>
      </c>
      <c r="U35" s="30">
        <f>IF(U$5&gt;$B35,0,INDEX(Decrements!$G$6:$G$58,Census!$G35+U$5-18)/INDEX(Decrements!$G$6:$G$58,Census!$G35-17)*(INDEX(Decrements!$D$6:$D$58,Census!$G35+U$5-18)+IF(U$5=$B35,INDEX(Decrements!$F$6:$F$58,Census!$G35+U$5-18),0)+INDEX(Decrements!$E$6:$E$58,Census!$G35+U$5-18)*IF((Census!$F35+U$5)&gt;=Assumptions!$B$11,1,0))*MIN(15/26*Census!$D35*(1+Assumptions!$B$9)^U$5*(INT((Census!$F35+U$5))+IF((Census!$F35+U$5)-INT((Census!$F35+U$5))&gt;0.5,1,0)),Assumptions!$B$10))</f>
        <v>17979.315313442745</v>
      </c>
      <c r="V35" s="30">
        <f>IF(V$5&gt;$B35,0,INDEX(Decrements!$G$6:$G$58,Census!$G35+V$5-18)/INDEX(Decrements!$G$6:$G$58,Census!$G35-17)*(INDEX(Decrements!$D$6:$D$58,Census!$G35+V$5-18)+IF(V$5=$B35,INDEX(Decrements!$F$6:$F$58,Census!$G35+V$5-18),0)+INDEX(Decrements!$E$6:$E$58,Census!$G35+V$5-18)*IF((Census!$F35+V$5)&gt;=Assumptions!$B$11,1,0))*MIN(15/26*Census!$D35*(1+Assumptions!$B$9)^V$5*(INT((Census!$F35+V$5))+IF((Census!$F35+V$5)-INT((Census!$F35+V$5))&gt;0.5,1,0)),Assumptions!$B$10))</f>
        <v>12182.332002773152</v>
      </c>
      <c r="W35" s="30">
        <f>IF(W$5&gt;$B35,0,INDEX(Decrements!$G$6:$G$58,Census!$G35+W$5-18)/INDEX(Decrements!$G$6:$G$58,Census!$G35-17)*(INDEX(Decrements!$D$6:$D$58,Census!$G35+W$5-18)+IF(W$5=$B35,INDEX(Decrements!$F$6:$F$58,Census!$G35+W$5-18),0)+INDEX(Decrements!$E$6:$E$58,Census!$G35+W$5-18)*IF((Census!$F35+W$5)&gt;=Assumptions!$B$11,1,0))*MIN(15/26*Census!$D35*(1+Assumptions!$B$9)^W$5*(INT((Census!$F35+W$5))+IF((Census!$F35+W$5)-INT((Census!$F35+W$5))&gt;0.5,1,0)),Assumptions!$B$10))</f>
        <v>12030.208483182523</v>
      </c>
      <c r="X35" s="30">
        <f>IF(X$5&gt;$B35,0,INDEX(Decrements!$G$6:$G$58,Census!$G35+X$5-18)/INDEX(Decrements!$G$6:$G$58,Census!$G35-17)*(INDEX(Decrements!$D$6:$D$58,Census!$G35+X$5-18)+IF(X$5=$B35,INDEX(Decrements!$F$6:$F$58,Census!$G35+X$5-18),0)+INDEX(Decrements!$E$6:$E$58,Census!$G35+X$5-18)*IF((Census!$F35+X$5)&gt;=Assumptions!$B$11,1,0))*MIN(15/26*Census!$D35*(1+Assumptions!$B$9)^X$5*(INT((Census!$F35+X$5))+IF((Census!$F35+X$5)-INT((Census!$F35+X$5))&gt;0.5,1,0)),Assumptions!$B$10))</f>
        <v>11888.004047956949</v>
      </c>
      <c r="Y35" s="30">
        <f>IF(Y$5&gt;$B35,0,INDEX(Decrements!$G$6:$G$58,Census!$G35+Y$5-18)/INDEX(Decrements!$G$6:$G$58,Census!$G35-17)*(INDEX(Decrements!$D$6:$D$58,Census!$G35+Y$5-18)+IF(Y$5=$B35,INDEX(Decrements!$F$6:$F$58,Census!$G35+Y$5-18),0)+INDEX(Decrements!$E$6:$E$58,Census!$G35+Y$5-18)*IF((Census!$F35+Y$5)&gt;=Assumptions!$B$11,1,0))*MIN(15/26*Census!$D35*(1+Assumptions!$B$9)^Y$5*(INT((Census!$F35+Y$5))+IF((Census!$F35+Y$5)-INT((Census!$F35+Y$5))&gt;0.5,1,0)),Assumptions!$B$10))</f>
        <v>11755.927711770048</v>
      </c>
      <c r="Z35" s="30">
        <f>IF(Z$5&gt;$B35,0,INDEX(Decrements!$G$6:$G$58,Census!$G35+Z$5-18)/INDEX(Decrements!$G$6:$G$58,Census!$G35-17)*(INDEX(Decrements!$D$6:$D$58,Census!$G35+Z$5-18)+IF(Z$5=$B35,INDEX(Decrements!$F$6:$F$58,Census!$G35+Z$5-18),0)+INDEX(Decrements!$E$6:$E$58,Census!$G35+Z$5-18)*IF((Census!$F35+Z$5)&gt;=Assumptions!$B$11,1,0))*MIN(15/26*Census!$D35*(1+Assumptions!$B$9)^Z$5*(INT((Census!$F35+Z$5))+IF((Census!$F35+Z$5)-INT((Census!$F35+Z$5))&gt;0.5,1,0)),Assumptions!$B$10))</f>
        <v>11634.195386758987</v>
      </c>
      <c r="AA35" s="30">
        <f>IF(AA$5&gt;$B35,0,INDEX(Decrements!$G$6:$G$58,Census!$G35+AA$5-18)/INDEX(Decrements!$G$6:$G$58,Census!$G35-17)*(INDEX(Decrements!$D$6:$D$58,Census!$G35+AA$5-18)+IF(AA$5=$B35,INDEX(Decrements!$F$6:$F$58,Census!$G35+AA$5-18),0)+INDEX(Decrements!$E$6:$E$58,Census!$G35+AA$5-18)*IF((Census!$F35+AA$5)&gt;=Assumptions!$B$11,1,0))*MIN(15/26*Census!$D35*(1+Assumptions!$B$9)^AA$5*(INT((Census!$F35+AA$5))+IF((Census!$F35+AA$5)-INT((Census!$F35+AA$5))&gt;0.5,1,0)),Assumptions!$B$10))</f>
        <v>6795.9783911832601</v>
      </c>
      <c r="AB35" s="30">
        <f>IF(AB$5&gt;$B35,0,INDEX(Decrements!$G$6:$G$58,Census!$G35+AB$5-18)/INDEX(Decrements!$G$6:$G$58,Census!$G35-17)*(INDEX(Decrements!$D$6:$D$58,Census!$G35+AB$5-18)+IF(AB$5=$B35,INDEX(Decrements!$F$6:$F$58,Census!$G35+AB$5-18),0)+INDEX(Decrements!$E$6:$E$58,Census!$G35+AB$5-18)*IF((Census!$F35+AB$5)&gt;=Assumptions!$B$11,1,0))*MIN(15/26*Census!$D35*(1+Assumptions!$B$9)^AB$5*(INT((Census!$F35+AB$5))+IF((Census!$F35+AB$5)-INT((Census!$F35+AB$5))&gt;0.5,1,0)),Assumptions!$B$10))</f>
        <v>6881.6639747094532</v>
      </c>
      <c r="AC35" s="30">
        <f>IF(AC$5&gt;$B35,0,INDEX(Decrements!$G$6:$G$58,Census!$G35+AC$5-18)/INDEX(Decrements!$G$6:$G$58,Census!$G35-17)*(INDEX(Decrements!$D$6:$D$58,Census!$G35+AC$5-18)+IF(AC$5=$B35,INDEX(Decrements!$F$6:$F$58,Census!$G35+AC$5-18),0)+INDEX(Decrements!$E$6:$E$58,Census!$G35+AC$5-18)*IF((Census!$F35+AC$5)&gt;=Assumptions!$B$11,1,0))*MIN(15/26*Census!$D35*(1+Assumptions!$B$9)^AC$5*(INT((Census!$F35+AC$5))+IF((Census!$F35+AC$5)-INT((Census!$F35+AC$5))&gt;0.5,1,0)),Assumptions!$B$10))</f>
        <v>6978.6868065543758</v>
      </c>
      <c r="AD35" s="30">
        <f>IF(AD$5&gt;$B35,0,INDEX(Decrements!$G$6:$G$58,Census!$G35+AD$5-18)/INDEX(Decrements!$G$6:$G$58,Census!$G35-17)*(INDEX(Decrements!$D$6:$D$58,Census!$G35+AD$5-18)+IF(AD$5=$B35,INDEX(Decrements!$F$6:$F$58,Census!$G35+AD$5-18),0)+INDEX(Decrements!$E$6:$E$58,Census!$G35+AD$5-18)*IF((Census!$F35+AD$5)&gt;=Assumptions!$B$11,1,0))*MIN(15/26*Census!$D35*(1+Assumptions!$B$9)^AD$5*(INT((Census!$F35+AD$5))+IF((Census!$F35+AD$5)-INT((Census!$F35+AD$5))&gt;0.5,1,0)),Assumptions!$B$10))</f>
        <v>7087.7063039499853</v>
      </c>
      <c r="AE35" s="30">
        <f>IF(AE$5&gt;$B35,0,INDEX(Decrements!$G$6:$G$58,Census!$G35+AE$5-18)/INDEX(Decrements!$G$6:$G$58,Census!$G35-17)*(INDEX(Decrements!$D$6:$D$58,Census!$G35+AE$5-18)+IF(AE$5=$B35,INDEX(Decrements!$F$6:$F$58,Census!$G35+AE$5-18),0)+INDEX(Decrements!$E$6:$E$58,Census!$G35+AE$5-18)*IF((Census!$F35+AE$5)&gt;=Assumptions!$B$11,1,0))*MIN(15/26*Census!$D35*(1+Assumptions!$B$9)^AE$5*(INT((Census!$F35+AE$5))+IF((Census!$F35+AE$5)-INT((Census!$F35+AE$5))&gt;0.5,1,0)),Assumptions!$B$10))</f>
        <v>447029.76204775361</v>
      </c>
      <c r="AF35" s="30">
        <f>IF(AF$5&gt;$B35,0,INDEX(Decrements!$G$6:$G$58,Census!$G35+AF$5-18)/INDEX(Decrements!$G$6:$G$58,Census!$G35-17)*(INDEX(Decrements!$D$6:$D$58,Census!$G35+AF$5-18)+IF(AF$5=$B35,INDEX(Decrements!$F$6:$F$58,Census!$G35+AF$5-18),0)+INDEX(Decrements!$E$6:$E$58,Census!$G35+AF$5-18)*IF((Census!$F35+AF$5)&gt;=Assumptions!$B$11,1,0))*MIN(15/26*Census!$D35*(1+Assumptions!$B$9)^AF$5*(INT((Census!$F35+AF$5))+IF((Census!$F35+AF$5)-INT((Census!$F35+AF$5))&gt;0.5,1,0)),Assumptions!$B$10))</f>
        <v>0</v>
      </c>
      <c r="AG35" s="30">
        <f>IF(AG$5&gt;$B35,0,INDEX(Decrements!$G$6:$G$58,Census!$G35+AG$5-18)/INDEX(Decrements!$G$6:$G$58,Census!$G35-17)*(INDEX(Decrements!$D$6:$D$58,Census!$G35+AG$5-18)+IF(AG$5=$B35,INDEX(Decrements!$F$6:$F$58,Census!$G35+AG$5-18),0)+INDEX(Decrements!$E$6:$E$58,Census!$G35+AG$5-18)*IF((Census!$F35+AG$5)&gt;=Assumptions!$B$11,1,0))*MIN(15/26*Census!$D35*(1+Assumptions!$B$9)^AG$5*(INT((Census!$F35+AG$5))+IF((Census!$F35+AG$5)-INT((Census!$F35+AG$5))&gt;0.5,1,0)),Assumptions!$B$10))</f>
        <v>0</v>
      </c>
      <c r="AH35" s="30">
        <f>IF(AH$5&gt;$B35,0,INDEX(Decrements!$G$6:$G$58,Census!$G35+AH$5-18)/INDEX(Decrements!$G$6:$G$58,Census!$G35-17)*(INDEX(Decrements!$D$6:$D$58,Census!$G35+AH$5-18)+IF(AH$5=$B35,INDEX(Decrements!$F$6:$F$58,Census!$G35+AH$5-18),0)+INDEX(Decrements!$E$6:$E$58,Census!$G35+AH$5-18)*IF((Census!$F35+AH$5)&gt;=Assumptions!$B$11,1,0))*MIN(15/26*Census!$D35*(1+Assumptions!$B$9)^AH$5*(INT((Census!$F35+AH$5))+IF((Census!$F35+AH$5)-INT((Census!$F35+AH$5))&gt;0.5,1,0)),Assumptions!$B$10))</f>
        <v>0</v>
      </c>
      <c r="AI35" s="30">
        <f>IF(AI$5&gt;$B35,0,INDEX(Decrements!$G$6:$G$58,Census!$G35+AI$5-18)/INDEX(Decrements!$G$6:$G$58,Census!$G35-17)*(INDEX(Decrements!$D$6:$D$58,Census!$G35+AI$5-18)+IF(AI$5=$B35,INDEX(Decrements!$F$6:$F$58,Census!$G35+AI$5-18),0)+INDEX(Decrements!$E$6:$E$58,Census!$G35+AI$5-18)*IF((Census!$F35+AI$5)&gt;=Assumptions!$B$11,1,0))*MIN(15/26*Census!$D35*(1+Assumptions!$B$9)^AI$5*(INT((Census!$F35+AI$5))+IF((Census!$F35+AI$5)-INT((Census!$F35+AI$5))&gt;0.5,1,0)),Assumptions!$B$10))</f>
        <v>0</v>
      </c>
      <c r="AJ35" s="30">
        <f>IF(AJ$5&gt;$B35,0,INDEX(Decrements!$G$6:$G$58,Census!$G35+AJ$5-18)/INDEX(Decrements!$G$6:$G$58,Census!$G35-17)*(INDEX(Decrements!$D$6:$D$58,Census!$G35+AJ$5-18)+IF(AJ$5=$B35,INDEX(Decrements!$F$6:$F$58,Census!$G35+AJ$5-18),0)+INDEX(Decrements!$E$6:$E$58,Census!$G35+AJ$5-18)*IF((Census!$F35+AJ$5)&gt;=Assumptions!$B$11,1,0))*MIN(15/26*Census!$D35*(1+Assumptions!$B$9)^AJ$5*(INT((Census!$F35+AJ$5))+IF((Census!$F35+AJ$5)-INT((Census!$F35+AJ$5))&gt;0.5,1,0)),Assumptions!$B$10))</f>
        <v>0</v>
      </c>
      <c r="AK35" s="30">
        <f>IF(AK$5&gt;$B35,0,INDEX(Decrements!$G$6:$G$58,Census!$G35+AK$5-18)/INDEX(Decrements!$G$6:$G$58,Census!$G35-17)*(INDEX(Decrements!$D$6:$D$58,Census!$G35+AK$5-18)+IF(AK$5=$B35,INDEX(Decrements!$F$6:$F$58,Census!$G35+AK$5-18),0)+INDEX(Decrements!$E$6:$E$58,Census!$G35+AK$5-18)*IF((Census!$F35+AK$5)&gt;=Assumptions!$B$11,1,0))*MIN(15/26*Census!$D35*(1+Assumptions!$B$9)^AK$5*(INT((Census!$F35+AK$5))+IF((Census!$F35+AK$5)-INT((Census!$F35+AK$5))&gt;0.5,1,0)),Assumptions!$B$10))</f>
        <v>0</v>
      </c>
      <c r="AL35" s="30">
        <f>IF(AL$5&gt;$B35,0,INDEX(Decrements!$G$6:$G$58,Census!$G35+AL$5-18)/INDEX(Decrements!$G$6:$G$58,Census!$G35-17)*(INDEX(Decrements!$D$6:$D$58,Census!$G35+AL$5-18)+IF(AL$5=$B35,INDEX(Decrements!$F$6:$F$58,Census!$G35+AL$5-18),0)+INDEX(Decrements!$E$6:$E$58,Census!$G35+AL$5-18)*IF((Census!$F35+AL$5)&gt;=Assumptions!$B$11,1,0))*MIN(15/26*Census!$D35*(1+Assumptions!$B$9)^AL$5*(INT((Census!$F35+AL$5))+IF((Census!$F35+AL$5)-INT((Census!$F35+AL$5))&gt;0.5,1,0)),Assumptions!$B$10))</f>
        <v>0</v>
      </c>
      <c r="AM35" s="30">
        <f>IF(AM$5&gt;$B35,0,INDEX(Decrements!$G$6:$G$58,Census!$G35+AM$5-18)/INDEX(Decrements!$G$6:$G$58,Census!$G35-17)*(INDEX(Decrements!$D$6:$D$58,Census!$G35+AM$5-18)+IF(AM$5=$B35,INDEX(Decrements!$F$6:$F$58,Census!$G35+AM$5-18),0)+INDEX(Decrements!$E$6:$E$58,Census!$G35+AM$5-18)*IF((Census!$F35+AM$5)&gt;=Assumptions!$B$11,1,0))*MIN(15/26*Census!$D35*(1+Assumptions!$B$9)^AM$5*(INT((Census!$F35+AM$5))+IF((Census!$F35+AM$5)-INT((Census!$F35+AM$5))&gt;0.5,1,0)),Assumptions!$B$10))</f>
        <v>0</v>
      </c>
      <c r="AN35" s="30">
        <f>IF(AN$5&gt;$B35,0,INDEX(Decrements!$G$6:$G$58,Census!$G35+AN$5-18)/INDEX(Decrements!$G$6:$G$58,Census!$G35-17)*(INDEX(Decrements!$D$6:$D$58,Census!$G35+AN$5-18)+IF(AN$5=$B35,INDEX(Decrements!$F$6:$F$58,Census!$G35+AN$5-18),0)+INDEX(Decrements!$E$6:$E$58,Census!$G35+AN$5-18)*IF((Census!$F35+AN$5)&gt;=Assumptions!$B$11,1,0))*MIN(15/26*Census!$D35*(1+Assumptions!$B$9)^AN$5*(INT((Census!$F35+AN$5))+IF((Census!$F35+AN$5)-INT((Census!$F35+AN$5))&gt;0.5,1,0)),Assumptions!$B$10))</f>
        <v>0</v>
      </c>
      <c r="AO35" s="30">
        <f>IF(AO$5&gt;$B35,0,INDEX(Decrements!$G$6:$G$58,Census!$G35+AO$5-18)/INDEX(Decrements!$G$6:$G$58,Census!$G35-17)*(INDEX(Decrements!$D$6:$D$58,Census!$G35+AO$5-18)+IF(AO$5=$B35,INDEX(Decrements!$F$6:$F$58,Census!$G35+AO$5-18),0)+INDEX(Decrements!$E$6:$E$58,Census!$G35+AO$5-18)*IF((Census!$F35+AO$5)&gt;=Assumptions!$B$11,1,0))*MIN(15/26*Census!$D35*(1+Assumptions!$B$9)^AO$5*(INT((Census!$F35+AO$5))+IF((Census!$F35+AO$5)-INT((Census!$F35+AO$5))&gt;0.5,1,0)),Assumptions!$B$10))</f>
        <v>0</v>
      </c>
      <c r="AP35" s="30">
        <f>IF(AP$5&gt;$B35,0,INDEX(Decrements!$G$6:$G$58,Census!$G35+AP$5-18)/INDEX(Decrements!$G$6:$G$58,Census!$G35-17)*(INDEX(Decrements!$D$6:$D$58,Census!$G35+AP$5-18)+IF(AP$5=$B35,INDEX(Decrements!$F$6:$F$58,Census!$G35+AP$5-18),0)+INDEX(Decrements!$E$6:$E$58,Census!$G35+AP$5-18)*IF((Census!$F35+AP$5)&gt;=Assumptions!$B$11,1,0))*MIN(15/26*Census!$D35*(1+Assumptions!$B$9)^AP$5*(INT((Census!$F35+AP$5))+IF((Census!$F35+AP$5)-INT((Census!$F35+AP$5))&gt;0.5,1,0)),Assumptions!$B$10))</f>
        <v>0</v>
      </c>
      <c r="AQ35" s="30">
        <f>IF(AQ$5&gt;$B35,0,INDEX(Decrements!$G$6:$G$58,Census!$G35+AQ$5-18)/INDEX(Decrements!$G$6:$G$58,Census!$G35-17)*(INDEX(Decrements!$D$6:$D$58,Census!$G35+AQ$5-18)+IF(AQ$5=$B35,INDEX(Decrements!$F$6:$F$58,Census!$G35+AQ$5-18),0)+INDEX(Decrements!$E$6:$E$58,Census!$G35+AQ$5-18)*IF((Census!$F35+AQ$5)&gt;=Assumptions!$B$11,1,0))*MIN(15/26*Census!$D35*(1+Assumptions!$B$9)^AQ$5*(INT((Census!$F35+AQ$5))+IF((Census!$F35+AQ$5)-INT((Census!$F35+AQ$5))&gt;0.5,1,0)),Assumptions!$B$10))</f>
        <v>0</v>
      </c>
      <c r="AR35" s="30">
        <f>IF(AR$5&gt;$B35,0,INDEX(Decrements!$G$6:$G$58,Census!$G35+AR$5-18)/INDEX(Decrements!$G$6:$G$58,Census!$G35-17)*(INDEX(Decrements!$D$6:$D$58,Census!$G35+AR$5-18)+IF(AR$5=$B35,INDEX(Decrements!$F$6:$F$58,Census!$G35+AR$5-18),0)+INDEX(Decrements!$E$6:$E$58,Census!$G35+AR$5-18)*IF((Census!$F35+AR$5)&gt;=Assumptions!$B$11,1,0))*MIN(15/26*Census!$D35*(1+Assumptions!$B$9)^AR$5*(INT((Census!$F35+AR$5))+IF((Census!$F35+AR$5)-INT((Census!$F35+AR$5))&gt;0.5,1,0)),Assumptions!$B$10))</f>
        <v>0</v>
      </c>
      <c r="AS35" s="30">
        <f>IF(AS$5&gt;$B35,0,INDEX(Decrements!$G$6:$G$58,Census!$G35+AS$5-18)/INDEX(Decrements!$G$6:$G$58,Census!$G35-17)*(INDEX(Decrements!$D$6:$D$58,Census!$G35+AS$5-18)+IF(AS$5=$B35,INDEX(Decrements!$F$6:$F$58,Census!$G35+AS$5-18),0)+INDEX(Decrements!$E$6:$E$58,Census!$G35+AS$5-18)*IF((Census!$F35+AS$5)&gt;=Assumptions!$B$11,1,0))*MIN(15/26*Census!$D35*(1+Assumptions!$B$9)^AS$5*(INT((Census!$F35+AS$5))+IF((Census!$F35+AS$5)-INT((Census!$F35+AS$5))&gt;0.5,1,0)),Assumptions!$B$10))</f>
        <v>0</v>
      </c>
      <c r="AT35" s="30">
        <f>IF(AT$5&gt;$B35,0,INDEX(Decrements!$G$6:$G$58,Census!$G35+AT$5-18)/INDEX(Decrements!$G$6:$G$58,Census!$G35-17)*(INDEX(Decrements!$D$6:$D$58,Census!$G35+AT$5-18)+IF(AT$5=$B35,INDEX(Decrements!$F$6:$F$58,Census!$G35+AT$5-18),0)+INDEX(Decrements!$E$6:$E$58,Census!$G35+AT$5-18)*IF((Census!$F35+AT$5)&gt;=Assumptions!$B$11,1,0))*MIN(15/26*Census!$D35*(1+Assumptions!$B$9)^AT$5*(INT((Census!$F35+AT$5))+IF((Census!$F35+AT$5)-INT((Census!$F35+AT$5))&gt;0.5,1,0)),Assumptions!$B$10))</f>
        <v>0</v>
      </c>
      <c r="AU35" s="30">
        <f>IF(AU$5&gt;$B35,0,INDEX(Decrements!$G$6:$G$58,Census!$G35+AU$5-18)/INDEX(Decrements!$G$6:$G$58,Census!$G35-17)*(INDEX(Decrements!$D$6:$D$58,Census!$G35+AU$5-18)+IF(AU$5=$B35,INDEX(Decrements!$F$6:$F$58,Census!$G35+AU$5-18),0)+INDEX(Decrements!$E$6:$E$58,Census!$G35+AU$5-18)*IF((Census!$F35+AU$5)&gt;=Assumptions!$B$11,1,0))*MIN(15/26*Census!$D35*(1+Assumptions!$B$9)^AU$5*(INT((Census!$F35+AU$5))+IF((Census!$F35+AU$5)-INT((Census!$F35+AU$5))&gt;0.5,1,0)),Assumptions!$B$10))</f>
        <v>0</v>
      </c>
    </row>
    <row r="36" spans="1:47" x14ac:dyDescent="0.3">
      <c r="A36" s="10" t="str">
        <f>Census!A36</f>
        <v>E031</v>
      </c>
      <c r="B36" s="29">
        <f>Census!H36</f>
        <v>27</v>
      </c>
      <c r="C36" s="30">
        <f>IF(C$5&gt;$B36,0,INDEX(Decrements!$G$6:$G$58,Census!$G36+C$5-18)/INDEX(Decrements!$G$6:$G$58,Census!$G36-17)*(INDEX(Decrements!$D$6:$D$58,Census!$G36+C$5-18)+IF(C$5=$B36,INDEX(Decrements!$F$6:$F$58,Census!$G36+C$5-18),0)+INDEX(Decrements!$E$6:$E$58,Census!$G36+C$5-18)*IF((Census!$F36+C$5)&gt;=Assumptions!$B$11,1,0))*MIN(15/26*Census!$D36*(1+Assumptions!$B$9)^C$5*(INT((Census!$F36+C$5))+IF((Census!$F36+C$5)-INT((Census!$F36+C$5))&gt;0.5,1,0)),Assumptions!$B$10))</f>
        <v>44918.028037941927</v>
      </c>
      <c r="D36" s="30">
        <f>IF(D$5&gt;$B36,0,INDEX(Decrements!$G$6:$G$58,Census!$G36+D$5-18)/INDEX(Decrements!$G$6:$G$58,Census!$G36-17)*(INDEX(Decrements!$D$6:$D$58,Census!$G36+D$5-18)+IF(D$5=$B36,INDEX(Decrements!$F$6:$F$58,Census!$G36+D$5-18),0)+INDEX(Decrements!$E$6:$E$58,Census!$G36+D$5-18)*IF((Census!$F36+D$5)&gt;=Assumptions!$B$11,1,0))*MIN(15/26*Census!$D36*(1+Assumptions!$B$9)^D$5*(INT((Census!$F36+D$5))+IF((Census!$F36+D$5)-INT((Census!$F36+D$5))&gt;0.5,1,0)),Assumptions!$B$10))</f>
        <v>47948.651880142403</v>
      </c>
      <c r="E36" s="30">
        <f>IF(E$5&gt;$B36,0,INDEX(Decrements!$G$6:$G$58,Census!$G36+E$5-18)/INDEX(Decrements!$G$6:$G$58,Census!$G36-17)*(INDEX(Decrements!$D$6:$D$58,Census!$G36+E$5-18)+IF(E$5=$B36,INDEX(Decrements!$F$6:$F$58,Census!$G36+E$5-18),0)+INDEX(Decrements!$E$6:$E$58,Census!$G36+E$5-18)*IF((Census!$F36+E$5)&gt;=Assumptions!$B$11,1,0))*MIN(15/26*Census!$D36*(1+Assumptions!$B$9)^E$5*(INT((Census!$F36+E$5))+IF((Census!$F36+E$5)-INT((Census!$F36+E$5))&gt;0.5,1,0)),Assumptions!$B$10))</f>
        <v>36975.229385056191</v>
      </c>
      <c r="F36" s="30">
        <f>IF(F$5&gt;$B36,0,INDEX(Decrements!$G$6:$G$58,Census!$G36+F$5-18)/INDEX(Decrements!$G$6:$G$58,Census!$G36-17)*(INDEX(Decrements!$D$6:$D$58,Census!$G36+F$5-18)+IF(F$5=$B36,INDEX(Decrements!$F$6:$F$58,Census!$G36+F$5-18),0)+INDEX(Decrements!$E$6:$E$58,Census!$G36+F$5-18)*IF((Census!$F36+F$5)&gt;=Assumptions!$B$11,1,0))*MIN(15/26*Census!$D36*(1+Assumptions!$B$9)^F$5*(INT((Census!$F36+F$5))+IF((Census!$F36+F$5)-INT((Census!$F36+F$5))&gt;0.5,1,0)),Assumptions!$B$10))</f>
        <v>40065.63330380433</v>
      </c>
      <c r="G36" s="30">
        <f>IF(G$5&gt;$B36,0,INDEX(Decrements!$G$6:$G$58,Census!$G36+G$5-18)/INDEX(Decrements!$G$6:$G$58,Census!$G36-17)*(INDEX(Decrements!$D$6:$D$58,Census!$G36+G$5-18)+IF(G$5=$B36,INDEX(Decrements!$F$6:$F$58,Census!$G36+G$5-18),0)+INDEX(Decrements!$E$6:$E$58,Census!$G36+G$5-18)*IF((Census!$F36+G$5)&gt;=Assumptions!$B$11,1,0))*MIN(15/26*Census!$D36*(1+Assumptions!$B$9)^G$5*(INT((Census!$F36+G$5))+IF((Census!$F36+G$5)-INT((Census!$F36+G$5))&gt;0.5,1,0)),Assumptions!$B$10))</f>
        <v>43113.166224376728</v>
      </c>
      <c r="H36" s="30">
        <f>IF(H$5&gt;$B36,0,INDEX(Decrements!$G$6:$G$58,Census!$G36+H$5-18)/INDEX(Decrements!$G$6:$G$58,Census!$G36-17)*(INDEX(Decrements!$D$6:$D$58,Census!$G36+H$5-18)+IF(H$5=$B36,INDEX(Decrements!$F$6:$F$58,Census!$G36+H$5-18),0)+INDEX(Decrements!$E$6:$E$58,Census!$G36+H$5-18)*IF((Census!$F36+H$5)&gt;=Assumptions!$B$11,1,0))*MIN(15/26*Census!$D36*(1+Assumptions!$B$9)^H$5*(INT((Census!$F36+H$5))+IF((Census!$F36+H$5)-INT((Census!$F36+H$5))&gt;0.5,1,0)),Assumptions!$B$10))</f>
        <v>46118.364813365988</v>
      </c>
      <c r="I36" s="30">
        <f>IF(I$5&gt;$B36,0,INDEX(Decrements!$G$6:$G$58,Census!$G36+I$5-18)/INDEX(Decrements!$G$6:$G$58,Census!$G36-17)*(INDEX(Decrements!$D$6:$D$58,Census!$G36+I$5-18)+IF(I$5=$B36,INDEX(Decrements!$F$6:$F$58,Census!$G36+I$5-18),0)+INDEX(Decrements!$E$6:$E$58,Census!$G36+I$5-18)*IF((Census!$F36+I$5)&gt;=Assumptions!$B$11,1,0))*MIN(15/26*Census!$D36*(1+Assumptions!$B$9)^I$5*(INT((Census!$F36+I$5))+IF((Census!$F36+I$5)-INT((Census!$F36+I$5))&gt;0.5,1,0)),Assumptions!$B$10))</f>
        <v>49081.769184072058</v>
      </c>
      <c r="J36" s="30">
        <f>IF(J$5&gt;$B36,0,INDEX(Decrements!$G$6:$G$58,Census!$G36+J$5-18)/INDEX(Decrements!$G$6:$G$58,Census!$G36-17)*(INDEX(Decrements!$D$6:$D$58,Census!$G36+J$5-18)+IF(J$5=$B36,INDEX(Decrements!$F$6:$F$58,Census!$G36+J$5-18),0)+INDEX(Decrements!$E$6:$E$58,Census!$G36+J$5-18)*IF((Census!$F36+J$5)&gt;=Assumptions!$B$11,1,0))*MIN(15/26*Census!$D36*(1+Assumptions!$B$9)^J$5*(INT((Census!$F36+J$5))+IF((Census!$F36+J$5)-INT((Census!$F36+J$5))&gt;0.5,1,0)),Assumptions!$B$10))</f>
        <v>32826.228265038779</v>
      </c>
      <c r="K36" s="30">
        <f>IF(K$5&gt;$B36,0,INDEX(Decrements!$G$6:$G$58,Census!$G36+K$5-18)/INDEX(Decrements!$G$6:$G$58,Census!$G36-17)*(INDEX(Decrements!$D$6:$D$58,Census!$G36+K$5-18)+IF(K$5=$B36,INDEX(Decrements!$F$6:$F$58,Census!$G36+K$5-18),0)+INDEX(Decrements!$E$6:$E$58,Census!$G36+K$5-18)*IF((Census!$F36+K$5)&gt;=Assumptions!$B$11,1,0))*MIN(15/26*Census!$D36*(1+Assumptions!$B$9)^K$5*(INT((Census!$F36+K$5))+IF((Census!$F36+K$5)-INT((Census!$F36+K$5))&gt;0.5,1,0)),Assumptions!$B$10))</f>
        <v>35799.211669335411</v>
      </c>
      <c r="L36" s="30">
        <f>IF(L$5&gt;$B36,0,INDEX(Decrements!$G$6:$G$58,Census!$G36+L$5-18)/INDEX(Decrements!$G$6:$G$58,Census!$G36-17)*(INDEX(Decrements!$D$6:$D$58,Census!$G36+L$5-18)+IF(L$5=$B36,INDEX(Decrements!$F$6:$F$58,Census!$G36+L$5-18),0)+INDEX(Decrements!$E$6:$E$58,Census!$G36+L$5-18)*IF((Census!$F36+L$5)&gt;=Assumptions!$B$11,1,0))*MIN(15/26*Census!$D36*(1+Assumptions!$B$9)^L$5*(INT((Census!$F36+L$5))+IF((Census!$F36+L$5)-INT((Census!$F36+L$5))&gt;0.5,1,0)),Assumptions!$B$10))</f>
        <v>38909.347667738875</v>
      </c>
      <c r="M36" s="30">
        <f>IF(M$5&gt;$B36,0,INDEX(Decrements!$G$6:$G$58,Census!$G36+M$5-18)/INDEX(Decrements!$G$6:$G$58,Census!$G36-17)*(INDEX(Decrements!$D$6:$D$58,Census!$G36+M$5-18)+IF(M$5=$B36,INDEX(Decrements!$F$6:$F$58,Census!$G36+M$5-18),0)+INDEX(Decrements!$E$6:$E$58,Census!$G36+M$5-18)*IF((Census!$F36+M$5)&gt;=Assumptions!$B$11,1,0))*MIN(15/26*Census!$D36*(1+Assumptions!$B$9)^M$5*(INT((Census!$F36+M$5))+IF((Census!$F36+M$5)-INT((Census!$F36+M$5))&gt;0.5,1,0)),Assumptions!$B$10))</f>
        <v>42162.690312818369</v>
      </c>
      <c r="N36" s="30">
        <f>IF(N$5&gt;$B36,0,INDEX(Decrements!$G$6:$G$58,Census!$G36+N$5-18)/INDEX(Decrements!$G$6:$G$58,Census!$G36-17)*(INDEX(Decrements!$D$6:$D$58,Census!$G36+N$5-18)+IF(N$5=$B36,INDEX(Decrements!$F$6:$F$58,Census!$G36+N$5-18),0)+INDEX(Decrements!$E$6:$E$58,Census!$G36+N$5-18)*IF((Census!$F36+N$5)&gt;=Assumptions!$B$11,1,0))*MIN(15/26*Census!$D36*(1+Assumptions!$B$9)^N$5*(INT((Census!$F36+N$5))+IF((Census!$F36+N$5)-INT((Census!$F36+N$5))&gt;0.5,1,0)),Assumptions!$B$10))</f>
        <v>43380.67500884091</v>
      </c>
      <c r="O36" s="30">
        <f>IF(O$5&gt;$B36,0,INDEX(Decrements!$G$6:$G$58,Census!$G36+O$5-18)/INDEX(Decrements!$G$6:$G$58,Census!$G36-17)*(INDEX(Decrements!$D$6:$D$58,Census!$G36+O$5-18)+IF(O$5=$B36,INDEX(Decrements!$F$6:$F$58,Census!$G36+O$5-18),0)+INDEX(Decrements!$E$6:$E$58,Census!$G36+O$5-18)*IF((Census!$F36+O$5)&gt;=Assumptions!$B$11,1,0))*MIN(15/26*Census!$D36*(1+Assumptions!$B$9)^O$5*(INT((Census!$F36+O$5))+IF((Census!$F36+O$5)-INT((Census!$F36+O$5))&gt;0.5,1,0)),Assumptions!$B$10))</f>
        <v>25359.253003380611</v>
      </c>
      <c r="P36" s="30">
        <f>IF(P$5&gt;$B36,0,INDEX(Decrements!$G$6:$G$58,Census!$G36+P$5-18)/INDEX(Decrements!$G$6:$G$58,Census!$G36-17)*(INDEX(Decrements!$D$6:$D$58,Census!$G36+P$5-18)+IF(P$5=$B36,INDEX(Decrements!$F$6:$F$58,Census!$G36+P$5-18),0)+INDEX(Decrements!$E$6:$E$58,Census!$G36+P$5-18)*IF((Census!$F36+P$5)&gt;=Assumptions!$B$11,1,0))*MIN(15/26*Census!$D36*(1+Assumptions!$B$9)^P$5*(INT((Census!$F36+P$5))+IF((Census!$F36+P$5)-INT((Census!$F36+P$5))&gt;0.5,1,0)),Assumptions!$B$10))</f>
        <v>24665.122326732151</v>
      </c>
      <c r="Q36" s="30">
        <f>IF(Q$5&gt;$B36,0,INDEX(Decrements!$G$6:$G$58,Census!$G36+Q$5-18)/INDEX(Decrements!$G$6:$G$58,Census!$G36-17)*(INDEX(Decrements!$D$6:$D$58,Census!$G36+Q$5-18)+IF(Q$5=$B36,INDEX(Decrements!$F$6:$F$58,Census!$G36+Q$5-18),0)+INDEX(Decrements!$E$6:$E$58,Census!$G36+Q$5-18)*IF((Census!$F36+Q$5)&gt;=Assumptions!$B$11,1,0))*MIN(15/26*Census!$D36*(1+Assumptions!$B$9)^Q$5*(INT((Census!$F36+Q$5))+IF((Census!$F36+Q$5)-INT((Census!$F36+Q$5))&gt;0.5,1,0)),Assumptions!$B$10))</f>
        <v>23996.83102560306</v>
      </c>
      <c r="R36" s="30">
        <f>IF(R$5&gt;$B36,0,INDEX(Decrements!$G$6:$G$58,Census!$G36+R$5-18)/INDEX(Decrements!$G$6:$G$58,Census!$G36-17)*(INDEX(Decrements!$D$6:$D$58,Census!$G36+R$5-18)+IF(R$5=$B36,INDEX(Decrements!$F$6:$F$58,Census!$G36+R$5-18),0)+INDEX(Decrements!$E$6:$E$58,Census!$G36+R$5-18)*IF((Census!$F36+R$5)&gt;=Assumptions!$B$11,1,0))*MIN(15/26*Census!$D36*(1+Assumptions!$B$9)^R$5*(INT((Census!$F36+R$5))+IF((Census!$F36+R$5)-INT((Census!$F36+R$5))&gt;0.5,1,0)),Assumptions!$B$10))</f>
        <v>23353.851141971063</v>
      </c>
      <c r="S36" s="30">
        <f>IF(S$5&gt;$B36,0,INDEX(Decrements!$G$6:$G$58,Census!$G36+S$5-18)/INDEX(Decrements!$G$6:$G$58,Census!$G36-17)*(INDEX(Decrements!$D$6:$D$58,Census!$G36+S$5-18)+IF(S$5=$B36,INDEX(Decrements!$F$6:$F$58,Census!$G36+S$5-18),0)+INDEX(Decrements!$E$6:$E$58,Census!$G36+S$5-18)*IF((Census!$F36+S$5)&gt;=Assumptions!$B$11,1,0))*MIN(15/26*Census!$D36*(1+Assumptions!$B$9)^S$5*(INT((Census!$F36+S$5))+IF((Census!$F36+S$5)-INT((Census!$F36+S$5))&gt;0.5,1,0)),Assumptions!$B$10))</f>
        <v>22735.678045222099</v>
      </c>
      <c r="T36" s="30">
        <f>IF(T$5&gt;$B36,0,INDEX(Decrements!$G$6:$G$58,Census!$G36+T$5-18)/INDEX(Decrements!$G$6:$G$58,Census!$G36-17)*(INDEX(Decrements!$D$6:$D$58,Census!$G36+T$5-18)+IF(T$5=$B36,INDEX(Decrements!$F$6:$F$58,Census!$G36+T$5-18),0)+INDEX(Decrements!$E$6:$E$58,Census!$G36+T$5-18)*IF((Census!$F36+T$5)&gt;=Assumptions!$B$11,1,0))*MIN(15/26*Census!$D36*(1+Assumptions!$B$9)^T$5*(INT((Census!$F36+T$5))+IF((Census!$F36+T$5)-INT((Census!$F36+T$5))&gt;0.5,1,0)),Assumptions!$B$10))</f>
        <v>15405.123800680494</v>
      </c>
      <c r="U36" s="30">
        <f>IF(U$5&gt;$B36,0,INDEX(Decrements!$G$6:$G$58,Census!$G36+U$5-18)/INDEX(Decrements!$G$6:$G$58,Census!$G36-17)*(INDEX(Decrements!$D$6:$D$58,Census!$G36+U$5-18)+IF(U$5=$B36,INDEX(Decrements!$F$6:$F$58,Census!$G36+U$5-18),0)+INDEX(Decrements!$E$6:$E$58,Census!$G36+U$5-18)*IF((Census!$F36+U$5)&gt;=Assumptions!$B$11,1,0))*MIN(15/26*Census!$D36*(1+Assumptions!$B$9)^U$5*(INT((Census!$F36+U$5))+IF((Census!$F36+U$5)-INT((Census!$F36+U$5))&gt;0.5,1,0)),Assumptions!$B$10))</f>
        <v>15212.756555086184</v>
      </c>
      <c r="V36" s="30">
        <f>IF(V$5&gt;$B36,0,INDEX(Decrements!$G$6:$G$58,Census!$G36+V$5-18)/INDEX(Decrements!$G$6:$G$58,Census!$G36-17)*(INDEX(Decrements!$D$6:$D$58,Census!$G36+V$5-18)+IF(V$5=$B36,INDEX(Decrements!$F$6:$F$58,Census!$G36+V$5-18),0)+INDEX(Decrements!$E$6:$E$58,Census!$G36+V$5-18)*IF((Census!$F36+V$5)&gt;=Assumptions!$B$11,1,0))*MIN(15/26*Census!$D36*(1+Assumptions!$B$9)^V$5*(INT((Census!$F36+V$5))+IF((Census!$F36+V$5)-INT((Census!$F36+V$5))&gt;0.5,1,0)),Assumptions!$B$10))</f>
        <v>15032.932451691437</v>
      </c>
      <c r="W36" s="30">
        <f>IF(W$5&gt;$B36,0,INDEX(Decrements!$G$6:$G$58,Census!$G36+W$5-18)/INDEX(Decrements!$G$6:$G$58,Census!$G36-17)*(INDEX(Decrements!$D$6:$D$58,Census!$G36+W$5-18)+IF(W$5=$B36,INDEX(Decrements!$F$6:$F$58,Census!$G36+W$5-18),0)+INDEX(Decrements!$E$6:$E$58,Census!$G36+W$5-18)*IF((Census!$F36+W$5)&gt;=Assumptions!$B$11,1,0))*MIN(15/26*Census!$D36*(1+Assumptions!$B$9)^W$5*(INT((Census!$F36+W$5))+IF((Census!$F36+W$5)-INT((Census!$F36+W$5))&gt;0.5,1,0)),Assumptions!$B$10))</f>
        <v>14865.915799244571</v>
      </c>
      <c r="X36" s="30">
        <f>IF(X$5&gt;$B36,0,INDEX(Decrements!$G$6:$G$58,Census!$G36+X$5-18)/INDEX(Decrements!$G$6:$G$58,Census!$G36-17)*(INDEX(Decrements!$D$6:$D$58,Census!$G36+X$5-18)+IF(X$5=$B36,INDEX(Decrements!$F$6:$F$58,Census!$G36+X$5-18),0)+INDEX(Decrements!$E$6:$E$58,Census!$G36+X$5-18)*IF((Census!$F36+X$5)&gt;=Assumptions!$B$11,1,0))*MIN(15/26*Census!$D36*(1+Assumptions!$B$9)^X$5*(INT((Census!$F36+X$5))+IF((Census!$F36+X$5)-INT((Census!$F36+X$5))&gt;0.5,1,0)),Assumptions!$B$10))</f>
        <v>14711.979628656447</v>
      </c>
      <c r="Y36" s="30">
        <f>IF(Y$5&gt;$B36,0,INDEX(Decrements!$G$6:$G$58,Census!$G36+Y$5-18)/INDEX(Decrements!$G$6:$G$58,Census!$G36-17)*(INDEX(Decrements!$D$6:$D$58,Census!$G36+Y$5-18)+IF(Y$5=$B36,INDEX(Decrements!$F$6:$F$58,Census!$G36+Y$5-18),0)+INDEX(Decrements!$E$6:$E$58,Census!$G36+Y$5-18)*IF((Census!$F36+Y$5)&gt;=Assumptions!$B$11,1,0))*MIN(15/26*Census!$D36*(1+Assumptions!$B$9)^Y$5*(INT((Census!$F36+Y$5))+IF((Census!$F36+Y$5)-INT((Census!$F36+Y$5))&gt;0.5,1,0)),Assumptions!$B$10))</f>
        <v>8593.8298545053258</v>
      </c>
      <c r="Z36" s="30">
        <f>IF(Z$5&gt;$B36,0,INDEX(Decrements!$G$6:$G$58,Census!$G36+Z$5-18)/INDEX(Decrements!$G$6:$G$58,Census!$G36-17)*(INDEX(Decrements!$D$6:$D$58,Census!$G36+Z$5-18)+IF(Z$5=$B36,INDEX(Decrements!$F$6:$F$58,Census!$G36+Z$5-18),0)+INDEX(Decrements!$E$6:$E$58,Census!$G36+Z$5-18)*IF((Census!$F36+Z$5)&gt;=Assumptions!$B$11,1,0))*MIN(15/26*Census!$D36*(1+Assumptions!$B$9)^Z$5*(INT((Census!$F36+Z$5))+IF((Census!$F36+Z$5)-INT((Census!$F36+Z$5))&gt;0.5,1,0)),Assumptions!$B$10))</f>
        <v>8702.1832487367501</v>
      </c>
      <c r="AA36" s="30">
        <f>IF(AA$5&gt;$B36,0,INDEX(Decrements!$G$6:$G$58,Census!$G36+AA$5-18)/INDEX(Decrements!$G$6:$G$58,Census!$G36-17)*(INDEX(Decrements!$D$6:$D$58,Census!$G36+AA$5-18)+IF(AA$5=$B36,INDEX(Decrements!$F$6:$F$58,Census!$G36+AA$5-18),0)+INDEX(Decrements!$E$6:$E$58,Census!$G36+AA$5-18)*IF((Census!$F36+AA$5)&gt;=Assumptions!$B$11,1,0))*MIN(15/26*Census!$D36*(1+Assumptions!$B$9)^AA$5*(INT((Census!$F36+AA$5))+IF((Census!$F36+AA$5)-INT((Census!$F36+AA$5))&gt;0.5,1,0)),Assumptions!$B$10))</f>
        <v>8824.8731192577143</v>
      </c>
      <c r="AB36" s="30">
        <f>IF(AB$5&gt;$B36,0,INDEX(Decrements!$G$6:$G$58,Census!$G36+AB$5-18)/INDEX(Decrements!$G$6:$G$58,Census!$G36-17)*(INDEX(Decrements!$D$6:$D$58,Census!$G36+AB$5-18)+IF(AB$5=$B36,INDEX(Decrements!$F$6:$F$58,Census!$G36+AB$5-18),0)+INDEX(Decrements!$E$6:$E$58,Census!$G36+AB$5-18)*IF((Census!$F36+AB$5)&gt;=Assumptions!$B$11,1,0))*MIN(15/26*Census!$D36*(1+Assumptions!$B$9)^AB$5*(INT((Census!$F36+AB$5))+IF((Census!$F36+AB$5)-INT((Census!$F36+AB$5))&gt;0.5,1,0)),Assumptions!$B$10))</f>
        <v>8962.7333297399946</v>
      </c>
      <c r="AC36" s="30">
        <f>IF(AC$5&gt;$B36,0,INDEX(Decrements!$G$6:$G$58,Census!$G36+AC$5-18)/INDEX(Decrements!$G$6:$G$58,Census!$G36-17)*(INDEX(Decrements!$D$6:$D$58,Census!$G36+AC$5-18)+IF(AC$5=$B36,INDEX(Decrements!$F$6:$F$58,Census!$G36+AC$5-18),0)+INDEX(Decrements!$E$6:$E$58,Census!$G36+AC$5-18)*IF((Census!$F36+AC$5)&gt;=Assumptions!$B$11,1,0))*MIN(15/26*Census!$D36*(1+Assumptions!$B$9)^AC$5*(INT((Census!$F36+AC$5))+IF((Census!$F36+AC$5)-INT((Census!$F36+AC$5))&gt;0.5,1,0)),Assumptions!$B$10))</f>
        <v>565289.86612470855</v>
      </c>
      <c r="AD36" s="30">
        <f>IF(AD$5&gt;$B36,0,INDEX(Decrements!$G$6:$G$58,Census!$G36+AD$5-18)/INDEX(Decrements!$G$6:$G$58,Census!$G36-17)*(INDEX(Decrements!$D$6:$D$58,Census!$G36+AD$5-18)+IF(AD$5=$B36,INDEX(Decrements!$F$6:$F$58,Census!$G36+AD$5-18),0)+INDEX(Decrements!$E$6:$E$58,Census!$G36+AD$5-18)*IF((Census!$F36+AD$5)&gt;=Assumptions!$B$11,1,0))*MIN(15/26*Census!$D36*(1+Assumptions!$B$9)^AD$5*(INT((Census!$F36+AD$5))+IF((Census!$F36+AD$5)-INT((Census!$F36+AD$5))&gt;0.5,1,0)),Assumptions!$B$10))</f>
        <v>0</v>
      </c>
      <c r="AE36" s="30">
        <f>IF(AE$5&gt;$B36,0,INDEX(Decrements!$G$6:$G$58,Census!$G36+AE$5-18)/INDEX(Decrements!$G$6:$G$58,Census!$G36-17)*(INDEX(Decrements!$D$6:$D$58,Census!$G36+AE$5-18)+IF(AE$5=$B36,INDEX(Decrements!$F$6:$F$58,Census!$G36+AE$5-18),0)+INDEX(Decrements!$E$6:$E$58,Census!$G36+AE$5-18)*IF((Census!$F36+AE$5)&gt;=Assumptions!$B$11,1,0))*MIN(15/26*Census!$D36*(1+Assumptions!$B$9)^AE$5*(INT((Census!$F36+AE$5))+IF((Census!$F36+AE$5)-INT((Census!$F36+AE$5))&gt;0.5,1,0)),Assumptions!$B$10))</f>
        <v>0</v>
      </c>
      <c r="AF36" s="30">
        <f>IF(AF$5&gt;$B36,0,INDEX(Decrements!$G$6:$G$58,Census!$G36+AF$5-18)/INDEX(Decrements!$G$6:$G$58,Census!$G36-17)*(INDEX(Decrements!$D$6:$D$58,Census!$G36+AF$5-18)+IF(AF$5=$B36,INDEX(Decrements!$F$6:$F$58,Census!$G36+AF$5-18),0)+INDEX(Decrements!$E$6:$E$58,Census!$G36+AF$5-18)*IF((Census!$F36+AF$5)&gt;=Assumptions!$B$11,1,0))*MIN(15/26*Census!$D36*(1+Assumptions!$B$9)^AF$5*(INT((Census!$F36+AF$5))+IF((Census!$F36+AF$5)-INT((Census!$F36+AF$5))&gt;0.5,1,0)),Assumptions!$B$10))</f>
        <v>0</v>
      </c>
      <c r="AG36" s="30">
        <f>IF(AG$5&gt;$B36,0,INDEX(Decrements!$G$6:$G$58,Census!$G36+AG$5-18)/INDEX(Decrements!$G$6:$G$58,Census!$G36-17)*(INDEX(Decrements!$D$6:$D$58,Census!$G36+AG$5-18)+IF(AG$5=$B36,INDEX(Decrements!$F$6:$F$58,Census!$G36+AG$5-18),0)+INDEX(Decrements!$E$6:$E$58,Census!$G36+AG$5-18)*IF((Census!$F36+AG$5)&gt;=Assumptions!$B$11,1,0))*MIN(15/26*Census!$D36*(1+Assumptions!$B$9)^AG$5*(INT((Census!$F36+AG$5))+IF((Census!$F36+AG$5)-INT((Census!$F36+AG$5))&gt;0.5,1,0)),Assumptions!$B$10))</f>
        <v>0</v>
      </c>
      <c r="AH36" s="30">
        <f>IF(AH$5&gt;$B36,0,INDEX(Decrements!$G$6:$G$58,Census!$G36+AH$5-18)/INDEX(Decrements!$G$6:$G$58,Census!$G36-17)*(INDEX(Decrements!$D$6:$D$58,Census!$G36+AH$5-18)+IF(AH$5=$B36,INDEX(Decrements!$F$6:$F$58,Census!$G36+AH$5-18),0)+INDEX(Decrements!$E$6:$E$58,Census!$G36+AH$5-18)*IF((Census!$F36+AH$5)&gt;=Assumptions!$B$11,1,0))*MIN(15/26*Census!$D36*(1+Assumptions!$B$9)^AH$5*(INT((Census!$F36+AH$5))+IF((Census!$F36+AH$5)-INT((Census!$F36+AH$5))&gt;0.5,1,0)),Assumptions!$B$10))</f>
        <v>0</v>
      </c>
      <c r="AI36" s="30">
        <f>IF(AI$5&gt;$B36,0,INDEX(Decrements!$G$6:$G$58,Census!$G36+AI$5-18)/INDEX(Decrements!$G$6:$G$58,Census!$G36-17)*(INDEX(Decrements!$D$6:$D$58,Census!$G36+AI$5-18)+IF(AI$5=$B36,INDEX(Decrements!$F$6:$F$58,Census!$G36+AI$5-18),0)+INDEX(Decrements!$E$6:$E$58,Census!$G36+AI$5-18)*IF((Census!$F36+AI$5)&gt;=Assumptions!$B$11,1,0))*MIN(15/26*Census!$D36*(1+Assumptions!$B$9)^AI$5*(INT((Census!$F36+AI$5))+IF((Census!$F36+AI$5)-INT((Census!$F36+AI$5))&gt;0.5,1,0)),Assumptions!$B$10))</f>
        <v>0</v>
      </c>
      <c r="AJ36" s="30">
        <f>IF(AJ$5&gt;$B36,0,INDEX(Decrements!$G$6:$G$58,Census!$G36+AJ$5-18)/INDEX(Decrements!$G$6:$G$58,Census!$G36-17)*(INDEX(Decrements!$D$6:$D$58,Census!$G36+AJ$5-18)+IF(AJ$5=$B36,INDEX(Decrements!$F$6:$F$58,Census!$G36+AJ$5-18),0)+INDEX(Decrements!$E$6:$E$58,Census!$G36+AJ$5-18)*IF((Census!$F36+AJ$5)&gt;=Assumptions!$B$11,1,0))*MIN(15/26*Census!$D36*(1+Assumptions!$B$9)^AJ$5*(INT((Census!$F36+AJ$5))+IF((Census!$F36+AJ$5)-INT((Census!$F36+AJ$5))&gt;0.5,1,0)),Assumptions!$B$10))</f>
        <v>0</v>
      </c>
      <c r="AK36" s="30">
        <f>IF(AK$5&gt;$B36,0,INDEX(Decrements!$G$6:$G$58,Census!$G36+AK$5-18)/INDEX(Decrements!$G$6:$G$58,Census!$G36-17)*(INDEX(Decrements!$D$6:$D$58,Census!$G36+AK$5-18)+IF(AK$5=$B36,INDEX(Decrements!$F$6:$F$58,Census!$G36+AK$5-18),0)+INDEX(Decrements!$E$6:$E$58,Census!$G36+AK$5-18)*IF((Census!$F36+AK$5)&gt;=Assumptions!$B$11,1,0))*MIN(15/26*Census!$D36*(1+Assumptions!$B$9)^AK$5*(INT((Census!$F36+AK$5))+IF((Census!$F36+AK$5)-INT((Census!$F36+AK$5))&gt;0.5,1,0)),Assumptions!$B$10))</f>
        <v>0</v>
      </c>
      <c r="AL36" s="30">
        <f>IF(AL$5&gt;$B36,0,INDEX(Decrements!$G$6:$G$58,Census!$G36+AL$5-18)/INDEX(Decrements!$G$6:$G$58,Census!$G36-17)*(INDEX(Decrements!$D$6:$D$58,Census!$G36+AL$5-18)+IF(AL$5=$B36,INDEX(Decrements!$F$6:$F$58,Census!$G36+AL$5-18),0)+INDEX(Decrements!$E$6:$E$58,Census!$G36+AL$5-18)*IF((Census!$F36+AL$5)&gt;=Assumptions!$B$11,1,0))*MIN(15/26*Census!$D36*(1+Assumptions!$B$9)^AL$5*(INT((Census!$F36+AL$5))+IF((Census!$F36+AL$5)-INT((Census!$F36+AL$5))&gt;0.5,1,0)),Assumptions!$B$10))</f>
        <v>0</v>
      </c>
      <c r="AM36" s="30">
        <f>IF(AM$5&gt;$B36,0,INDEX(Decrements!$G$6:$G$58,Census!$G36+AM$5-18)/INDEX(Decrements!$G$6:$G$58,Census!$G36-17)*(INDEX(Decrements!$D$6:$D$58,Census!$G36+AM$5-18)+IF(AM$5=$B36,INDEX(Decrements!$F$6:$F$58,Census!$G36+AM$5-18),0)+INDEX(Decrements!$E$6:$E$58,Census!$G36+AM$5-18)*IF((Census!$F36+AM$5)&gt;=Assumptions!$B$11,1,0))*MIN(15/26*Census!$D36*(1+Assumptions!$B$9)^AM$5*(INT((Census!$F36+AM$5))+IF((Census!$F36+AM$5)-INT((Census!$F36+AM$5))&gt;0.5,1,0)),Assumptions!$B$10))</f>
        <v>0</v>
      </c>
      <c r="AN36" s="30">
        <f>IF(AN$5&gt;$B36,0,INDEX(Decrements!$G$6:$G$58,Census!$G36+AN$5-18)/INDEX(Decrements!$G$6:$G$58,Census!$G36-17)*(INDEX(Decrements!$D$6:$D$58,Census!$G36+AN$5-18)+IF(AN$5=$B36,INDEX(Decrements!$F$6:$F$58,Census!$G36+AN$5-18),0)+INDEX(Decrements!$E$6:$E$58,Census!$G36+AN$5-18)*IF((Census!$F36+AN$5)&gt;=Assumptions!$B$11,1,0))*MIN(15/26*Census!$D36*(1+Assumptions!$B$9)^AN$5*(INT((Census!$F36+AN$5))+IF((Census!$F36+AN$5)-INT((Census!$F36+AN$5))&gt;0.5,1,0)),Assumptions!$B$10))</f>
        <v>0</v>
      </c>
      <c r="AO36" s="30">
        <f>IF(AO$5&gt;$B36,0,INDEX(Decrements!$G$6:$G$58,Census!$G36+AO$5-18)/INDEX(Decrements!$G$6:$G$58,Census!$G36-17)*(INDEX(Decrements!$D$6:$D$58,Census!$G36+AO$5-18)+IF(AO$5=$B36,INDEX(Decrements!$F$6:$F$58,Census!$G36+AO$5-18),0)+INDEX(Decrements!$E$6:$E$58,Census!$G36+AO$5-18)*IF((Census!$F36+AO$5)&gt;=Assumptions!$B$11,1,0))*MIN(15/26*Census!$D36*(1+Assumptions!$B$9)^AO$5*(INT((Census!$F36+AO$5))+IF((Census!$F36+AO$5)-INT((Census!$F36+AO$5))&gt;0.5,1,0)),Assumptions!$B$10))</f>
        <v>0</v>
      </c>
      <c r="AP36" s="30">
        <f>IF(AP$5&gt;$B36,0,INDEX(Decrements!$G$6:$G$58,Census!$G36+AP$5-18)/INDEX(Decrements!$G$6:$G$58,Census!$G36-17)*(INDEX(Decrements!$D$6:$D$58,Census!$G36+AP$5-18)+IF(AP$5=$B36,INDEX(Decrements!$F$6:$F$58,Census!$G36+AP$5-18),0)+INDEX(Decrements!$E$6:$E$58,Census!$G36+AP$5-18)*IF((Census!$F36+AP$5)&gt;=Assumptions!$B$11,1,0))*MIN(15/26*Census!$D36*(1+Assumptions!$B$9)^AP$5*(INT((Census!$F36+AP$5))+IF((Census!$F36+AP$5)-INT((Census!$F36+AP$5))&gt;0.5,1,0)),Assumptions!$B$10))</f>
        <v>0</v>
      </c>
      <c r="AQ36" s="30">
        <f>IF(AQ$5&gt;$B36,0,INDEX(Decrements!$G$6:$G$58,Census!$G36+AQ$5-18)/INDEX(Decrements!$G$6:$G$58,Census!$G36-17)*(INDEX(Decrements!$D$6:$D$58,Census!$G36+AQ$5-18)+IF(AQ$5=$B36,INDEX(Decrements!$F$6:$F$58,Census!$G36+AQ$5-18),0)+INDEX(Decrements!$E$6:$E$58,Census!$G36+AQ$5-18)*IF((Census!$F36+AQ$5)&gt;=Assumptions!$B$11,1,0))*MIN(15/26*Census!$D36*(1+Assumptions!$B$9)^AQ$5*(INT((Census!$F36+AQ$5))+IF((Census!$F36+AQ$5)-INT((Census!$F36+AQ$5))&gt;0.5,1,0)),Assumptions!$B$10))</f>
        <v>0</v>
      </c>
      <c r="AR36" s="30">
        <f>IF(AR$5&gt;$B36,0,INDEX(Decrements!$G$6:$G$58,Census!$G36+AR$5-18)/INDEX(Decrements!$G$6:$G$58,Census!$G36-17)*(INDEX(Decrements!$D$6:$D$58,Census!$G36+AR$5-18)+IF(AR$5=$B36,INDEX(Decrements!$F$6:$F$58,Census!$G36+AR$5-18),0)+INDEX(Decrements!$E$6:$E$58,Census!$G36+AR$5-18)*IF((Census!$F36+AR$5)&gt;=Assumptions!$B$11,1,0))*MIN(15/26*Census!$D36*(1+Assumptions!$B$9)^AR$5*(INT((Census!$F36+AR$5))+IF((Census!$F36+AR$5)-INT((Census!$F36+AR$5))&gt;0.5,1,0)),Assumptions!$B$10))</f>
        <v>0</v>
      </c>
      <c r="AS36" s="30">
        <f>IF(AS$5&gt;$B36,0,INDEX(Decrements!$G$6:$G$58,Census!$G36+AS$5-18)/INDEX(Decrements!$G$6:$G$58,Census!$G36-17)*(INDEX(Decrements!$D$6:$D$58,Census!$G36+AS$5-18)+IF(AS$5=$B36,INDEX(Decrements!$F$6:$F$58,Census!$G36+AS$5-18),0)+INDEX(Decrements!$E$6:$E$58,Census!$G36+AS$5-18)*IF((Census!$F36+AS$5)&gt;=Assumptions!$B$11,1,0))*MIN(15/26*Census!$D36*(1+Assumptions!$B$9)^AS$5*(INT((Census!$F36+AS$5))+IF((Census!$F36+AS$5)-INT((Census!$F36+AS$5))&gt;0.5,1,0)),Assumptions!$B$10))</f>
        <v>0</v>
      </c>
      <c r="AT36" s="30">
        <f>IF(AT$5&gt;$B36,0,INDEX(Decrements!$G$6:$G$58,Census!$G36+AT$5-18)/INDEX(Decrements!$G$6:$G$58,Census!$G36-17)*(INDEX(Decrements!$D$6:$D$58,Census!$G36+AT$5-18)+IF(AT$5=$B36,INDEX(Decrements!$F$6:$F$58,Census!$G36+AT$5-18),0)+INDEX(Decrements!$E$6:$E$58,Census!$G36+AT$5-18)*IF((Census!$F36+AT$5)&gt;=Assumptions!$B$11,1,0))*MIN(15/26*Census!$D36*(1+Assumptions!$B$9)^AT$5*(INT((Census!$F36+AT$5))+IF((Census!$F36+AT$5)-INT((Census!$F36+AT$5))&gt;0.5,1,0)),Assumptions!$B$10))</f>
        <v>0</v>
      </c>
      <c r="AU36" s="30">
        <f>IF(AU$5&gt;$B36,0,INDEX(Decrements!$G$6:$G$58,Census!$G36+AU$5-18)/INDEX(Decrements!$G$6:$G$58,Census!$G36-17)*(INDEX(Decrements!$D$6:$D$58,Census!$G36+AU$5-18)+IF(AU$5=$B36,INDEX(Decrements!$F$6:$F$58,Census!$G36+AU$5-18),0)+INDEX(Decrements!$E$6:$E$58,Census!$G36+AU$5-18)*IF((Census!$F36+AU$5)&gt;=Assumptions!$B$11,1,0))*MIN(15/26*Census!$D36*(1+Assumptions!$B$9)^AU$5*(INT((Census!$F36+AU$5))+IF((Census!$F36+AU$5)-INT((Census!$F36+AU$5))&gt;0.5,1,0)),Assumptions!$B$10))</f>
        <v>0</v>
      </c>
    </row>
    <row r="37" spans="1:47" x14ac:dyDescent="0.3">
      <c r="A37" s="10" t="str">
        <f>Census!A37</f>
        <v>E032</v>
      </c>
      <c r="B37" s="29">
        <f>Census!H37</f>
        <v>20</v>
      </c>
      <c r="C37" s="30">
        <f>IF(C$5&gt;$B37,0,INDEX(Decrements!$G$6:$G$58,Census!$G37+C$5-18)/INDEX(Decrements!$G$6:$G$58,Census!$G37-17)*(INDEX(Decrements!$D$6:$D$58,Census!$G37+C$5-18)+IF(C$5=$B37,INDEX(Decrements!$F$6:$F$58,Census!$G37+C$5-18),0)+INDEX(Decrements!$E$6:$E$58,Census!$G37+C$5-18)*IF((Census!$F37+C$5)&gt;=Assumptions!$B$11,1,0))*MIN(15/26*Census!$D37*(1+Assumptions!$B$9)^C$5*(INT((Census!$F37+C$5))+IF((Census!$F37+C$5)-INT((Census!$F37+C$5))&gt;0.5,1,0)),Assumptions!$B$10))</f>
        <v>6805.8273149223123</v>
      </c>
      <c r="D37" s="30">
        <f>IF(D$5&gt;$B37,0,INDEX(Decrements!$G$6:$G$58,Census!$G37+D$5-18)/INDEX(Decrements!$G$6:$G$58,Census!$G37-17)*(INDEX(Decrements!$D$6:$D$58,Census!$G37+D$5-18)+IF(D$5=$B37,INDEX(Decrements!$F$6:$F$58,Census!$G37+D$5-18),0)+INDEX(Decrements!$E$6:$E$58,Census!$G37+D$5-18)*IF((Census!$F37+D$5)&gt;=Assumptions!$B$11,1,0))*MIN(15/26*Census!$D37*(1+Assumptions!$B$9)^D$5*(INT((Census!$F37+D$5))+IF((Census!$F37+D$5)-INT((Census!$F37+D$5))&gt;0.5,1,0)),Assumptions!$B$10))</f>
        <v>8149.880755933742</v>
      </c>
      <c r="E37" s="30">
        <f>IF(E$5&gt;$B37,0,INDEX(Decrements!$G$6:$G$58,Census!$G37+E$5-18)/INDEX(Decrements!$G$6:$G$58,Census!$G37-17)*(INDEX(Decrements!$D$6:$D$58,Census!$G37+E$5-18)+IF(E$5=$B37,INDEX(Decrements!$F$6:$F$58,Census!$G37+E$5-18),0)+INDEX(Decrements!$E$6:$E$58,Census!$G37+E$5-18)*IF((Census!$F37+E$5)&gt;=Assumptions!$B$11,1,0))*MIN(15/26*Census!$D37*(1+Assumptions!$B$9)^E$5*(INT((Census!$F37+E$5))+IF((Census!$F37+E$5)-INT((Census!$F37+E$5))&gt;0.5,1,0)),Assumptions!$B$10))</f>
        <v>9560.9292450136654</v>
      </c>
      <c r="F37" s="30">
        <f>IF(F$5&gt;$B37,0,INDEX(Decrements!$G$6:$G$58,Census!$G37+F$5-18)/INDEX(Decrements!$G$6:$G$58,Census!$G37-17)*(INDEX(Decrements!$D$6:$D$58,Census!$G37+F$5-18)+IF(F$5=$B37,INDEX(Decrements!$F$6:$F$58,Census!$G37+F$5-18),0)+INDEX(Decrements!$E$6:$E$58,Census!$G37+F$5-18)*IF((Census!$F37+F$5)&gt;=Assumptions!$B$11,1,0))*MIN(15/26*Census!$D37*(1+Assumptions!$B$9)^F$5*(INT((Census!$F37+F$5))+IF((Census!$F37+F$5)-INT((Census!$F37+F$5))&gt;0.5,1,0)),Assumptions!$B$10))</f>
        <v>11041.953035131386</v>
      </c>
      <c r="G37" s="30">
        <f>IF(G$5&gt;$B37,0,INDEX(Decrements!$G$6:$G$58,Census!$G37+G$5-18)/INDEX(Decrements!$G$6:$G$58,Census!$G37-17)*(INDEX(Decrements!$D$6:$D$58,Census!$G37+G$5-18)+IF(G$5=$B37,INDEX(Decrements!$F$6:$F$58,Census!$G37+G$5-18),0)+INDEX(Decrements!$E$6:$E$58,Census!$G37+G$5-18)*IF((Census!$F37+G$5)&gt;=Assumptions!$B$11,1,0))*MIN(15/26*Census!$D37*(1+Assumptions!$B$9)^G$5*(INT((Census!$F37+G$5))+IF((Census!$F37+G$5)-INT((Census!$F37+G$5))&gt;0.5,1,0)),Assumptions!$B$10))</f>
        <v>12596.104546703611</v>
      </c>
      <c r="H37" s="30">
        <f>IF(H$5&gt;$B37,0,INDEX(Decrements!$G$6:$G$58,Census!$G37+H$5-18)/INDEX(Decrements!$G$6:$G$58,Census!$G37-17)*(INDEX(Decrements!$D$6:$D$58,Census!$G37+H$5-18)+IF(H$5=$B37,INDEX(Decrements!$F$6:$F$58,Census!$G37+H$5-18),0)+INDEX(Decrements!$E$6:$E$58,Census!$G37+H$5-18)*IF((Census!$F37+H$5)&gt;=Assumptions!$B$11,1,0))*MIN(15/26*Census!$D37*(1+Assumptions!$B$9)^H$5*(INT((Census!$F37+H$5))+IF((Census!$F37+H$5)-INT((Census!$F37+H$5))&gt;0.5,1,0)),Assumptions!$B$10))</f>
        <v>8747.6792089161281</v>
      </c>
      <c r="I37" s="30">
        <f>IF(I$5&gt;$B37,0,INDEX(Decrements!$G$6:$G$58,Census!$G37+I$5-18)/INDEX(Decrements!$G$6:$G$58,Census!$G37-17)*(INDEX(Decrements!$D$6:$D$58,Census!$G37+I$5-18)+IF(I$5=$B37,INDEX(Decrements!$F$6:$F$58,Census!$G37+I$5-18),0)+INDEX(Decrements!$E$6:$E$58,Census!$G37+I$5-18)*IF((Census!$F37+I$5)&gt;=Assumptions!$B$11,1,0))*MIN(15/26*Census!$D37*(1+Assumptions!$B$9)^I$5*(INT((Census!$F37+I$5))+IF((Census!$F37+I$5)-INT((Census!$F37+I$5))&gt;0.5,1,0)),Assumptions!$B$10))</f>
        <v>10024.252139068692</v>
      </c>
      <c r="J37" s="30">
        <f>IF(J$5&gt;$B37,0,INDEX(Decrements!$G$6:$G$58,Census!$G37+J$5-18)/INDEX(Decrements!$G$6:$G$58,Census!$G37-17)*(INDEX(Decrements!$D$6:$D$58,Census!$G37+J$5-18)+IF(J$5=$B37,INDEX(Decrements!$F$6:$F$58,Census!$G37+J$5-18),0)+INDEX(Decrements!$E$6:$E$58,Census!$G37+J$5-18)*IF((Census!$F37+J$5)&gt;=Assumptions!$B$11,1,0))*MIN(15/26*Census!$D37*(1+Assumptions!$B$9)^J$5*(INT((Census!$F37+J$5))+IF((Census!$F37+J$5)-INT((Census!$F37+J$5))&gt;0.5,1,0)),Assumptions!$B$10))</f>
        <v>11410.59952660027</v>
      </c>
      <c r="K37" s="30">
        <f>IF(K$5&gt;$B37,0,INDEX(Decrements!$G$6:$G$58,Census!$G37+K$5-18)/INDEX(Decrements!$G$6:$G$58,Census!$G37-17)*(INDEX(Decrements!$D$6:$D$58,Census!$G37+K$5-18)+IF(K$5=$B37,INDEX(Decrements!$F$6:$F$58,Census!$G37+K$5-18),0)+INDEX(Decrements!$E$6:$E$58,Census!$G37+K$5-18)*IF((Census!$F37+K$5)&gt;=Assumptions!$B$11,1,0))*MIN(15/26*Census!$D37*(1+Assumptions!$B$9)^K$5*(INT((Census!$F37+K$5))+IF((Census!$F37+K$5)-INT((Census!$F37+K$5))&gt;0.5,1,0)),Assumptions!$B$10))</f>
        <v>12915.806099590378</v>
      </c>
      <c r="L37" s="30">
        <f>IF(L$5&gt;$B37,0,INDEX(Decrements!$G$6:$G$58,Census!$G37+L$5-18)/INDEX(Decrements!$G$6:$G$58,Census!$G37-17)*(INDEX(Decrements!$D$6:$D$58,Census!$G37+L$5-18)+IF(L$5=$B37,INDEX(Decrements!$F$6:$F$58,Census!$G37+L$5-18),0)+INDEX(Decrements!$E$6:$E$58,Census!$G37+L$5-18)*IF((Census!$F37+L$5)&gt;=Assumptions!$B$11,1,0))*MIN(15/26*Census!$D37*(1+Assumptions!$B$9)^L$5*(INT((Census!$F37+L$5))+IF((Census!$F37+L$5)-INT((Census!$F37+L$5))&gt;0.5,1,0)),Assumptions!$B$10))</f>
        <v>14549.829306257021</v>
      </c>
      <c r="M37" s="30">
        <f>IF(M$5&gt;$B37,0,INDEX(Decrements!$G$6:$G$58,Census!$G37+M$5-18)/INDEX(Decrements!$G$6:$G$58,Census!$G37-17)*(INDEX(Decrements!$D$6:$D$58,Census!$G37+M$5-18)+IF(M$5=$B37,INDEX(Decrements!$F$6:$F$58,Census!$G37+M$5-18),0)+INDEX(Decrements!$E$6:$E$58,Census!$G37+M$5-18)*IF((Census!$F37+M$5)&gt;=Assumptions!$B$11,1,0))*MIN(15/26*Census!$D37*(1+Assumptions!$B$9)^M$5*(INT((Census!$F37+M$5))+IF((Census!$F37+M$5)-INT((Census!$F37+M$5))&gt;0.5,1,0)),Assumptions!$B$10))</f>
        <v>11357.105485607181</v>
      </c>
      <c r="N37" s="30">
        <f>IF(N$5&gt;$B37,0,INDEX(Decrements!$G$6:$G$58,Census!$G37+N$5-18)/INDEX(Decrements!$G$6:$G$58,Census!$G37-17)*(INDEX(Decrements!$D$6:$D$58,Census!$G37+N$5-18)+IF(N$5=$B37,INDEX(Decrements!$F$6:$F$58,Census!$G37+N$5-18),0)+INDEX(Decrements!$E$6:$E$58,Census!$G37+N$5-18)*IF((Census!$F37+N$5)&gt;=Assumptions!$B$11,1,0))*MIN(15/26*Census!$D37*(1+Assumptions!$B$9)^N$5*(INT((Census!$F37+N$5))+IF((Census!$F37+N$5)-INT((Census!$F37+N$5))&gt;0.5,1,0)),Assumptions!$B$10))</f>
        <v>12869.541551516595</v>
      </c>
      <c r="O37" s="30">
        <f>IF(O$5&gt;$B37,0,INDEX(Decrements!$G$6:$G$58,Census!$G37+O$5-18)/INDEX(Decrements!$G$6:$G$58,Census!$G37-17)*(INDEX(Decrements!$D$6:$D$58,Census!$G37+O$5-18)+IF(O$5=$B37,INDEX(Decrements!$F$6:$F$58,Census!$G37+O$5-18),0)+INDEX(Decrements!$E$6:$E$58,Census!$G37+O$5-18)*IF((Census!$F37+O$5)&gt;=Assumptions!$B$11,1,0))*MIN(15/26*Census!$D37*(1+Assumptions!$B$9)^O$5*(INT((Census!$F37+O$5))+IF((Census!$F37+O$5)-INT((Census!$F37+O$5))&gt;0.5,1,0)),Assumptions!$B$10))</f>
        <v>14542.738877619127</v>
      </c>
      <c r="P37" s="30">
        <f>IF(P$5&gt;$B37,0,INDEX(Decrements!$G$6:$G$58,Census!$G37+P$5-18)/INDEX(Decrements!$G$6:$G$58,Census!$G37-17)*(INDEX(Decrements!$D$6:$D$58,Census!$G37+P$5-18)+IF(P$5=$B37,INDEX(Decrements!$F$6:$F$58,Census!$G37+P$5-18),0)+INDEX(Decrements!$E$6:$E$58,Census!$G37+P$5-18)*IF((Census!$F37+P$5)&gt;=Assumptions!$B$11,1,0))*MIN(15/26*Census!$D37*(1+Assumptions!$B$9)^P$5*(INT((Census!$F37+P$5))+IF((Census!$F37+P$5)-INT((Census!$F37+P$5))&gt;0.5,1,0)),Assumptions!$B$10))</f>
        <v>16394.531863120839</v>
      </c>
      <c r="Q37" s="30">
        <f>IF(Q$5&gt;$B37,0,INDEX(Decrements!$G$6:$G$58,Census!$G37+Q$5-18)/INDEX(Decrements!$G$6:$G$58,Census!$G37-17)*(INDEX(Decrements!$D$6:$D$58,Census!$G37+Q$5-18)+IF(Q$5=$B37,INDEX(Decrements!$F$6:$F$58,Census!$G37+Q$5-18),0)+INDEX(Decrements!$E$6:$E$58,Census!$G37+Q$5-18)*IF((Census!$F37+Q$5)&gt;=Assumptions!$B$11,1,0))*MIN(15/26*Census!$D37*(1+Assumptions!$B$9)^Q$5*(INT((Census!$F37+Q$5))+IF((Census!$F37+Q$5)-INT((Census!$F37+Q$5))&gt;0.5,1,0)),Assumptions!$B$10))</f>
        <v>18444.998174822194</v>
      </c>
      <c r="R37" s="30">
        <f>IF(R$5&gt;$B37,0,INDEX(Decrements!$G$6:$G$58,Census!$G37+R$5-18)/INDEX(Decrements!$G$6:$G$58,Census!$G37-17)*(INDEX(Decrements!$D$6:$D$58,Census!$G37+R$5-18)+IF(R$5=$B37,INDEX(Decrements!$F$6:$F$58,Census!$G37+R$5-18),0)+INDEX(Decrements!$E$6:$E$58,Census!$G37+R$5-18)*IF((Census!$F37+R$5)&gt;=Assumptions!$B$11,1,0))*MIN(15/26*Census!$D37*(1+Assumptions!$B$9)^R$5*(INT((Census!$F37+R$5))+IF((Census!$F37+R$5)-INT((Census!$F37+R$5))&gt;0.5,1,0)),Assumptions!$B$10))</f>
        <v>12218.202179427859</v>
      </c>
      <c r="S37" s="30">
        <f>IF(S$5&gt;$B37,0,INDEX(Decrements!$G$6:$G$58,Census!$G37+S$5-18)/INDEX(Decrements!$G$6:$G$58,Census!$G37-17)*(INDEX(Decrements!$D$6:$D$58,Census!$G37+S$5-18)+IF(S$5=$B37,INDEX(Decrements!$F$6:$F$58,Census!$G37+S$5-18),0)+INDEX(Decrements!$E$6:$E$58,Census!$G37+S$5-18)*IF((Census!$F37+S$5)&gt;=Assumptions!$B$11,1,0))*MIN(15/26*Census!$D37*(1+Assumptions!$B$9)^S$5*(INT((Census!$F37+S$5))+IF((Census!$F37+S$5)-INT((Census!$F37+S$5))&gt;0.5,1,0)),Assumptions!$B$10))</f>
        <v>13998.320160159672</v>
      </c>
      <c r="T37" s="30">
        <f>IF(T$5&gt;$B37,0,INDEX(Decrements!$G$6:$G$58,Census!$G37+T$5-18)/INDEX(Decrements!$G$6:$G$58,Census!$G37-17)*(INDEX(Decrements!$D$6:$D$58,Census!$G37+T$5-18)+IF(T$5=$B37,INDEX(Decrements!$F$6:$F$58,Census!$G37+T$5-18),0)+INDEX(Decrements!$E$6:$E$58,Census!$G37+T$5-18)*IF((Census!$F37+T$5)&gt;=Assumptions!$B$11,1,0))*MIN(15/26*Census!$D37*(1+Assumptions!$B$9)^T$5*(INT((Census!$F37+T$5))+IF((Census!$F37+T$5)-INT((Census!$F37+T$5))&gt;0.5,1,0)),Assumptions!$B$10))</f>
        <v>16028.212016178262</v>
      </c>
      <c r="U37" s="30">
        <f>IF(U$5&gt;$B37,0,INDEX(Decrements!$G$6:$G$58,Census!$G37+U$5-18)/INDEX(Decrements!$G$6:$G$58,Census!$G37-17)*(INDEX(Decrements!$D$6:$D$58,Census!$G37+U$5-18)+IF(U$5=$B37,INDEX(Decrements!$F$6:$F$58,Census!$G37+U$5-18),0)+INDEX(Decrements!$E$6:$E$58,Census!$G37+U$5-18)*IF((Census!$F37+U$5)&gt;=Assumptions!$B$11,1,0))*MIN(15/26*Census!$D37*(1+Assumptions!$B$9)^U$5*(INT((Census!$F37+U$5))+IF((Census!$F37+U$5)-INT((Census!$F37+U$5))&gt;0.5,1,0)),Assumptions!$B$10))</f>
        <v>17295.988196283364</v>
      </c>
      <c r="V37" s="30">
        <f>IF(V$5&gt;$B37,0,INDEX(Decrements!$G$6:$G$58,Census!$G37+V$5-18)/INDEX(Decrements!$G$6:$G$58,Census!$G37-17)*(INDEX(Decrements!$D$6:$D$58,Census!$G37+V$5-18)+IF(V$5=$B37,INDEX(Decrements!$F$6:$F$58,Census!$G37+V$5-18),0)+INDEX(Decrements!$E$6:$E$58,Census!$G37+V$5-18)*IF((Census!$F37+V$5)&gt;=Assumptions!$B$11,1,0))*MIN(15/26*Census!$D37*(1+Assumptions!$B$9)^V$5*(INT((Census!$F37+V$5))+IF((Census!$F37+V$5)-INT((Census!$F37+V$5))&gt;0.5,1,0)),Assumptions!$B$10))</f>
        <v>1090877.8039316267</v>
      </c>
      <c r="W37" s="30">
        <f>IF(W$5&gt;$B37,0,INDEX(Decrements!$G$6:$G$58,Census!$G37+W$5-18)/INDEX(Decrements!$G$6:$G$58,Census!$G37-17)*(INDEX(Decrements!$D$6:$D$58,Census!$G37+W$5-18)+IF(W$5=$B37,INDEX(Decrements!$F$6:$F$58,Census!$G37+W$5-18),0)+INDEX(Decrements!$E$6:$E$58,Census!$G37+W$5-18)*IF((Census!$F37+W$5)&gt;=Assumptions!$B$11,1,0))*MIN(15/26*Census!$D37*(1+Assumptions!$B$9)^W$5*(INT((Census!$F37+W$5))+IF((Census!$F37+W$5)-INT((Census!$F37+W$5))&gt;0.5,1,0)),Assumptions!$B$10))</f>
        <v>0</v>
      </c>
      <c r="X37" s="30">
        <f>IF(X$5&gt;$B37,0,INDEX(Decrements!$G$6:$G$58,Census!$G37+X$5-18)/INDEX(Decrements!$G$6:$G$58,Census!$G37-17)*(INDEX(Decrements!$D$6:$D$58,Census!$G37+X$5-18)+IF(X$5=$B37,INDEX(Decrements!$F$6:$F$58,Census!$G37+X$5-18),0)+INDEX(Decrements!$E$6:$E$58,Census!$G37+X$5-18)*IF((Census!$F37+X$5)&gt;=Assumptions!$B$11,1,0))*MIN(15/26*Census!$D37*(1+Assumptions!$B$9)^X$5*(INT((Census!$F37+X$5))+IF((Census!$F37+X$5)-INT((Census!$F37+X$5))&gt;0.5,1,0)),Assumptions!$B$10))</f>
        <v>0</v>
      </c>
      <c r="Y37" s="30">
        <f>IF(Y$5&gt;$B37,0,INDEX(Decrements!$G$6:$G$58,Census!$G37+Y$5-18)/INDEX(Decrements!$G$6:$G$58,Census!$G37-17)*(INDEX(Decrements!$D$6:$D$58,Census!$G37+Y$5-18)+IF(Y$5=$B37,INDEX(Decrements!$F$6:$F$58,Census!$G37+Y$5-18),0)+INDEX(Decrements!$E$6:$E$58,Census!$G37+Y$5-18)*IF((Census!$F37+Y$5)&gt;=Assumptions!$B$11,1,0))*MIN(15/26*Census!$D37*(1+Assumptions!$B$9)^Y$5*(INT((Census!$F37+Y$5))+IF((Census!$F37+Y$5)-INT((Census!$F37+Y$5))&gt;0.5,1,0)),Assumptions!$B$10))</f>
        <v>0</v>
      </c>
      <c r="Z37" s="30">
        <f>IF(Z$5&gt;$B37,0,INDEX(Decrements!$G$6:$G$58,Census!$G37+Z$5-18)/INDEX(Decrements!$G$6:$G$58,Census!$G37-17)*(INDEX(Decrements!$D$6:$D$58,Census!$G37+Z$5-18)+IF(Z$5=$B37,INDEX(Decrements!$F$6:$F$58,Census!$G37+Z$5-18),0)+INDEX(Decrements!$E$6:$E$58,Census!$G37+Z$5-18)*IF((Census!$F37+Z$5)&gt;=Assumptions!$B$11,1,0))*MIN(15/26*Census!$D37*(1+Assumptions!$B$9)^Z$5*(INT((Census!$F37+Z$5))+IF((Census!$F37+Z$5)-INT((Census!$F37+Z$5))&gt;0.5,1,0)),Assumptions!$B$10))</f>
        <v>0</v>
      </c>
      <c r="AA37" s="30">
        <f>IF(AA$5&gt;$B37,0,INDEX(Decrements!$G$6:$G$58,Census!$G37+AA$5-18)/INDEX(Decrements!$G$6:$G$58,Census!$G37-17)*(INDEX(Decrements!$D$6:$D$58,Census!$G37+AA$5-18)+IF(AA$5=$B37,INDEX(Decrements!$F$6:$F$58,Census!$G37+AA$5-18),0)+INDEX(Decrements!$E$6:$E$58,Census!$G37+AA$5-18)*IF((Census!$F37+AA$5)&gt;=Assumptions!$B$11,1,0))*MIN(15/26*Census!$D37*(1+Assumptions!$B$9)^AA$5*(INT((Census!$F37+AA$5))+IF((Census!$F37+AA$5)-INT((Census!$F37+AA$5))&gt;0.5,1,0)),Assumptions!$B$10))</f>
        <v>0</v>
      </c>
      <c r="AB37" s="30">
        <f>IF(AB$5&gt;$B37,0,INDEX(Decrements!$G$6:$G$58,Census!$G37+AB$5-18)/INDEX(Decrements!$G$6:$G$58,Census!$G37-17)*(INDEX(Decrements!$D$6:$D$58,Census!$G37+AB$5-18)+IF(AB$5=$B37,INDEX(Decrements!$F$6:$F$58,Census!$G37+AB$5-18),0)+INDEX(Decrements!$E$6:$E$58,Census!$G37+AB$5-18)*IF((Census!$F37+AB$5)&gt;=Assumptions!$B$11,1,0))*MIN(15/26*Census!$D37*(1+Assumptions!$B$9)^AB$5*(INT((Census!$F37+AB$5))+IF((Census!$F37+AB$5)-INT((Census!$F37+AB$5))&gt;0.5,1,0)),Assumptions!$B$10))</f>
        <v>0</v>
      </c>
      <c r="AC37" s="30">
        <f>IF(AC$5&gt;$B37,0,INDEX(Decrements!$G$6:$G$58,Census!$G37+AC$5-18)/INDEX(Decrements!$G$6:$G$58,Census!$G37-17)*(INDEX(Decrements!$D$6:$D$58,Census!$G37+AC$5-18)+IF(AC$5=$B37,INDEX(Decrements!$F$6:$F$58,Census!$G37+AC$5-18),0)+INDEX(Decrements!$E$6:$E$58,Census!$G37+AC$5-18)*IF((Census!$F37+AC$5)&gt;=Assumptions!$B$11,1,0))*MIN(15/26*Census!$D37*(1+Assumptions!$B$9)^AC$5*(INT((Census!$F37+AC$5))+IF((Census!$F37+AC$5)-INT((Census!$F37+AC$5))&gt;0.5,1,0)),Assumptions!$B$10))</f>
        <v>0</v>
      </c>
      <c r="AD37" s="30">
        <f>IF(AD$5&gt;$B37,0,INDEX(Decrements!$G$6:$G$58,Census!$G37+AD$5-18)/INDEX(Decrements!$G$6:$G$58,Census!$G37-17)*(INDEX(Decrements!$D$6:$D$58,Census!$G37+AD$5-18)+IF(AD$5=$B37,INDEX(Decrements!$F$6:$F$58,Census!$G37+AD$5-18),0)+INDEX(Decrements!$E$6:$E$58,Census!$G37+AD$5-18)*IF((Census!$F37+AD$5)&gt;=Assumptions!$B$11,1,0))*MIN(15/26*Census!$D37*(1+Assumptions!$B$9)^AD$5*(INT((Census!$F37+AD$5))+IF((Census!$F37+AD$5)-INT((Census!$F37+AD$5))&gt;0.5,1,0)),Assumptions!$B$10))</f>
        <v>0</v>
      </c>
      <c r="AE37" s="30">
        <f>IF(AE$5&gt;$B37,0,INDEX(Decrements!$G$6:$G$58,Census!$G37+AE$5-18)/INDEX(Decrements!$G$6:$G$58,Census!$G37-17)*(INDEX(Decrements!$D$6:$D$58,Census!$G37+AE$5-18)+IF(AE$5=$B37,INDEX(Decrements!$F$6:$F$58,Census!$G37+AE$5-18),0)+INDEX(Decrements!$E$6:$E$58,Census!$G37+AE$5-18)*IF((Census!$F37+AE$5)&gt;=Assumptions!$B$11,1,0))*MIN(15/26*Census!$D37*(1+Assumptions!$B$9)^AE$5*(INT((Census!$F37+AE$5))+IF((Census!$F37+AE$5)-INT((Census!$F37+AE$5))&gt;0.5,1,0)),Assumptions!$B$10))</f>
        <v>0</v>
      </c>
      <c r="AF37" s="30">
        <f>IF(AF$5&gt;$B37,0,INDEX(Decrements!$G$6:$G$58,Census!$G37+AF$5-18)/INDEX(Decrements!$G$6:$G$58,Census!$G37-17)*(INDEX(Decrements!$D$6:$D$58,Census!$G37+AF$5-18)+IF(AF$5=$B37,INDEX(Decrements!$F$6:$F$58,Census!$G37+AF$5-18),0)+INDEX(Decrements!$E$6:$E$58,Census!$G37+AF$5-18)*IF((Census!$F37+AF$5)&gt;=Assumptions!$B$11,1,0))*MIN(15/26*Census!$D37*(1+Assumptions!$B$9)^AF$5*(INT((Census!$F37+AF$5))+IF((Census!$F37+AF$5)-INT((Census!$F37+AF$5))&gt;0.5,1,0)),Assumptions!$B$10))</f>
        <v>0</v>
      </c>
      <c r="AG37" s="30">
        <f>IF(AG$5&gt;$B37,0,INDEX(Decrements!$G$6:$G$58,Census!$G37+AG$5-18)/INDEX(Decrements!$G$6:$G$58,Census!$G37-17)*(INDEX(Decrements!$D$6:$D$58,Census!$G37+AG$5-18)+IF(AG$5=$B37,INDEX(Decrements!$F$6:$F$58,Census!$G37+AG$5-18),0)+INDEX(Decrements!$E$6:$E$58,Census!$G37+AG$5-18)*IF((Census!$F37+AG$5)&gt;=Assumptions!$B$11,1,0))*MIN(15/26*Census!$D37*(1+Assumptions!$B$9)^AG$5*(INT((Census!$F37+AG$5))+IF((Census!$F37+AG$5)-INT((Census!$F37+AG$5))&gt;0.5,1,0)),Assumptions!$B$10))</f>
        <v>0</v>
      </c>
      <c r="AH37" s="30">
        <f>IF(AH$5&gt;$B37,0,INDEX(Decrements!$G$6:$G$58,Census!$G37+AH$5-18)/INDEX(Decrements!$G$6:$G$58,Census!$G37-17)*(INDEX(Decrements!$D$6:$D$58,Census!$G37+AH$5-18)+IF(AH$5=$B37,INDEX(Decrements!$F$6:$F$58,Census!$G37+AH$5-18),0)+INDEX(Decrements!$E$6:$E$58,Census!$G37+AH$5-18)*IF((Census!$F37+AH$5)&gt;=Assumptions!$B$11,1,0))*MIN(15/26*Census!$D37*(1+Assumptions!$B$9)^AH$5*(INT((Census!$F37+AH$5))+IF((Census!$F37+AH$5)-INT((Census!$F37+AH$5))&gt;0.5,1,0)),Assumptions!$B$10))</f>
        <v>0</v>
      </c>
      <c r="AI37" s="30">
        <f>IF(AI$5&gt;$B37,0,INDEX(Decrements!$G$6:$G$58,Census!$G37+AI$5-18)/INDEX(Decrements!$G$6:$G$58,Census!$G37-17)*(INDEX(Decrements!$D$6:$D$58,Census!$G37+AI$5-18)+IF(AI$5=$B37,INDEX(Decrements!$F$6:$F$58,Census!$G37+AI$5-18),0)+INDEX(Decrements!$E$6:$E$58,Census!$G37+AI$5-18)*IF((Census!$F37+AI$5)&gt;=Assumptions!$B$11,1,0))*MIN(15/26*Census!$D37*(1+Assumptions!$B$9)^AI$5*(INT((Census!$F37+AI$5))+IF((Census!$F37+AI$5)-INT((Census!$F37+AI$5))&gt;0.5,1,0)),Assumptions!$B$10))</f>
        <v>0</v>
      </c>
      <c r="AJ37" s="30">
        <f>IF(AJ$5&gt;$B37,0,INDEX(Decrements!$G$6:$G$58,Census!$G37+AJ$5-18)/INDEX(Decrements!$G$6:$G$58,Census!$G37-17)*(INDEX(Decrements!$D$6:$D$58,Census!$G37+AJ$5-18)+IF(AJ$5=$B37,INDEX(Decrements!$F$6:$F$58,Census!$G37+AJ$5-18),0)+INDEX(Decrements!$E$6:$E$58,Census!$G37+AJ$5-18)*IF((Census!$F37+AJ$5)&gt;=Assumptions!$B$11,1,0))*MIN(15/26*Census!$D37*(1+Assumptions!$B$9)^AJ$5*(INT((Census!$F37+AJ$5))+IF((Census!$F37+AJ$5)-INT((Census!$F37+AJ$5))&gt;0.5,1,0)),Assumptions!$B$10))</f>
        <v>0</v>
      </c>
      <c r="AK37" s="30">
        <f>IF(AK$5&gt;$B37,0,INDEX(Decrements!$G$6:$G$58,Census!$G37+AK$5-18)/INDEX(Decrements!$G$6:$G$58,Census!$G37-17)*(INDEX(Decrements!$D$6:$D$58,Census!$G37+AK$5-18)+IF(AK$5=$B37,INDEX(Decrements!$F$6:$F$58,Census!$G37+AK$5-18),0)+INDEX(Decrements!$E$6:$E$58,Census!$G37+AK$5-18)*IF((Census!$F37+AK$5)&gt;=Assumptions!$B$11,1,0))*MIN(15/26*Census!$D37*(1+Assumptions!$B$9)^AK$5*(INT((Census!$F37+AK$5))+IF((Census!$F37+AK$5)-INT((Census!$F37+AK$5))&gt;0.5,1,0)),Assumptions!$B$10))</f>
        <v>0</v>
      </c>
      <c r="AL37" s="30">
        <f>IF(AL$5&gt;$B37,0,INDEX(Decrements!$G$6:$G$58,Census!$G37+AL$5-18)/INDEX(Decrements!$G$6:$G$58,Census!$G37-17)*(INDEX(Decrements!$D$6:$D$58,Census!$G37+AL$5-18)+IF(AL$5=$B37,INDEX(Decrements!$F$6:$F$58,Census!$G37+AL$5-18),0)+INDEX(Decrements!$E$6:$E$58,Census!$G37+AL$5-18)*IF((Census!$F37+AL$5)&gt;=Assumptions!$B$11,1,0))*MIN(15/26*Census!$D37*(1+Assumptions!$B$9)^AL$5*(INT((Census!$F37+AL$5))+IF((Census!$F37+AL$5)-INT((Census!$F37+AL$5))&gt;0.5,1,0)),Assumptions!$B$10))</f>
        <v>0</v>
      </c>
      <c r="AM37" s="30">
        <f>IF(AM$5&gt;$B37,0,INDEX(Decrements!$G$6:$G$58,Census!$G37+AM$5-18)/INDEX(Decrements!$G$6:$G$58,Census!$G37-17)*(INDEX(Decrements!$D$6:$D$58,Census!$G37+AM$5-18)+IF(AM$5=$B37,INDEX(Decrements!$F$6:$F$58,Census!$G37+AM$5-18),0)+INDEX(Decrements!$E$6:$E$58,Census!$G37+AM$5-18)*IF((Census!$F37+AM$5)&gt;=Assumptions!$B$11,1,0))*MIN(15/26*Census!$D37*(1+Assumptions!$B$9)^AM$5*(INT((Census!$F37+AM$5))+IF((Census!$F37+AM$5)-INT((Census!$F37+AM$5))&gt;0.5,1,0)),Assumptions!$B$10))</f>
        <v>0</v>
      </c>
      <c r="AN37" s="30">
        <f>IF(AN$5&gt;$B37,0,INDEX(Decrements!$G$6:$G$58,Census!$G37+AN$5-18)/INDEX(Decrements!$G$6:$G$58,Census!$G37-17)*(INDEX(Decrements!$D$6:$D$58,Census!$G37+AN$5-18)+IF(AN$5=$B37,INDEX(Decrements!$F$6:$F$58,Census!$G37+AN$5-18),0)+INDEX(Decrements!$E$6:$E$58,Census!$G37+AN$5-18)*IF((Census!$F37+AN$5)&gt;=Assumptions!$B$11,1,0))*MIN(15/26*Census!$D37*(1+Assumptions!$B$9)^AN$5*(INT((Census!$F37+AN$5))+IF((Census!$F37+AN$5)-INT((Census!$F37+AN$5))&gt;0.5,1,0)),Assumptions!$B$10))</f>
        <v>0</v>
      </c>
      <c r="AO37" s="30">
        <f>IF(AO$5&gt;$B37,0,INDEX(Decrements!$G$6:$G$58,Census!$G37+AO$5-18)/INDEX(Decrements!$G$6:$G$58,Census!$G37-17)*(INDEX(Decrements!$D$6:$D$58,Census!$G37+AO$5-18)+IF(AO$5=$B37,INDEX(Decrements!$F$6:$F$58,Census!$G37+AO$5-18),0)+INDEX(Decrements!$E$6:$E$58,Census!$G37+AO$5-18)*IF((Census!$F37+AO$5)&gt;=Assumptions!$B$11,1,0))*MIN(15/26*Census!$D37*(1+Assumptions!$B$9)^AO$5*(INT((Census!$F37+AO$5))+IF((Census!$F37+AO$5)-INT((Census!$F37+AO$5))&gt;0.5,1,0)),Assumptions!$B$10))</f>
        <v>0</v>
      </c>
      <c r="AP37" s="30">
        <f>IF(AP$5&gt;$B37,0,INDEX(Decrements!$G$6:$G$58,Census!$G37+AP$5-18)/INDEX(Decrements!$G$6:$G$58,Census!$G37-17)*(INDEX(Decrements!$D$6:$D$58,Census!$G37+AP$5-18)+IF(AP$5=$B37,INDEX(Decrements!$F$6:$F$58,Census!$G37+AP$5-18),0)+INDEX(Decrements!$E$6:$E$58,Census!$G37+AP$5-18)*IF((Census!$F37+AP$5)&gt;=Assumptions!$B$11,1,0))*MIN(15/26*Census!$D37*(1+Assumptions!$B$9)^AP$5*(INT((Census!$F37+AP$5))+IF((Census!$F37+AP$5)-INT((Census!$F37+AP$5))&gt;0.5,1,0)),Assumptions!$B$10))</f>
        <v>0</v>
      </c>
      <c r="AQ37" s="30">
        <f>IF(AQ$5&gt;$B37,0,INDEX(Decrements!$G$6:$G$58,Census!$G37+AQ$5-18)/INDEX(Decrements!$G$6:$G$58,Census!$G37-17)*(INDEX(Decrements!$D$6:$D$58,Census!$G37+AQ$5-18)+IF(AQ$5=$B37,INDEX(Decrements!$F$6:$F$58,Census!$G37+AQ$5-18),0)+INDEX(Decrements!$E$6:$E$58,Census!$G37+AQ$5-18)*IF((Census!$F37+AQ$5)&gt;=Assumptions!$B$11,1,0))*MIN(15/26*Census!$D37*(1+Assumptions!$B$9)^AQ$5*(INT((Census!$F37+AQ$5))+IF((Census!$F37+AQ$5)-INT((Census!$F37+AQ$5))&gt;0.5,1,0)),Assumptions!$B$10))</f>
        <v>0</v>
      </c>
      <c r="AR37" s="30">
        <f>IF(AR$5&gt;$B37,0,INDEX(Decrements!$G$6:$G$58,Census!$G37+AR$5-18)/INDEX(Decrements!$G$6:$G$58,Census!$G37-17)*(INDEX(Decrements!$D$6:$D$58,Census!$G37+AR$5-18)+IF(AR$5=$B37,INDEX(Decrements!$F$6:$F$58,Census!$G37+AR$5-18),0)+INDEX(Decrements!$E$6:$E$58,Census!$G37+AR$5-18)*IF((Census!$F37+AR$5)&gt;=Assumptions!$B$11,1,0))*MIN(15/26*Census!$D37*(1+Assumptions!$B$9)^AR$5*(INT((Census!$F37+AR$5))+IF((Census!$F37+AR$5)-INT((Census!$F37+AR$5))&gt;0.5,1,0)),Assumptions!$B$10))</f>
        <v>0</v>
      </c>
      <c r="AS37" s="30">
        <f>IF(AS$5&gt;$B37,0,INDEX(Decrements!$G$6:$G$58,Census!$G37+AS$5-18)/INDEX(Decrements!$G$6:$G$58,Census!$G37-17)*(INDEX(Decrements!$D$6:$D$58,Census!$G37+AS$5-18)+IF(AS$5=$B37,INDEX(Decrements!$F$6:$F$58,Census!$G37+AS$5-18),0)+INDEX(Decrements!$E$6:$E$58,Census!$G37+AS$5-18)*IF((Census!$F37+AS$5)&gt;=Assumptions!$B$11,1,0))*MIN(15/26*Census!$D37*(1+Assumptions!$B$9)^AS$5*(INT((Census!$F37+AS$5))+IF((Census!$F37+AS$5)-INT((Census!$F37+AS$5))&gt;0.5,1,0)),Assumptions!$B$10))</f>
        <v>0</v>
      </c>
      <c r="AT37" s="30">
        <f>IF(AT$5&gt;$B37,0,INDEX(Decrements!$G$6:$G$58,Census!$G37+AT$5-18)/INDEX(Decrements!$G$6:$G$58,Census!$G37-17)*(INDEX(Decrements!$D$6:$D$58,Census!$G37+AT$5-18)+IF(AT$5=$B37,INDEX(Decrements!$F$6:$F$58,Census!$G37+AT$5-18),0)+INDEX(Decrements!$E$6:$E$58,Census!$G37+AT$5-18)*IF((Census!$F37+AT$5)&gt;=Assumptions!$B$11,1,0))*MIN(15/26*Census!$D37*(1+Assumptions!$B$9)^AT$5*(INT((Census!$F37+AT$5))+IF((Census!$F37+AT$5)-INT((Census!$F37+AT$5))&gt;0.5,1,0)),Assumptions!$B$10))</f>
        <v>0</v>
      </c>
      <c r="AU37" s="30">
        <f>IF(AU$5&gt;$B37,0,INDEX(Decrements!$G$6:$G$58,Census!$G37+AU$5-18)/INDEX(Decrements!$G$6:$G$58,Census!$G37-17)*(INDEX(Decrements!$D$6:$D$58,Census!$G37+AU$5-18)+IF(AU$5=$B37,INDEX(Decrements!$F$6:$F$58,Census!$G37+AU$5-18),0)+INDEX(Decrements!$E$6:$E$58,Census!$G37+AU$5-18)*IF((Census!$F37+AU$5)&gt;=Assumptions!$B$11,1,0))*MIN(15/26*Census!$D37*(1+Assumptions!$B$9)^AU$5*(INT((Census!$F37+AU$5))+IF((Census!$F37+AU$5)-INT((Census!$F37+AU$5))&gt;0.5,1,0)),Assumptions!$B$10))</f>
        <v>0</v>
      </c>
    </row>
    <row r="38" spans="1:47" x14ac:dyDescent="0.3">
      <c r="A38" s="10" t="str">
        <f>Census!A38</f>
        <v>E033</v>
      </c>
      <c r="B38" s="29">
        <f>Census!H38</f>
        <v>9</v>
      </c>
      <c r="C38" s="30">
        <f>IF(C$5&gt;$B38,0,INDEX(Decrements!$G$6:$G$58,Census!$G38+C$5-18)/INDEX(Decrements!$G$6:$G$58,Census!$G38-17)*(INDEX(Decrements!$D$6:$D$58,Census!$G38+C$5-18)+IF(C$5=$B38,INDEX(Decrements!$F$6:$F$58,Census!$G38+C$5-18),0)+INDEX(Decrements!$E$6:$E$58,Census!$G38+C$5-18)*IF((Census!$F38+C$5)&gt;=Assumptions!$B$11,1,0))*MIN(15/26*Census!$D38*(1+Assumptions!$B$9)^C$5*(INT((Census!$F38+C$5))+IF((Census!$F38+C$5)-INT((Census!$F38+C$5))&gt;0.5,1,0)),Assumptions!$B$10))</f>
        <v>46085.501568536172</v>
      </c>
      <c r="D38" s="30">
        <f>IF(D$5&gt;$B38,0,INDEX(Decrements!$G$6:$G$58,Census!$G38+D$5-18)/INDEX(Decrements!$G$6:$G$58,Census!$G38-17)*(INDEX(Decrements!$D$6:$D$58,Census!$G38+D$5-18)+IF(D$5=$B38,INDEX(Decrements!$F$6:$F$58,Census!$G38+D$5-18),0)+INDEX(Decrements!$E$6:$E$58,Census!$G38+D$5-18)*IF((Census!$F38+D$5)&gt;=Assumptions!$B$11,1,0))*MIN(15/26*Census!$D38*(1+Assumptions!$B$9)^D$5*(INT((Census!$F38+D$5))+IF((Census!$F38+D$5)-INT((Census!$F38+D$5))&gt;0.5,1,0)),Assumptions!$B$10))</f>
        <v>45540.7427032345</v>
      </c>
      <c r="E38" s="30">
        <f>IF(E$5&gt;$B38,0,INDEX(Decrements!$G$6:$G$58,Census!$G38+E$5-18)/INDEX(Decrements!$G$6:$G$58,Census!$G38-17)*(INDEX(Decrements!$D$6:$D$58,Census!$G38+E$5-18)+IF(E$5=$B38,INDEX(Decrements!$F$6:$F$58,Census!$G38+E$5-18),0)+INDEX(Decrements!$E$6:$E$58,Census!$G38+E$5-18)*IF((Census!$F38+E$5)&gt;=Assumptions!$B$11,1,0))*MIN(15/26*Census!$D38*(1+Assumptions!$B$9)^E$5*(INT((Census!$F38+E$5))+IF((Census!$F38+E$5)-INT((Census!$F38+E$5))&gt;0.5,1,0)),Assumptions!$B$10))</f>
        <v>45034.782710353502</v>
      </c>
      <c r="F38" s="30">
        <f>IF(F$5&gt;$B38,0,INDEX(Decrements!$G$6:$G$58,Census!$G38+F$5-18)/INDEX(Decrements!$G$6:$G$58,Census!$G38-17)*(INDEX(Decrements!$D$6:$D$58,Census!$G38+F$5-18)+IF(F$5=$B38,INDEX(Decrements!$F$6:$F$58,Census!$G38+F$5-18),0)+INDEX(Decrements!$E$6:$E$58,Census!$G38+F$5-18)*IF((Census!$F38+F$5)&gt;=Assumptions!$B$11,1,0))*MIN(15/26*Census!$D38*(1+Assumptions!$B$9)^F$5*(INT((Census!$F38+F$5))+IF((Census!$F38+F$5)-INT((Census!$F38+F$5))&gt;0.5,1,0)),Assumptions!$B$10))</f>
        <v>44568.448709319251</v>
      </c>
      <c r="G38" s="30">
        <f>IF(G$5&gt;$B38,0,INDEX(Decrements!$G$6:$G$58,Census!$G38+G$5-18)/INDEX(Decrements!$G$6:$G$58,Census!$G38-17)*(INDEX(Decrements!$D$6:$D$58,Census!$G38+G$5-18)+IF(G$5=$B38,INDEX(Decrements!$F$6:$F$58,Census!$G38+G$5-18),0)+INDEX(Decrements!$E$6:$E$58,Census!$G38+G$5-18)*IF((Census!$F38+G$5)&gt;=Assumptions!$B$11,1,0))*MIN(15/26*Census!$D38*(1+Assumptions!$B$9)^G$5*(INT((Census!$F38+G$5))+IF((Census!$F38+G$5)-INT((Census!$F38+G$5))&gt;0.5,1,0)),Assumptions!$B$10))</f>
        <v>26034.135089549156</v>
      </c>
      <c r="H38" s="30">
        <f>IF(H$5&gt;$B38,0,INDEX(Decrements!$G$6:$G$58,Census!$G38+H$5-18)/INDEX(Decrements!$G$6:$G$58,Census!$G38-17)*(INDEX(Decrements!$D$6:$D$58,Census!$G38+H$5-18)+IF(H$5=$B38,INDEX(Decrements!$F$6:$F$58,Census!$G38+H$5-18),0)+INDEX(Decrements!$E$6:$E$58,Census!$G38+H$5-18)*IF((Census!$F38+H$5)&gt;=Assumptions!$B$11,1,0))*MIN(15/26*Census!$D38*(1+Assumptions!$B$9)^H$5*(INT((Census!$F38+H$5))+IF((Census!$F38+H$5)-INT((Census!$F38+H$5))&gt;0.5,1,0)),Assumptions!$B$10))</f>
        <v>26362.380697222336</v>
      </c>
      <c r="I38" s="30">
        <f>IF(I$5&gt;$B38,0,INDEX(Decrements!$G$6:$G$58,Census!$G38+I$5-18)/INDEX(Decrements!$G$6:$G$58,Census!$G38-17)*(INDEX(Decrements!$D$6:$D$58,Census!$G38+I$5-18)+IF(I$5=$B38,INDEX(Decrements!$F$6:$F$58,Census!$G38+I$5-18),0)+INDEX(Decrements!$E$6:$E$58,Census!$G38+I$5-18)*IF((Census!$F38+I$5)&gt;=Assumptions!$B$11,1,0))*MIN(15/26*Census!$D38*(1+Assumptions!$B$9)^I$5*(INT((Census!$F38+I$5))+IF((Census!$F38+I$5)-INT((Census!$F38+I$5))&gt;0.5,1,0)),Assumptions!$B$10))</f>
        <v>26734.057204360484</v>
      </c>
      <c r="J38" s="30">
        <f>IF(J$5&gt;$B38,0,INDEX(Decrements!$G$6:$G$58,Census!$G38+J$5-18)/INDEX(Decrements!$G$6:$G$58,Census!$G38-17)*(INDEX(Decrements!$D$6:$D$58,Census!$G38+J$5-18)+IF(J$5=$B38,INDEX(Decrements!$F$6:$F$58,Census!$G38+J$5-18),0)+INDEX(Decrements!$E$6:$E$58,Census!$G38+J$5-18)*IF((Census!$F38+J$5)&gt;=Assumptions!$B$11,1,0))*MIN(15/26*Census!$D38*(1+Assumptions!$B$9)^J$5*(INT((Census!$F38+J$5))+IF((Census!$F38+J$5)-INT((Census!$F38+J$5))&gt;0.5,1,0)),Assumptions!$B$10))</f>
        <v>27151.690716302517</v>
      </c>
      <c r="K38" s="30">
        <f>IF(K$5&gt;$B38,0,INDEX(Decrements!$G$6:$G$58,Census!$G38+K$5-18)/INDEX(Decrements!$G$6:$G$58,Census!$G38-17)*(INDEX(Decrements!$D$6:$D$58,Census!$G38+K$5-18)+IF(K$5=$B38,INDEX(Decrements!$F$6:$F$58,Census!$G38+K$5-18),0)+INDEX(Decrements!$E$6:$E$58,Census!$G38+K$5-18)*IF((Census!$F38+K$5)&gt;=Assumptions!$B$11,1,0))*MIN(15/26*Census!$D38*(1+Assumptions!$B$9)^K$5*(INT((Census!$F38+K$5))+IF((Census!$F38+K$5)-INT((Census!$F38+K$5))&gt;0.5,1,0)),Assumptions!$B$10))</f>
        <v>1712488.2606011217</v>
      </c>
      <c r="L38" s="30">
        <f>IF(L$5&gt;$B38,0,INDEX(Decrements!$G$6:$G$58,Census!$G38+L$5-18)/INDEX(Decrements!$G$6:$G$58,Census!$G38-17)*(INDEX(Decrements!$D$6:$D$58,Census!$G38+L$5-18)+IF(L$5=$B38,INDEX(Decrements!$F$6:$F$58,Census!$G38+L$5-18),0)+INDEX(Decrements!$E$6:$E$58,Census!$G38+L$5-18)*IF((Census!$F38+L$5)&gt;=Assumptions!$B$11,1,0))*MIN(15/26*Census!$D38*(1+Assumptions!$B$9)^L$5*(INT((Census!$F38+L$5))+IF((Census!$F38+L$5)-INT((Census!$F38+L$5))&gt;0.5,1,0)),Assumptions!$B$10))</f>
        <v>0</v>
      </c>
      <c r="M38" s="30">
        <f>IF(M$5&gt;$B38,0,INDEX(Decrements!$G$6:$G$58,Census!$G38+M$5-18)/INDEX(Decrements!$G$6:$G$58,Census!$G38-17)*(INDEX(Decrements!$D$6:$D$58,Census!$G38+M$5-18)+IF(M$5=$B38,INDEX(Decrements!$F$6:$F$58,Census!$G38+M$5-18),0)+INDEX(Decrements!$E$6:$E$58,Census!$G38+M$5-18)*IF((Census!$F38+M$5)&gt;=Assumptions!$B$11,1,0))*MIN(15/26*Census!$D38*(1+Assumptions!$B$9)^M$5*(INT((Census!$F38+M$5))+IF((Census!$F38+M$5)-INT((Census!$F38+M$5))&gt;0.5,1,0)),Assumptions!$B$10))</f>
        <v>0</v>
      </c>
      <c r="N38" s="30">
        <f>IF(N$5&gt;$B38,0,INDEX(Decrements!$G$6:$G$58,Census!$G38+N$5-18)/INDEX(Decrements!$G$6:$G$58,Census!$G38-17)*(INDEX(Decrements!$D$6:$D$58,Census!$G38+N$5-18)+IF(N$5=$B38,INDEX(Decrements!$F$6:$F$58,Census!$G38+N$5-18),0)+INDEX(Decrements!$E$6:$E$58,Census!$G38+N$5-18)*IF((Census!$F38+N$5)&gt;=Assumptions!$B$11,1,0))*MIN(15/26*Census!$D38*(1+Assumptions!$B$9)^N$5*(INT((Census!$F38+N$5))+IF((Census!$F38+N$5)-INT((Census!$F38+N$5))&gt;0.5,1,0)),Assumptions!$B$10))</f>
        <v>0</v>
      </c>
      <c r="O38" s="30">
        <f>IF(O$5&gt;$B38,0,INDEX(Decrements!$G$6:$G$58,Census!$G38+O$5-18)/INDEX(Decrements!$G$6:$G$58,Census!$G38-17)*(INDEX(Decrements!$D$6:$D$58,Census!$G38+O$5-18)+IF(O$5=$B38,INDEX(Decrements!$F$6:$F$58,Census!$G38+O$5-18),0)+INDEX(Decrements!$E$6:$E$58,Census!$G38+O$5-18)*IF((Census!$F38+O$5)&gt;=Assumptions!$B$11,1,0))*MIN(15/26*Census!$D38*(1+Assumptions!$B$9)^O$5*(INT((Census!$F38+O$5))+IF((Census!$F38+O$5)-INT((Census!$F38+O$5))&gt;0.5,1,0)),Assumptions!$B$10))</f>
        <v>0</v>
      </c>
      <c r="P38" s="30">
        <f>IF(P$5&gt;$B38,0,INDEX(Decrements!$G$6:$G$58,Census!$G38+P$5-18)/INDEX(Decrements!$G$6:$G$58,Census!$G38-17)*(INDEX(Decrements!$D$6:$D$58,Census!$G38+P$5-18)+IF(P$5=$B38,INDEX(Decrements!$F$6:$F$58,Census!$G38+P$5-18),0)+INDEX(Decrements!$E$6:$E$58,Census!$G38+P$5-18)*IF((Census!$F38+P$5)&gt;=Assumptions!$B$11,1,0))*MIN(15/26*Census!$D38*(1+Assumptions!$B$9)^P$5*(INT((Census!$F38+P$5))+IF((Census!$F38+P$5)-INT((Census!$F38+P$5))&gt;0.5,1,0)),Assumptions!$B$10))</f>
        <v>0</v>
      </c>
      <c r="Q38" s="30">
        <f>IF(Q$5&gt;$B38,0,INDEX(Decrements!$G$6:$G$58,Census!$G38+Q$5-18)/INDEX(Decrements!$G$6:$G$58,Census!$G38-17)*(INDEX(Decrements!$D$6:$D$58,Census!$G38+Q$5-18)+IF(Q$5=$B38,INDEX(Decrements!$F$6:$F$58,Census!$G38+Q$5-18),0)+INDEX(Decrements!$E$6:$E$58,Census!$G38+Q$5-18)*IF((Census!$F38+Q$5)&gt;=Assumptions!$B$11,1,0))*MIN(15/26*Census!$D38*(1+Assumptions!$B$9)^Q$5*(INT((Census!$F38+Q$5))+IF((Census!$F38+Q$5)-INT((Census!$F38+Q$5))&gt;0.5,1,0)),Assumptions!$B$10))</f>
        <v>0</v>
      </c>
      <c r="R38" s="30">
        <f>IF(R$5&gt;$B38,0,INDEX(Decrements!$G$6:$G$58,Census!$G38+R$5-18)/INDEX(Decrements!$G$6:$G$58,Census!$G38-17)*(INDEX(Decrements!$D$6:$D$58,Census!$G38+R$5-18)+IF(R$5=$B38,INDEX(Decrements!$F$6:$F$58,Census!$G38+R$5-18),0)+INDEX(Decrements!$E$6:$E$58,Census!$G38+R$5-18)*IF((Census!$F38+R$5)&gt;=Assumptions!$B$11,1,0))*MIN(15/26*Census!$D38*(1+Assumptions!$B$9)^R$5*(INT((Census!$F38+R$5))+IF((Census!$F38+R$5)-INT((Census!$F38+R$5))&gt;0.5,1,0)),Assumptions!$B$10))</f>
        <v>0</v>
      </c>
      <c r="S38" s="30">
        <f>IF(S$5&gt;$B38,0,INDEX(Decrements!$G$6:$G$58,Census!$G38+S$5-18)/INDEX(Decrements!$G$6:$G$58,Census!$G38-17)*(INDEX(Decrements!$D$6:$D$58,Census!$G38+S$5-18)+IF(S$5=$B38,INDEX(Decrements!$F$6:$F$58,Census!$G38+S$5-18),0)+INDEX(Decrements!$E$6:$E$58,Census!$G38+S$5-18)*IF((Census!$F38+S$5)&gt;=Assumptions!$B$11,1,0))*MIN(15/26*Census!$D38*(1+Assumptions!$B$9)^S$5*(INT((Census!$F38+S$5))+IF((Census!$F38+S$5)-INT((Census!$F38+S$5))&gt;0.5,1,0)),Assumptions!$B$10))</f>
        <v>0</v>
      </c>
      <c r="T38" s="30">
        <f>IF(T$5&gt;$B38,0,INDEX(Decrements!$G$6:$G$58,Census!$G38+T$5-18)/INDEX(Decrements!$G$6:$G$58,Census!$G38-17)*(INDEX(Decrements!$D$6:$D$58,Census!$G38+T$5-18)+IF(T$5=$B38,INDEX(Decrements!$F$6:$F$58,Census!$G38+T$5-18),0)+INDEX(Decrements!$E$6:$E$58,Census!$G38+T$5-18)*IF((Census!$F38+T$5)&gt;=Assumptions!$B$11,1,0))*MIN(15/26*Census!$D38*(1+Assumptions!$B$9)^T$5*(INT((Census!$F38+T$5))+IF((Census!$F38+T$5)-INT((Census!$F38+T$5))&gt;0.5,1,0)),Assumptions!$B$10))</f>
        <v>0</v>
      </c>
      <c r="U38" s="30">
        <f>IF(U$5&gt;$B38,0,INDEX(Decrements!$G$6:$G$58,Census!$G38+U$5-18)/INDEX(Decrements!$G$6:$G$58,Census!$G38-17)*(INDEX(Decrements!$D$6:$D$58,Census!$G38+U$5-18)+IF(U$5=$B38,INDEX(Decrements!$F$6:$F$58,Census!$G38+U$5-18),0)+INDEX(Decrements!$E$6:$E$58,Census!$G38+U$5-18)*IF((Census!$F38+U$5)&gt;=Assumptions!$B$11,1,0))*MIN(15/26*Census!$D38*(1+Assumptions!$B$9)^U$5*(INT((Census!$F38+U$5))+IF((Census!$F38+U$5)-INT((Census!$F38+U$5))&gt;0.5,1,0)),Assumptions!$B$10))</f>
        <v>0</v>
      </c>
      <c r="V38" s="30">
        <f>IF(V$5&gt;$B38,0,INDEX(Decrements!$G$6:$G$58,Census!$G38+V$5-18)/INDEX(Decrements!$G$6:$G$58,Census!$G38-17)*(INDEX(Decrements!$D$6:$D$58,Census!$G38+V$5-18)+IF(V$5=$B38,INDEX(Decrements!$F$6:$F$58,Census!$G38+V$5-18),0)+INDEX(Decrements!$E$6:$E$58,Census!$G38+V$5-18)*IF((Census!$F38+V$5)&gt;=Assumptions!$B$11,1,0))*MIN(15/26*Census!$D38*(1+Assumptions!$B$9)^V$5*(INT((Census!$F38+V$5))+IF((Census!$F38+V$5)-INT((Census!$F38+V$5))&gt;0.5,1,0)),Assumptions!$B$10))</f>
        <v>0</v>
      </c>
      <c r="W38" s="30">
        <f>IF(W$5&gt;$B38,0,INDEX(Decrements!$G$6:$G$58,Census!$G38+W$5-18)/INDEX(Decrements!$G$6:$G$58,Census!$G38-17)*(INDEX(Decrements!$D$6:$D$58,Census!$G38+W$5-18)+IF(W$5=$B38,INDEX(Decrements!$F$6:$F$58,Census!$G38+W$5-18),0)+INDEX(Decrements!$E$6:$E$58,Census!$G38+W$5-18)*IF((Census!$F38+W$5)&gt;=Assumptions!$B$11,1,0))*MIN(15/26*Census!$D38*(1+Assumptions!$B$9)^W$5*(INT((Census!$F38+W$5))+IF((Census!$F38+W$5)-INT((Census!$F38+W$5))&gt;0.5,1,0)),Assumptions!$B$10))</f>
        <v>0</v>
      </c>
      <c r="X38" s="30">
        <f>IF(X$5&gt;$B38,0,INDEX(Decrements!$G$6:$G$58,Census!$G38+X$5-18)/INDEX(Decrements!$G$6:$G$58,Census!$G38-17)*(INDEX(Decrements!$D$6:$D$58,Census!$G38+X$5-18)+IF(X$5=$B38,INDEX(Decrements!$F$6:$F$58,Census!$G38+X$5-18),0)+INDEX(Decrements!$E$6:$E$58,Census!$G38+X$5-18)*IF((Census!$F38+X$5)&gt;=Assumptions!$B$11,1,0))*MIN(15/26*Census!$D38*(1+Assumptions!$B$9)^X$5*(INT((Census!$F38+X$5))+IF((Census!$F38+X$5)-INT((Census!$F38+X$5))&gt;0.5,1,0)),Assumptions!$B$10))</f>
        <v>0</v>
      </c>
      <c r="Y38" s="30">
        <f>IF(Y$5&gt;$B38,0,INDEX(Decrements!$G$6:$G$58,Census!$G38+Y$5-18)/INDEX(Decrements!$G$6:$G$58,Census!$G38-17)*(INDEX(Decrements!$D$6:$D$58,Census!$G38+Y$5-18)+IF(Y$5=$B38,INDEX(Decrements!$F$6:$F$58,Census!$G38+Y$5-18),0)+INDEX(Decrements!$E$6:$E$58,Census!$G38+Y$5-18)*IF((Census!$F38+Y$5)&gt;=Assumptions!$B$11,1,0))*MIN(15/26*Census!$D38*(1+Assumptions!$B$9)^Y$5*(INT((Census!$F38+Y$5))+IF((Census!$F38+Y$5)-INT((Census!$F38+Y$5))&gt;0.5,1,0)),Assumptions!$B$10))</f>
        <v>0</v>
      </c>
      <c r="Z38" s="30">
        <f>IF(Z$5&gt;$B38,0,INDEX(Decrements!$G$6:$G$58,Census!$G38+Z$5-18)/INDEX(Decrements!$G$6:$G$58,Census!$G38-17)*(INDEX(Decrements!$D$6:$D$58,Census!$G38+Z$5-18)+IF(Z$5=$B38,INDEX(Decrements!$F$6:$F$58,Census!$G38+Z$5-18),0)+INDEX(Decrements!$E$6:$E$58,Census!$G38+Z$5-18)*IF((Census!$F38+Z$5)&gt;=Assumptions!$B$11,1,0))*MIN(15/26*Census!$D38*(1+Assumptions!$B$9)^Z$5*(INT((Census!$F38+Z$5))+IF((Census!$F38+Z$5)-INT((Census!$F38+Z$5))&gt;0.5,1,0)),Assumptions!$B$10))</f>
        <v>0</v>
      </c>
      <c r="AA38" s="30">
        <f>IF(AA$5&gt;$B38,0,INDEX(Decrements!$G$6:$G$58,Census!$G38+AA$5-18)/INDEX(Decrements!$G$6:$G$58,Census!$G38-17)*(INDEX(Decrements!$D$6:$D$58,Census!$G38+AA$5-18)+IF(AA$5=$B38,INDEX(Decrements!$F$6:$F$58,Census!$G38+AA$5-18),0)+INDEX(Decrements!$E$6:$E$58,Census!$G38+AA$5-18)*IF((Census!$F38+AA$5)&gt;=Assumptions!$B$11,1,0))*MIN(15/26*Census!$D38*(1+Assumptions!$B$9)^AA$5*(INT((Census!$F38+AA$5))+IF((Census!$F38+AA$5)-INT((Census!$F38+AA$5))&gt;0.5,1,0)),Assumptions!$B$10))</f>
        <v>0</v>
      </c>
      <c r="AB38" s="30">
        <f>IF(AB$5&gt;$B38,0,INDEX(Decrements!$G$6:$G$58,Census!$G38+AB$5-18)/INDEX(Decrements!$G$6:$G$58,Census!$G38-17)*(INDEX(Decrements!$D$6:$D$58,Census!$G38+AB$5-18)+IF(AB$5=$B38,INDEX(Decrements!$F$6:$F$58,Census!$G38+AB$5-18),0)+INDEX(Decrements!$E$6:$E$58,Census!$G38+AB$5-18)*IF((Census!$F38+AB$5)&gt;=Assumptions!$B$11,1,0))*MIN(15/26*Census!$D38*(1+Assumptions!$B$9)^AB$5*(INT((Census!$F38+AB$5))+IF((Census!$F38+AB$5)-INT((Census!$F38+AB$5))&gt;0.5,1,0)),Assumptions!$B$10))</f>
        <v>0</v>
      </c>
      <c r="AC38" s="30">
        <f>IF(AC$5&gt;$B38,0,INDEX(Decrements!$G$6:$G$58,Census!$G38+AC$5-18)/INDEX(Decrements!$G$6:$G$58,Census!$G38-17)*(INDEX(Decrements!$D$6:$D$58,Census!$G38+AC$5-18)+IF(AC$5=$B38,INDEX(Decrements!$F$6:$F$58,Census!$G38+AC$5-18),0)+INDEX(Decrements!$E$6:$E$58,Census!$G38+AC$5-18)*IF((Census!$F38+AC$5)&gt;=Assumptions!$B$11,1,0))*MIN(15/26*Census!$D38*(1+Assumptions!$B$9)^AC$5*(INT((Census!$F38+AC$5))+IF((Census!$F38+AC$5)-INT((Census!$F38+AC$5))&gt;0.5,1,0)),Assumptions!$B$10))</f>
        <v>0</v>
      </c>
      <c r="AD38" s="30">
        <f>IF(AD$5&gt;$B38,0,INDEX(Decrements!$G$6:$G$58,Census!$G38+AD$5-18)/INDEX(Decrements!$G$6:$G$58,Census!$G38-17)*(INDEX(Decrements!$D$6:$D$58,Census!$G38+AD$5-18)+IF(AD$5=$B38,INDEX(Decrements!$F$6:$F$58,Census!$G38+AD$5-18),0)+INDEX(Decrements!$E$6:$E$58,Census!$G38+AD$5-18)*IF((Census!$F38+AD$5)&gt;=Assumptions!$B$11,1,0))*MIN(15/26*Census!$D38*(1+Assumptions!$B$9)^AD$5*(INT((Census!$F38+AD$5))+IF((Census!$F38+AD$5)-INT((Census!$F38+AD$5))&gt;0.5,1,0)),Assumptions!$B$10))</f>
        <v>0</v>
      </c>
      <c r="AE38" s="30">
        <f>IF(AE$5&gt;$B38,0,INDEX(Decrements!$G$6:$G$58,Census!$G38+AE$5-18)/INDEX(Decrements!$G$6:$G$58,Census!$G38-17)*(INDEX(Decrements!$D$6:$D$58,Census!$G38+AE$5-18)+IF(AE$5=$B38,INDEX(Decrements!$F$6:$F$58,Census!$G38+AE$5-18),0)+INDEX(Decrements!$E$6:$E$58,Census!$G38+AE$5-18)*IF((Census!$F38+AE$5)&gt;=Assumptions!$B$11,1,0))*MIN(15/26*Census!$D38*(1+Assumptions!$B$9)^AE$5*(INT((Census!$F38+AE$5))+IF((Census!$F38+AE$5)-INT((Census!$F38+AE$5))&gt;0.5,1,0)),Assumptions!$B$10))</f>
        <v>0</v>
      </c>
      <c r="AF38" s="30">
        <f>IF(AF$5&gt;$B38,0,INDEX(Decrements!$G$6:$G$58,Census!$G38+AF$5-18)/INDEX(Decrements!$G$6:$G$58,Census!$G38-17)*(INDEX(Decrements!$D$6:$D$58,Census!$G38+AF$5-18)+IF(AF$5=$B38,INDEX(Decrements!$F$6:$F$58,Census!$G38+AF$5-18),0)+INDEX(Decrements!$E$6:$E$58,Census!$G38+AF$5-18)*IF((Census!$F38+AF$5)&gt;=Assumptions!$B$11,1,0))*MIN(15/26*Census!$D38*(1+Assumptions!$B$9)^AF$5*(INT((Census!$F38+AF$5))+IF((Census!$F38+AF$5)-INT((Census!$F38+AF$5))&gt;0.5,1,0)),Assumptions!$B$10))</f>
        <v>0</v>
      </c>
      <c r="AG38" s="30">
        <f>IF(AG$5&gt;$B38,0,INDEX(Decrements!$G$6:$G$58,Census!$G38+AG$5-18)/INDEX(Decrements!$G$6:$G$58,Census!$G38-17)*(INDEX(Decrements!$D$6:$D$58,Census!$G38+AG$5-18)+IF(AG$5=$B38,INDEX(Decrements!$F$6:$F$58,Census!$G38+AG$5-18),0)+INDEX(Decrements!$E$6:$E$58,Census!$G38+AG$5-18)*IF((Census!$F38+AG$5)&gt;=Assumptions!$B$11,1,0))*MIN(15/26*Census!$D38*(1+Assumptions!$B$9)^AG$5*(INT((Census!$F38+AG$5))+IF((Census!$F38+AG$5)-INT((Census!$F38+AG$5))&gt;0.5,1,0)),Assumptions!$B$10))</f>
        <v>0</v>
      </c>
      <c r="AH38" s="30">
        <f>IF(AH$5&gt;$B38,0,INDEX(Decrements!$G$6:$G$58,Census!$G38+AH$5-18)/INDEX(Decrements!$G$6:$G$58,Census!$G38-17)*(INDEX(Decrements!$D$6:$D$58,Census!$G38+AH$5-18)+IF(AH$5=$B38,INDEX(Decrements!$F$6:$F$58,Census!$G38+AH$5-18),0)+INDEX(Decrements!$E$6:$E$58,Census!$G38+AH$5-18)*IF((Census!$F38+AH$5)&gt;=Assumptions!$B$11,1,0))*MIN(15/26*Census!$D38*(1+Assumptions!$B$9)^AH$5*(INT((Census!$F38+AH$5))+IF((Census!$F38+AH$5)-INT((Census!$F38+AH$5))&gt;0.5,1,0)),Assumptions!$B$10))</f>
        <v>0</v>
      </c>
      <c r="AI38" s="30">
        <f>IF(AI$5&gt;$B38,0,INDEX(Decrements!$G$6:$G$58,Census!$G38+AI$5-18)/INDEX(Decrements!$G$6:$G$58,Census!$G38-17)*(INDEX(Decrements!$D$6:$D$58,Census!$G38+AI$5-18)+IF(AI$5=$B38,INDEX(Decrements!$F$6:$F$58,Census!$G38+AI$5-18),0)+INDEX(Decrements!$E$6:$E$58,Census!$G38+AI$5-18)*IF((Census!$F38+AI$5)&gt;=Assumptions!$B$11,1,0))*MIN(15/26*Census!$D38*(1+Assumptions!$B$9)^AI$5*(INT((Census!$F38+AI$5))+IF((Census!$F38+AI$5)-INT((Census!$F38+AI$5))&gt;0.5,1,0)),Assumptions!$B$10))</f>
        <v>0</v>
      </c>
      <c r="AJ38" s="30">
        <f>IF(AJ$5&gt;$B38,0,INDEX(Decrements!$G$6:$G$58,Census!$G38+AJ$5-18)/INDEX(Decrements!$G$6:$G$58,Census!$G38-17)*(INDEX(Decrements!$D$6:$D$58,Census!$G38+AJ$5-18)+IF(AJ$5=$B38,INDEX(Decrements!$F$6:$F$58,Census!$G38+AJ$5-18),0)+INDEX(Decrements!$E$6:$E$58,Census!$G38+AJ$5-18)*IF((Census!$F38+AJ$5)&gt;=Assumptions!$B$11,1,0))*MIN(15/26*Census!$D38*(1+Assumptions!$B$9)^AJ$5*(INT((Census!$F38+AJ$5))+IF((Census!$F38+AJ$5)-INT((Census!$F38+AJ$5))&gt;0.5,1,0)),Assumptions!$B$10))</f>
        <v>0</v>
      </c>
      <c r="AK38" s="30">
        <f>IF(AK$5&gt;$B38,0,INDEX(Decrements!$G$6:$G$58,Census!$G38+AK$5-18)/INDEX(Decrements!$G$6:$G$58,Census!$G38-17)*(INDEX(Decrements!$D$6:$D$58,Census!$G38+AK$5-18)+IF(AK$5=$B38,INDEX(Decrements!$F$6:$F$58,Census!$G38+AK$5-18),0)+INDEX(Decrements!$E$6:$E$58,Census!$G38+AK$5-18)*IF((Census!$F38+AK$5)&gt;=Assumptions!$B$11,1,0))*MIN(15/26*Census!$D38*(1+Assumptions!$B$9)^AK$5*(INT((Census!$F38+AK$5))+IF((Census!$F38+AK$5)-INT((Census!$F38+AK$5))&gt;0.5,1,0)),Assumptions!$B$10))</f>
        <v>0</v>
      </c>
      <c r="AL38" s="30">
        <f>IF(AL$5&gt;$B38,0,INDEX(Decrements!$G$6:$G$58,Census!$G38+AL$5-18)/INDEX(Decrements!$G$6:$G$58,Census!$G38-17)*(INDEX(Decrements!$D$6:$D$58,Census!$G38+AL$5-18)+IF(AL$5=$B38,INDEX(Decrements!$F$6:$F$58,Census!$G38+AL$5-18),0)+INDEX(Decrements!$E$6:$E$58,Census!$G38+AL$5-18)*IF((Census!$F38+AL$5)&gt;=Assumptions!$B$11,1,0))*MIN(15/26*Census!$D38*(1+Assumptions!$B$9)^AL$5*(INT((Census!$F38+AL$5))+IF((Census!$F38+AL$5)-INT((Census!$F38+AL$5))&gt;0.5,1,0)),Assumptions!$B$10))</f>
        <v>0</v>
      </c>
      <c r="AM38" s="30">
        <f>IF(AM$5&gt;$B38,0,INDEX(Decrements!$G$6:$G$58,Census!$G38+AM$5-18)/INDEX(Decrements!$G$6:$G$58,Census!$G38-17)*(INDEX(Decrements!$D$6:$D$58,Census!$G38+AM$5-18)+IF(AM$5=$B38,INDEX(Decrements!$F$6:$F$58,Census!$G38+AM$5-18),0)+INDEX(Decrements!$E$6:$E$58,Census!$G38+AM$5-18)*IF((Census!$F38+AM$5)&gt;=Assumptions!$B$11,1,0))*MIN(15/26*Census!$D38*(1+Assumptions!$B$9)^AM$5*(INT((Census!$F38+AM$5))+IF((Census!$F38+AM$5)-INT((Census!$F38+AM$5))&gt;0.5,1,0)),Assumptions!$B$10))</f>
        <v>0</v>
      </c>
      <c r="AN38" s="30">
        <f>IF(AN$5&gt;$B38,0,INDEX(Decrements!$G$6:$G$58,Census!$G38+AN$5-18)/INDEX(Decrements!$G$6:$G$58,Census!$G38-17)*(INDEX(Decrements!$D$6:$D$58,Census!$G38+AN$5-18)+IF(AN$5=$B38,INDEX(Decrements!$F$6:$F$58,Census!$G38+AN$5-18),0)+INDEX(Decrements!$E$6:$E$58,Census!$G38+AN$5-18)*IF((Census!$F38+AN$5)&gt;=Assumptions!$B$11,1,0))*MIN(15/26*Census!$D38*(1+Assumptions!$B$9)^AN$5*(INT((Census!$F38+AN$5))+IF((Census!$F38+AN$5)-INT((Census!$F38+AN$5))&gt;0.5,1,0)),Assumptions!$B$10))</f>
        <v>0</v>
      </c>
      <c r="AO38" s="30">
        <f>IF(AO$5&gt;$B38,0,INDEX(Decrements!$G$6:$G$58,Census!$G38+AO$5-18)/INDEX(Decrements!$G$6:$G$58,Census!$G38-17)*(INDEX(Decrements!$D$6:$D$58,Census!$G38+AO$5-18)+IF(AO$5=$B38,INDEX(Decrements!$F$6:$F$58,Census!$G38+AO$5-18),0)+INDEX(Decrements!$E$6:$E$58,Census!$G38+AO$5-18)*IF((Census!$F38+AO$5)&gt;=Assumptions!$B$11,1,0))*MIN(15/26*Census!$D38*(1+Assumptions!$B$9)^AO$5*(INT((Census!$F38+AO$5))+IF((Census!$F38+AO$5)-INT((Census!$F38+AO$5))&gt;0.5,1,0)),Assumptions!$B$10))</f>
        <v>0</v>
      </c>
      <c r="AP38" s="30">
        <f>IF(AP$5&gt;$B38,0,INDEX(Decrements!$G$6:$G$58,Census!$G38+AP$5-18)/INDEX(Decrements!$G$6:$G$58,Census!$G38-17)*(INDEX(Decrements!$D$6:$D$58,Census!$G38+AP$5-18)+IF(AP$5=$B38,INDEX(Decrements!$F$6:$F$58,Census!$G38+AP$5-18),0)+INDEX(Decrements!$E$6:$E$58,Census!$G38+AP$5-18)*IF((Census!$F38+AP$5)&gt;=Assumptions!$B$11,1,0))*MIN(15/26*Census!$D38*(1+Assumptions!$B$9)^AP$5*(INT((Census!$F38+AP$5))+IF((Census!$F38+AP$5)-INT((Census!$F38+AP$5))&gt;0.5,1,0)),Assumptions!$B$10))</f>
        <v>0</v>
      </c>
      <c r="AQ38" s="30">
        <f>IF(AQ$5&gt;$B38,0,INDEX(Decrements!$G$6:$G$58,Census!$G38+AQ$5-18)/INDEX(Decrements!$G$6:$G$58,Census!$G38-17)*(INDEX(Decrements!$D$6:$D$58,Census!$G38+AQ$5-18)+IF(AQ$5=$B38,INDEX(Decrements!$F$6:$F$58,Census!$G38+AQ$5-18),0)+INDEX(Decrements!$E$6:$E$58,Census!$G38+AQ$5-18)*IF((Census!$F38+AQ$5)&gt;=Assumptions!$B$11,1,0))*MIN(15/26*Census!$D38*(1+Assumptions!$B$9)^AQ$5*(INT((Census!$F38+AQ$5))+IF((Census!$F38+AQ$5)-INT((Census!$F38+AQ$5))&gt;0.5,1,0)),Assumptions!$B$10))</f>
        <v>0</v>
      </c>
      <c r="AR38" s="30">
        <f>IF(AR$5&gt;$B38,0,INDEX(Decrements!$G$6:$G$58,Census!$G38+AR$5-18)/INDEX(Decrements!$G$6:$G$58,Census!$G38-17)*(INDEX(Decrements!$D$6:$D$58,Census!$G38+AR$5-18)+IF(AR$5=$B38,INDEX(Decrements!$F$6:$F$58,Census!$G38+AR$5-18),0)+INDEX(Decrements!$E$6:$E$58,Census!$G38+AR$5-18)*IF((Census!$F38+AR$5)&gt;=Assumptions!$B$11,1,0))*MIN(15/26*Census!$D38*(1+Assumptions!$B$9)^AR$5*(INT((Census!$F38+AR$5))+IF((Census!$F38+AR$5)-INT((Census!$F38+AR$5))&gt;0.5,1,0)),Assumptions!$B$10))</f>
        <v>0</v>
      </c>
      <c r="AS38" s="30">
        <f>IF(AS$5&gt;$B38,0,INDEX(Decrements!$G$6:$G$58,Census!$G38+AS$5-18)/INDEX(Decrements!$G$6:$G$58,Census!$G38-17)*(INDEX(Decrements!$D$6:$D$58,Census!$G38+AS$5-18)+IF(AS$5=$B38,INDEX(Decrements!$F$6:$F$58,Census!$G38+AS$5-18),0)+INDEX(Decrements!$E$6:$E$58,Census!$G38+AS$5-18)*IF((Census!$F38+AS$5)&gt;=Assumptions!$B$11,1,0))*MIN(15/26*Census!$D38*(1+Assumptions!$B$9)^AS$5*(INT((Census!$F38+AS$5))+IF((Census!$F38+AS$5)-INT((Census!$F38+AS$5))&gt;0.5,1,0)),Assumptions!$B$10))</f>
        <v>0</v>
      </c>
      <c r="AT38" s="30">
        <f>IF(AT$5&gt;$B38,0,INDEX(Decrements!$G$6:$G$58,Census!$G38+AT$5-18)/INDEX(Decrements!$G$6:$G$58,Census!$G38-17)*(INDEX(Decrements!$D$6:$D$58,Census!$G38+AT$5-18)+IF(AT$5=$B38,INDEX(Decrements!$F$6:$F$58,Census!$G38+AT$5-18),0)+INDEX(Decrements!$E$6:$E$58,Census!$G38+AT$5-18)*IF((Census!$F38+AT$5)&gt;=Assumptions!$B$11,1,0))*MIN(15/26*Census!$D38*(1+Assumptions!$B$9)^AT$5*(INT((Census!$F38+AT$5))+IF((Census!$F38+AT$5)-INT((Census!$F38+AT$5))&gt;0.5,1,0)),Assumptions!$B$10))</f>
        <v>0</v>
      </c>
      <c r="AU38" s="30">
        <f>IF(AU$5&gt;$B38,0,INDEX(Decrements!$G$6:$G$58,Census!$G38+AU$5-18)/INDEX(Decrements!$G$6:$G$58,Census!$G38-17)*(INDEX(Decrements!$D$6:$D$58,Census!$G38+AU$5-18)+IF(AU$5=$B38,INDEX(Decrements!$F$6:$F$58,Census!$G38+AU$5-18),0)+INDEX(Decrements!$E$6:$E$58,Census!$G38+AU$5-18)*IF((Census!$F38+AU$5)&gt;=Assumptions!$B$11,1,0))*MIN(15/26*Census!$D38*(1+Assumptions!$B$9)^AU$5*(INT((Census!$F38+AU$5))+IF((Census!$F38+AU$5)-INT((Census!$F38+AU$5))&gt;0.5,1,0)),Assumptions!$B$10))</f>
        <v>0</v>
      </c>
    </row>
    <row r="39" spans="1:47" x14ac:dyDescent="0.3">
      <c r="A39" s="10" t="str">
        <f>Census!A39</f>
        <v>E034</v>
      </c>
      <c r="B39" s="29">
        <f>Census!H39</f>
        <v>30</v>
      </c>
      <c r="C39" s="30">
        <f>IF(C$5&gt;$B39,0,INDEX(Decrements!$G$6:$G$58,Census!$G39+C$5-18)/INDEX(Decrements!$G$6:$G$58,Census!$G39-17)*(INDEX(Decrements!$D$6:$D$58,Census!$G39+C$5-18)+IF(C$5=$B39,INDEX(Decrements!$F$6:$F$58,Census!$G39+C$5-18),0)+INDEX(Decrements!$E$6:$E$58,Census!$G39+C$5-18)*IF((Census!$F39+C$5)&gt;=Assumptions!$B$11,1,0))*MIN(15/26*Census!$D39*(1+Assumptions!$B$9)^C$5*(INT((Census!$F39+C$5))+IF((Census!$F39+C$5)-INT((Census!$F39+C$5))&gt;0.5,1,0)),Assumptions!$B$10))</f>
        <v>42.20876180758237</v>
      </c>
      <c r="D39" s="30">
        <f>IF(D$5&gt;$B39,0,INDEX(Decrements!$G$6:$G$58,Census!$G39+D$5-18)/INDEX(Decrements!$G$6:$G$58,Census!$G39-17)*(INDEX(Decrements!$D$6:$D$58,Census!$G39+D$5-18)+IF(D$5=$B39,INDEX(Decrements!$F$6:$F$58,Census!$G39+D$5-18),0)+INDEX(Decrements!$E$6:$E$58,Census!$G39+D$5-18)*IF((Census!$F39+D$5)&gt;=Assumptions!$B$11,1,0))*MIN(15/26*Census!$D39*(1+Assumptions!$B$9)^D$5*(INT((Census!$F39+D$5))+IF((Census!$F39+D$5)-INT((Census!$F39+D$5))&gt;0.5,1,0)),Assumptions!$B$10))</f>
        <v>7751.9652225401551</v>
      </c>
      <c r="E39" s="30">
        <f>IF(E$5&gt;$B39,0,INDEX(Decrements!$G$6:$G$58,Census!$G39+E$5-18)/INDEX(Decrements!$G$6:$G$58,Census!$G39-17)*(INDEX(Decrements!$D$6:$D$58,Census!$G39+E$5-18)+IF(E$5=$B39,INDEX(Decrements!$F$6:$F$58,Census!$G39+E$5-18),0)+INDEX(Decrements!$E$6:$E$58,Census!$G39+E$5-18)*IF((Census!$F39+E$5)&gt;=Assumptions!$B$11,1,0))*MIN(15/26*Census!$D39*(1+Assumptions!$B$9)^E$5*(INT((Census!$F39+E$5))+IF((Census!$F39+E$5)-INT((Census!$F39+E$5))&gt;0.5,1,0)),Assumptions!$B$10))</f>
        <v>8937.1420378257153</v>
      </c>
      <c r="F39" s="30">
        <f>IF(F$5&gt;$B39,0,INDEX(Decrements!$G$6:$G$58,Census!$G39+F$5-18)/INDEX(Decrements!$G$6:$G$58,Census!$G39-17)*(INDEX(Decrements!$D$6:$D$58,Census!$G39+F$5-18)+IF(F$5=$B39,INDEX(Decrements!$F$6:$F$58,Census!$G39+F$5-18),0)+INDEX(Decrements!$E$6:$E$58,Census!$G39+F$5-18)*IF((Census!$F39+F$5)&gt;=Assumptions!$B$11,1,0))*MIN(15/26*Census!$D39*(1+Assumptions!$B$9)^F$5*(INT((Census!$F39+F$5))+IF((Census!$F39+F$5)-INT((Census!$F39+F$5))&gt;0.5,1,0)),Assumptions!$B$10))</f>
        <v>10017.227677001598</v>
      </c>
      <c r="G39" s="30">
        <f>IF(G$5&gt;$B39,0,INDEX(Decrements!$G$6:$G$58,Census!$G39+G$5-18)/INDEX(Decrements!$G$6:$G$58,Census!$G39-17)*(INDEX(Decrements!$D$6:$D$58,Census!$G39+G$5-18)+IF(G$5=$B39,INDEX(Decrements!$F$6:$F$58,Census!$G39+G$5-18),0)+INDEX(Decrements!$E$6:$E$58,Census!$G39+G$5-18)*IF((Census!$F39+G$5)&gt;=Assumptions!$B$11,1,0))*MIN(15/26*Census!$D39*(1+Assumptions!$B$9)^G$5*(INT((Census!$F39+G$5))+IF((Census!$F39+G$5)-INT((Census!$F39+G$5))&gt;0.5,1,0)),Assumptions!$B$10))</f>
        <v>10998.607916362405</v>
      </c>
      <c r="H39" s="30">
        <f>IF(H$5&gt;$B39,0,INDEX(Decrements!$G$6:$G$58,Census!$G39+H$5-18)/INDEX(Decrements!$G$6:$G$58,Census!$G39-17)*(INDEX(Decrements!$D$6:$D$58,Census!$G39+H$5-18)+IF(H$5=$B39,INDEX(Decrements!$F$6:$F$58,Census!$G39+H$5-18),0)+INDEX(Decrements!$E$6:$E$58,Census!$G39+H$5-18)*IF((Census!$F39+H$5)&gt;=Assumptions!$B$11,1,0))*MIN(15/26*Census!$D39*(1+Assumptions!$B$9)^H$5*(INT((Census!$F39+H$5))+IF((Census!$F39+H$5)-INT((Census!$F39+H$5))&gt;0.5,1,0)),Assumptions!$B$10))</f>
        <v>8674.2519722482903</v>
      </c>
      <c r="I39" s="30">
        <f>IF(I$5&gt;$B39,0,INDEX(Decrements!$G$6:$G$58,Census!$G39+I$5-18)/INDEX(Decrements!$G$6:$G$58,Census!$G39-17)*(INDEX(Decrements!$D$6:$D$58,Census!$G39+I$5-18)+IF(I$5=$B39,INDEX(Decrements!$F$6:$F$58,Census!$G39+I$5-18),0)+INDEX(Decrements!$E$6:$E$58,Census!$G39+I$5-18)*IF((Census!$F39+I$5)&gt;=Assumptions!$B$11,1,0))*MIN(15/26*Census!$D39*(1+Assumptions!$B$9)^I$5*(INT((Census!$F39+I$5))+IF((Census!$F39+I$5)-INT((Census!$F39+I$5))&gt;0.5,1,0)),Assumptions!$B$10))</f>
        <v>9573.3094664395721</v>
      </c>
      <c r="J39" s="30">
        <f>IF(J$5&gt;$B39,0,INDEX(Decrements!$G$6:$G$58,Census!$G39+J$5-18)/INDEX(Decrements!$G$6:$G$58,Census!$G39-17)*(INDEX(Decrements!$D$6:$D$58,Census!$G39+J$5-18)+IF(J$5=$B39,INDEX(Decrements!$F$6:$F$58,Census!$G39+J$5-18),0)+INDEX(Decrements!$E$6:$E$58,Census!$G39+J$5-18)*IF((Census!$F39+J$5)&gt;=Assumptions!$B$11,1,0))*MIN(15/26*Census!$D39*(1+Assumptions!$B$9)^J$5*(INT((Census!$F39+J$5))+IF((Census!$F39+J$5)-INT((Census!$F39+J$5))&gt;0.5,1,0)),Assumptions!$B$10))</f>
        <v>10459.973486369048</v>
      </c>
      <c r="K39" s="30">
        <f>IF(K$5&gt;$B39,0,INDEX(Decrements!$G$6:$G$58,Census!$G39+K$5-18)/INDEX(Decrements!$G$6:$G$58,Census!$G39-17)*(INDEX(Decrements!$D$6:$D$58,Census!$G39+K$5-18)+IF(K$5=$B39,INDEX(Decrements!$F$6:$F$58,Census!$G39+K$5-18),0)+INDEX(Decrements!$E$6:$E$58,Census!$G39+K$5-18)*IF((Census!$F39+K$5)&gt;=Assumptions!$B$11,1,0))*MIN(15/26*Census!$D39*(1+Assumptions!$B$9)^K$5*(INT((Census!$F39+K$5))+IF((Census!$F39+K$5)-INT((Census!$F39+K$5))&gt;0.5,1,0)),Assumptions!$B$10))</f>
        <v>11334.397596693409</v>
      </c>
      <c r="L39" s="30">
        <f>IF(L$5&gt;$B39,0,INDEX(Decrements!$G$6:$G$58,Census!$G39+L$5-18)/INDEX(Decrements!$G$6:$G$58,Census!$G39-17)*(INDEX(Decrements!$D$6:$D$58,Census!$G39+L$5-18)+IF(L$5=$B39,INDEX(Decrements!$F$6:$F$58,Census!$G39+L$5-18),0)+INDEX(Decrements!$E$6:$E$58,Census!$G39+L$5-18)*IF((Census!$F39+L$5)&gt;=Assumptions!$B$11,1,0))*MIN(15/26*Census!$D39*(1+Assumptions!$B$9)^L$5*(INT((Census!$F39+L$5))+IF((Census!$F39+L$5)-INT((Census!$F39+L$5))&gt;0.5,1,0)),Assumptions!$B$10))</f>
        <v>12196.736302068082</v>
      </c>
      <c r="M39" s="30">
        <f>IF(M$5&gt;$B39,0,INDEX(Decrements!$G$6:$G$58,Census!$G39+M$5-18)/INDEX(Decrements!$G$6:$G$58,Census!$G39-17)*(INDEX(Decrements!$D$6:$D$58,Census!$G39+M$5-18)+IF(M$5=$B39,INDEX(Decrements!$F$6:$F$58,Census!$G39+M$5-18),0)+INDEX(Decrements!$E$6:$E$58,Census!$G39+M$5-18)*IF((Census!$F39+M$5)&gt;=Assumptions!$B$11,1,0))*MIN(15/26*Census!$D39*(1+Assumptions!$B$9)^M$5*(INT((Census!$F39+M$5))+IF((Census!$F39+M$5)-INT((Census!$F39+M$5))&gt;0.5,1,0)),Assumptions!$B$10))</f>
        <v>8235.697196772644</v>
      </c>
      <c r="N39" s="30">
        <f>IF(N$5&gt;$B39,0,INDEX(Decrements!$G$6:$G$58,Census!$G39+N$5-18)/INDEX(Decrements!$G$6:$G$58,Census!$G39-17)*(INDEX(Decrements!$D$6:$D$58,Census!$G39+N$5-18)+IF(N$5=$B39,INDEX(Decrements!$F$6:$F$58,Census!$G39+N$5-18),0)+INDEX(Decrements!$E$6:$E$58,Census!$G39+N$5-18)*IF((Census!$F39+N$5)&gt;=Assumptions!$B$11,1,0))*MIN(15/26*Census!$D39*(1+Assumptions!$B$9)^N$5*(INT((Census!$F39+N$5))+IF((Census!$F39+N$5)-INT((Census!$F39+N$5))&gt;0.5,1,0)),Assumptions!$B$10))</f>
        <v>9057.0576718682933</v>
      </c>
      <c r="O39" s="30">
        <f>IF(O$5&gt;$B39,0,INDEX(Decrements!$G$6:$G$58,Census!$G39+O$5-18)/INDEX(Decrements!$G$6:$G$58,Census!$G39-17)*(INDEX(Decrements!$D$6:$D$58,Census!$G39+O$5-18)+IF(O$5=$B39,INDEX(Decrements!$F$6:$F$58,Census!$G39+O$5-18),0)+INDEX(Decrements!$E$6:$E$58,Census!$G39+O$5-18)*IF((Census!$F39+O$5)&gt;=Assumptions!$B$11,1,0))*MIN(15/26*Census!$D39*(1+Assumptions!$B$9)^O$5*(INT((Census!$F39+O$5))+IF((Census!$F39+O$5)-INT((Census!$F39+O$5))&gt;0.5,1,0)),Assumptions!$B$10))</f>
        <v>9916.8275157867793</v>
      </c>
      <c r="P39" s="30">
        <f>IF(P$5&gt;$B39,0,INDEX(Decrements!$G$6:$G$58,Census!$G39+P$5-18)/INDEX(Decrements!$G$6:$G$58,Census!$G39-17)*(INDEX(Decrements!$D$6:$D$58,Census!$G39+P$5-18)+IF(P$5=$B39,INDEX(Decrements!$F$6:$F$58,Census!$G39+P$5-18),0)+INDEX(Decrements!$E$6:$E$58,Census!$G39+P$5-18)*IF((Census!$F39+P$5)&gt;=Assumptions!$B$11,1,0))*MIN(15/26*Census!$D39*(1+Assumptions!$B$9)^P$5*(INT((Census!$F39+P$5))+IF((Census!$F39+P$5)-INT((Census!$F39+P$5))&gt;0.5,1,0)),Assumptions!$B$10))</f>
        <v>10816.704544619677</v>
      </c>
      <c r="Q39" s="30">
        <f>IF(Q$5&gt;$B39,0,INDEX(Decrements!$G$6:$G$58,Census!$G39+Q$5-18)/INDEX(Decrements!$G$6:$G$58,Census!$G39-17)*(INDEX(Decrements!$D$6:$D$58,Census!$G39+Q$5-18)+IF(Q$5=$B39,INDEX(Decrements!$F$6:$F$58,Census!$G39+Q$5-18),0)+INDEX(Decrements!$E$6:$E$58,Census!$G39+Q$5-18)*IF((Census!$F39+Q$5)&gt;=Assumptions!$B$11,1,0))*MIN(15/26*Census!$D39*(1+Assumptions!$B$9)^Q$5*(INT((Census!$F39+Q$5))+IF((Census!$F39+Q$5)-INT((Census!$F39+Q$5))&gt;0.5,1,0)),Assumptions!$B$10))</f>
        <v>11758.486404766711</v>
      </c>
      <c r="R39" s="30">
        <f>IF(R$5&gt;$B39,0,INDEX(Decrements!$G$6:$G$58,Census!$G39+R$5-18)/INDEX(Decrements!$G$6:$G$58,Census!$G39-17)*(INDEX(Decrements!$D$6:$D$58,Census!$G39+R$5-18)+IF(R$5=$B39,INDEX(Decrements!$F$6:$F$58,Census!$G39+R$5-18),0)+INDEX(Decrements!$E$6:$E$58,Census!$G39+R$5-18)*IF((Census!$F39+R$5)&gt;=Assumptions!$B$11,1,0))*MIN(15/26*Census!$D39*(1+Assumptions!$B$9)^R$5*(INT((Census!$F39+R$5))+IF((Census!$F39+R$5)-INT((Census!$F39+R$5))&gt;0.5,1,0)),Assumptions!$B$10))</f>
        <v>7836.0360238874391</v>
      </c>
      <c r="S39" s="30">
        <f>IF(S$5&gt;$B39,0,INDEX(Decrements!$G$6:$G$58,Census!$G39+S$5-18)/INDEX(Decrements!$G$6:$G$58,Census!$G39-17)*(INDEX(Decrements!$D$6:$D$58,Census!$G39+S$5-18)+IF(S$5=$B39,INDEX(Decrements!$F$6:$F$58,Census!$G39+S$5-18),0)+INDEX(Decrements!$E$6:$E$58,Census!$G39+S$5-18)*IF((Census!$F39+S$5)&gt;=Assumptions!$B$11,1,0))*MIN(15/26*Census!$D39*(1+Assumptions!$B$9)^S$5*(INT((Census!$F39+S$5))+IF((Census!$F39+S$5)-INT((Census!$F39+S$5))&gt;0.5,1,0)),Assumptions!$B$10))</f>
        <v>8664.497708189625</v>
      </c>
      <c r="T39" s="30">
        <f>IF(T$5&gt;$B39,0,INDEX(Decrements!$G$6:$G$58,Census!$G39+T$5-18)/INDEX(Decrements!$G$6:$G$58,Census!$G39-17)*(INDEX(Decrements!$D$6:$D$58,Census!$G39+T$5-18)+IF(T$5=$B39,INDEX(Decrements!$F$6:$F$58,Census!$G39+T$5-18),0)+INDEX(Decrements!$E$6:$E$58,Census!$G39+T$5-18)*IF((Census!$F39+T$5)&gt;=Assumptions!$B$11,1,0))*MIN(15/26*Census!$D39*(1+Assumptions!$B$9)^T$5*(INT((Census!$F39+T$5))+IF((Census!$F39+T$5)-INT((Census!$F39+T$5))&gt;0.5,1,0)),Assumptions!$B$10))</f>
        <v>9559.3214425123933</v>
      </c>
      <c r="U39" s="30">
        <f>IF(U$5&gt;$B39,0,INDEX(Decrements!$G$6:$G$58,Census!$G39+U$5-18)/INDEX(Decrements!$G$6:$G$58,Census!$G39-17)*(INDEX(Decrements!$D$6:$D$58,Census!$G39+U$5-18)+IF(U$5=$B39,INDEX(Decrements!$F$6:$F$58,Census!$G39+U$5-18),0)+INDEX(Decrements!$E$6:$E$58,Census!$G39+U$5-18)*IF((Census!$F39+U$5)&gt;=Assumptions!$B$11,1,0))*MIN(15/26*Census!$D39*(1+Assumptions!$B$9)^U$5*(INT((Census!$F39+U$5))+IF((Census!$F39+U$5)-INT((Census!$F39+U$5))&gt;0.5,1,0)),Assumptions!$B$10))</f>
        <v>10525.889858469181</v>
      </c>
      <c r="V39" s="30">
        <f>IF(V$5&gt;$B39,0,INDEX(Decrements!$G$6:$G$58,Census!$G39+V$5-18)/INDEX(Decrements!$G$6:$G$58,Census!$G39-17)*(INDEX(Decrements!$D$6:$D$58,Census!$G39+V$5-18)+IF(V$5=$B39,INDEX(Decrements!$F$6:$F$58,Census!$G39+V$5-18),0)+INDEX(Decrements!$E$6:$E$58,Census!$G39+V$5-18)*IF((Census!$F39+V$5)&gt;=Assumptions!$B$11,1,0))*MIN(15/26*Census!$D39*(1+Assumptions!$B$9)^V$5*(INT((Census!$F39+V$5))+IF((Census!$F39+V$5)-INT((Census!$F39+V$5))&gt;0.5,1,0)),Assumptions!$B$10))</f>
        <v>11570.100597559427</v>
      </c>
      <c r="W39" s="30">
        <f>IF(W$5&gt;$B39,0,INDEX(Decrements!$G$6:$G$58,Census!$G39+W$5-18)/INDEX(Decrements!$G$6:$G$58,Census!$G39-17)*(INDEX(Decrements!$D$6:$D$58,Census!$G39+W$5-18)+IF(W$5=$B39,INDEX(Decrements!$F$6:$F$58,Census!$G39+W$5-18),0)+INDEX(Decrements!$E$6:$E$58,Census!$G39+W$5-18)*IF((Census!$F39+W$5)&gt;=Assumptions!$B$11,1,0))*MIN(15/26*Census!$D39*(1+Assumptions!$B$9)^W$5*(INT((Census!$F39+W$5))+IF((Census!$F39+W$5)-INT((Census!$F39+W$5))&gt;0.5,1,0)),Assumptions!$B$10))</f>
        <v>8834.8987812639098</v>
      </c>
      <c r="X39" s="30">
        <f>IF(X$5&gt;$B39,0,INDEX(Decrements!$G$6:$G$58,Census!$G39+X$5-18)/INDEX(Decrements!$G$6:$G$58,Census!$G39-17)*(INDEX(Decrements!$D$6:$D$58,Census!$G39+X$5-18)+IF(X$5=$B39,INDEX(Decrements!$F$6:$F$58,Census!$G39+X$5-18),0)+INDEX(Decrements!$E$6:$E$58,Census!$G39+X$5-18)*IF((Census!$F39+X$5)&gt;=Assumptions!$B$11,1,0))*MIN(15/26*Census!$D39*(1+Assumptions!$B$9)^X$5*(INT((Census!$F39+X$5))+IF((Census!$F39+X$5)-INT((Census!$F39+X$5))&gt;0.5,1,0)),Assumptions!$B$10))</f>
        <v>9815.1473398117578</v>
      </c>
      <c r="Y39" s="30">
        <f>IF(Y$5&gt;$B39,0,INDEX(Decrements!$G$6:$G$58,Census!$G39+Y$5-18)/INDEX(Decrements!$G$6:$G$58,Census!$G39-17)*(INDEX(Decrements!$D$6:$D$58,Census!$G39+Y$5-18)+IF(Y$5=$B39,INDEX(Decrements!$F$6:$F$58,Census!$G39+Y$5-18),0)+INDEX(Decrements!$E$6:$E$58,Census!$G39+Y$5-18)*IF((Census!$F39+Y$5)&gt;=Assumptions!$B$11,1,0))*MIN(15/26*Census!$D39*(1+Assumptions!$B$9)^Y$5*(INT((Census!$F39+Y$5))+IF((Census!$F39+Y$5)-INT((Census!$F39+Y$5))&gt;0.5,1,0)),Assumptions!$B$10))</f>
        <v>10572.220483260417</v>
      </c>
      <c r="Z39" s="30">
        <f>IF(Z$5&gt;$B39,0,INDEX(Decrements!$G$6:$G$58,Census!$G39+Z$5-18)/INDEX(Decrements!$G$6:$G$58,Census!$G39-17)*(INDEX(Decrements!$D$6:$D$58,Census!$G39+Z$5-18)+IF(Z$5=$B39,INDEX(Decrements!$F$6:$F$58,Census!$G39+Z$5-18),0)+INDEX(Decrements!$E$6:$E$58,Census!$G39+Z$5-18)*IF((Census!$F39+Z$5)&gt;=Assumptions!$B$11,1,0))*MIN(15/26*Census!$D39*(1+Assumptions!$B$9)^Z$5*(INT((Census!$F39+Z$5))+IF((Census!$F39+Z$5)-INT((Census!$F39+Z$5))&gt;0.5,1,0)),Assumptions!$B$10))</f>
        <v>10454.762570127461</v>
      </c>
      <c r="AA39" s="30">
        <f>IF(AA$5&gt;$B39,0,INDEX(Decrements!$G$6:$G$58,Census!$G39+AA$5-18)/INDEX(Decrements!$G$6:$G$58,Census!$G39-17)*(INDEX(Decrements!$D$6:$D$58,Census!$G39+AA$5-18)+IF(AA$5=$B39,INDEX(Decrements!$F$6:$F$58,Census!$G39+AA$5-18),0)+INDEX(Decrements!$E$6:$E$58,Census!$G39+AA$5-18)*IF((Census!$F39+AA$5)&gt;=Assumptions!$B$11,1,0))*MIN(15/26*Census!$D39*(1+Assumptions!$B$9)^AA$5*(INT((Census!$F39+AA$5))+IF((Census!$F39+AA$5)-INT((Census!$F39+AA$5))&gt;0.5,1,0)),Assumptions!$B$10))</f>
        <v>10346.503776240357</v>
      </c>
      <c r="AB39" s="30">
        <f>IF(AB$5&gt;$B39,0,INDEX(Decrements!$G$6:$G$58,Census!$G39+AB$5-18)/INDEX(Decrements!$G$6:$G$58,Census!$G39-17)*(INDEX(Decrements!$D$6:$D$58,Census!$G39+AB$5-18)+IF(AB$5=$B39,INDEX(Decrements!$F$6:$F$58,Census!$G39+AB$5-18),0)+INDEX(Decrements!$E$6:$E$58,Census!$G39+AB$5-18)*IF((Census!$F39+AB$5)&gt;=Assumptions!$B$11,1,0))*MIN(15/26*Census!$D39*(1+Assumptions!$B$9)^AB$5*(INT((Census!$F39+AB$5))+IF((Census!$F39+AB$5)-INT((Census!$F39+AB$5))&gt;0.5,1,0)),Assumptions!$B$10))</f>
        <v>6043.7884830137318</v>
      </c>
      <c r="AC39" s="30">
        <f>IF(AC$5&gt;$B39,0,INDEX(Decrements!$G$6:$G$58,Census!$G39+AC$5-18)/INDEX(Decrements!$G$6:$G$58,Census!$G39-17)*(INDEX(Decrements!$D$6:$D$58,Census!$G39+AC$5-18)+IF(AC$5=$B39,INDEX(Decrements!$F$6:$F$58,Census!$G39+AC$5-18),0)+INDEX(Decrements!$E$6:$E$58,Census!$G39+AC$5-18)*IF((Census!$F39+AC$5)&gt;=Assumptions!$B$11,1,0))*MIN(15/26*Census!$D39*(1+Assumptions!$B$9)^AC$5*(INT((Census!$F39+AC$5))+IF((Census!$F39+AC$5)-INT((Census!$F39+AC$5))&gt;0.5,1,0)),Assumptions!$B$10))</f>
        <v>6119.9902472141257</v>
      </c>
      <c r="AD39" s="30">
        <f>IF(AD$5&gt;$B39,0,INDEX(Decrements!$G$6:$G$58,Census!$G39+AD$5-18)/INDEX(Decrements!$G$6:$G$58,Census!$G39-17)*(INDEX(Decrements!$D$6:$D$58,Census!$G39+AD$5-18)+IF(AD$5=$B39,INDEX(Decrements!$F$6:$F$58,Census!$G39+AD$5-18),0)+INDEX(Decrements!$E$6:$E$58,Census!$G39+AD$5-18)*IF((Census!$F39+AD$5)&gt;=Assumptions!$B$11,1,0))*MIN(15/26*Census!$D39*(1+Assumptions!$B$9)^AD$5*(INT((Census!$F39+AD$5))+IF((Census!$F39+AD$5)-INT((Census!$F39+AD$5))&gt;0.5,1,0)),Assumptions!$B$10))</f>
        <v>6206.274434705726</v>
      </c>
      <c r="AE39" s="30">
        <f>IF(AE$5&gt;$B39,0,INDEX(Decrements!$G$6:$G$58,Census!$G39+AE$5-18)/INDEX(Decrements!$G$6:$G$58,Census!$G39-17)*(INDEX(Decrements!$D$6:$D$58,Census!$G39+AE$5-18)+IF(AE$5=$B39,INDEX(Decrements!$F$6:$F$58,Census!$G39+AE$5-18),0)+INDEX(Decrements!$E$6:$E$58,Census!$G39+AE$5-18)*IF((Census!$F39+AE$5)&gt;=Assumptions!$B$11,1,0))*MIN(15/26*Census!$D39*(1+Assumptions!$B$9)^AE$5*(INT((Census!$F39+AE$5))+IF((Census!$F39+AE$5)-INT((Census!$F39+AE$5))&gt;0.5,1,0)),Assumptions!$B$10))</f>
        <v>6303.2274773519975</v>
      </c>
      <c r="AF39" s="30">
        <f>IF(AF$5&gt;$B39,0,INDEX(Decrements!$G$6:$G$58,Census!$G39+AF$5-18)/INDEX(Decrements!$G$6:$G$58,Census!$G39-17)*(INDEX(Decrements!$D$6:$D$58,Census!$G39+AF$5-18)+IF(AF$5=$B39,INDEX(Decrements!$F$6:$F$58,Census!$G39+AF$5-18),0)+INDEX(Decrements!$E$6:$E$58,Census!$G39+AF$5-18)*IF((Census!$F39+AF$5)&gt;=Assumptions!$B$11,1,0))*MIN(15/26*Census!$D39*(1+Assumptions!$B$9)^AF$5*(INT((Census!$F39+AF$5))+IF((Census!$F39+AF$5)-INT((Census!$F39+AF$5))&gt;0.5,1,0)),Assumptions!$B$10))</f>
        <v>397551.78311539261</v>
      </c>
      <c r="AG39" s="30">
        <f>IF(AG$5&gt;$B39,0,INDEX(Decrements!$G$6:$G$58,Census!$G39+AG$5-18)/INDEX(Decrements!$G$6:$G$58,Census!$G39-17)*(INDEX(Decrements!$D$6:$D$58,Census!$G39+AG$5-18)+IF(AG$5=$B39,INDEX(Decrements!$F$6:$F$58,Census!$G39+AG$5-18),0)+INDEX(Decrements!$E$6:$E$58,Census!$G39+AG$5-18)*IF((Census!$F39+AG$5)&gt;=Assumptions!$B$11,1,0))*MIN(15/26*Census!$D39*(1+Assumptions!$B$9)^AG$5*(INT((Census!$F39+AG$5))+IF((Census!$F39+AG$5)-INT((Census!$F39+AG$5))&gt;0.5,1,0)),Assumptions!$B$10))</f>
        <v>0</v>
      </c>
      <c r="AH39" s="30">
        <f>IF(AH$5&gt;$B39,0,INDEX(Decrements!$G$6:$G$58,Census!$G39+AH$5-18)/INDEX(Decrements!$G$6:$G$58,Census!$G39-17)*(INDEX(Decrements!$D$6:$D$58,Census!$G39+AH$5-18)+IF(AH$5=$B39,INDEX(Decrements!$F$6:$F$58,Census!$G39+AH$5-18),0)+INDEX(Decrements!$E$6:$E$58,Census!$G39+AH$5-18)*IF((Census!$F39+AH$5)&gt;=Assumptions!$B$11,1,0))*MIN(15/26*Census!$D39*(1+Assumptions!$B$9)^AH$5*(INT((Census!$F39+AH$5))+IF((Census!$F39+AH$5)-INT((Census!$F39+AH$5))&gt;0.5,1,0)),Assumptions!$B$10))</f>
        <v>0</v>
      </c>
      <c r="AI39" s="30">
        <f>IF(AI$5&gt;$B39,0,INDEX(Decrements!$G$6:$G$58,Census!$G39+AI$5-18)/INDEX(Decrements!$G$6:$G$58,Census!$G39-17)*(INDEX(Decrements!$D$6:$D$58,Census!$G39+AI$5-18)+IF(AI$5=$B39,INDEX(Decrements!$F$6:$F$58,Census!$G39+AI$5-18),0)+INDEX(Decrements!$E$6:$E$58,Census!$G39+AI$5-18)*IF((Census!$F39+AI$5)&gt;=Assumptions!$B$11,1,0))*MIN(15/26*Census!$D39*(1+Assumptions!$B$9)^AI$5*(INT((Census!$F39+AI$5))+IF((Census!$F39+AI$5)-INT((Census!$F39+AI$5))&gt;0.5,1,0)),Assumptions!$B$10))</f>
        <v>0</v>
      </c>
      <c r="AJ39" s="30">
        <f>IF(AJ$5&gt;$B39,0,INDEX(Decrements!$G$6:$G$58,Census!$G39+AJ$5-18)/INDEX(Decrements!$G$6:$G$58,Census!$G39-17)*(INDEX(Decrements!$D$6:$D$58,Census!$G39+AJ$5-18)+IF(AJ$5=$B39,INDEX(Decrements!$F$6:$F$58,Census!$G39+AJ$5-18),0)+INDEX(Decrements!$E$6:$E$58,Census!$G39+AJ$5-18)*IF((Census!$F39+AJ$5)&gt;=Assumptions!$B$11,1,0))*MIN(15/26*Census!$D39*(1+Assumptions!$B$9)^AJ$5*(INT((Census!$F39+AJ$5))+IF((Census!$F39+AJ$5)-INT((Census!$F39+AJ$5))&gt;0.5,1,0)),Assumptions!$B$10))</f>
        <v>0</v>
      </c>
      <c r="AK39" s="30">
        <f>IF(AK$5&gt;$B39,0,INDEX(Decrements!$G$6:$G$58,Census!$G39+AK$5-18)/INDEX(Decrements!$G$6:$G$58,Census!$G39-17)*(INDEX(Decrements!$D$6:$D$58,Census!$G39+AK$5-18)+IF(AK$5=$B39,INDEX(Decrements!$F$6:$F$58,Census!$G39+AK$5-18),0)+INDEX(Decrements!$E$6:$E$58,Census!$G39+AK$5-18)*IF((Census!$F39+AK$5)&gt;=Assumptions!$B$11,1,0))*MIN(15/26*Census!$D39*(1+Assumptions!$B$9)^AK$5*(INT((Census!$F39+AK$5))+IF((Census!$F39+AK$5)-INT((Census!$F39+AK$5))&gt;0.5,1,0)),Assumptions!$B$10))</f>
        <v>0</v>
      </c>
      <c r="AL39" s="30">
        <f>IF(AL$5&gt;$B39,0,INDEX(Decrements!$G$6:$G$58,Census!$G39+AL$5-18)/INDEX(Decrements!$G$6:$G$58,Census!$G39-17)*(INDEX(Decrements!$D$6:$D$58,Census!$G39+AL$5-18)+IF(AL$5=$B39,INDEX(Decrements!$F$6:$F$58,Census!$G39+AL$5-18),0)+INDEX(Decrements!$E$6:$E$58,Census!$G39+AL$5-18)*IF((Census!$F39+AL$5)&gt;=Assumptions!$B$11,1,0))*MIN(15/26*Census!$D39*(1+Assumptions!$B$9)^AL$5*(INT((Census!$F39+AL$5))+IF((Census!$F39+AL$5)-INT((Census!$F39+AL$5))&gt;0.5,1,0)),Assumptions!$B$10))</f>
        <v>0</v>
      </c>
      <c r="AM39" s="30">
        <f>IF(AM$5&gt;$B39,0,INDEX(Decrements!$G$6:$G$58,Census!$G39+AM$5-18)/INDEX(Decrements!$G$6:$G$58,Census!$G39-17)*(INDEX(Decrements!$D$6:$D$58,Census!$G39+AM$5-18)+IF(AM$5=$B39,INDEX(Decrements!$F$6:$F$58,Census!$G39+AM$5-18),0)+INDEX(Decrements!$E$6:$E$58,Census!$G39+AM$5-18)*IF((Census!$F39+AM$5)&gt;=Assumptions!$B$11,1,0))*MIN(15/26*Census!$D39*(1+Assumptions!$B$9)^AM$5*(INT((Census!$F39+AM$5))+IF((Census!$F39+AM$5)-INT((Census!$F39+AM$5))&gt;0.5,1,0)),Assumptions!$B$10))</f>
        <v>0</v>
      </c>
      <c r="AN39" s="30">
        <f>IF(AN$5&gt;$B39,0,INDEX(Decrements!$G$6:$G$58,Census!$G39+AN$5-18)/INDEX(Decrements!$G$6:$G$58,Census!$G39-17)*(INDEX(Decrements!$D$6:$D$58,Census!$G39+AN$5-18)+IF(AN$5=$B39,INDEX(Decrements!$F$6:$F$58,Census!$G39+AN$5-18),0)+INDEX(Decrements!$E$6:$E$58,Census!$G39+AN$5-18)*IF((Census!$F39+AN$5)&gt;=Assumptions!$B$11,1,0))*MIN(15/26*Census!$D39*(1+Assumptions!$B$9)^AN$5*(INT((Census!$F39+AN$5))+IF((Census!$F39+AN$5)-INT((Census!$F39+AN$5))&gt;0.5,1,0)),Assumptions!$B$10))</f>
        <v>0</v>
      </c>
      <c r="AO39" s="30">
        <f>IF(AO$5&gt;$B39,0,INDEX(Decrements!$G$6:$G$58,Census!$G39+AO$5-18)/INDEX(Decrements!$G$6:$G$58,Census!$G39-17)*(INDEX(Decrements!$D$6:$D$58,Census!$G39+AO$5-18)+IF(AO$5=$B39,INDEX(Decrements!$F$6:$F$58,Census!$G39+AO$5-18),0)+INDEX(Decrements!$E$6:$E$58,Census!$G39+AO$5-18)*IF((Census!$F39+AO$5)&gt;=Assumptions!$B$11,1,0))*MIN(15/26*Census!$D39*(1+Assumptions!$B$9)^AO$5*(INT((Census!$F39+AO$5))+IF((Census!$F39+AO$5)-INT((Census!$F39+AO$5))&gt;0.5,1,0)),Assumptions!$B$10))</f>
        <v>0</v>
      </c>
      <c r="AP39" s="30">
        <f>IF(AP$5&gt;$B39,0,INDEX(Decrements!$G$6:$G$58,Census!$G39+AP$5-18)/INDEX(Decrements!$G$6:$G$58,Census!$G39-17)*(INDEX(Decrements!$D$6:$D$58,Census!$G39+AP$5-18)+IF(AP$5=$B39,INDEX(Decrements!$F$6:$F$58,Census!$G39+AP$5-18),0)+INDEX(Decrements!$E$6:$E$58,Census!$G39+AP$5-18)*IF((Census!$F39+AP$5)&gt;=Assumptions!$B$11,1,0))*MIN(15/26*Census!$D39*(1+Assumptions!$B$9)^AP$5*(INT((Census!$F39+AP$5))+IF((Census!$F39+AP$5)-INT((Census!$F39+AP$5))&gt;0.5,1,0)),Assumptions!$B$10))</f>
        <v>0</v>
      </c>
      <c r="AQ39" s="30">
        <f>IF(AQ$5&gt;$B39,0,INDEX(Decrements!$G$6:$G$58,Census!$G39+AQ$5-18)/INDEX(Decrements!$G$6:$G$58,Census!$G39-17)*(INDEX(Decrements!$D$6:$D$58,Census!$G39+AQ$5-18)+IF(AQ$5=$B39,INDEX(Decrements!$F$6:$F$58,Census!$G39+AQ$5-18),0)+INDEX(Decrements!$E$6:$E$58,Census!$G39+AQ$5-18)*IF((Census!$F39+AQ$5)&gt;=Assumptions!$B$11,1,0))*MIN(15/26*Census!$D39*(1+Assumptions!$B$9)^AQ$5*(INT((Census!$F39+AQ$5))+IF((Census!$F39+AQ$5)-INT((Census!$F39+AQ$5))&gt;0.5,1,0)),Assumptions!$B$10))</f>
        <v>0</v>
      </c>
      <c r="AR39" s="30">
        <f>IF(AR$5&gt;$B39,0,INDEX(Decrements!$G$6:$G$58,Census!$G39+AR$5-18)/INDEX(Decrements!$G$6:$G$58,Census!$G39-17)*(INDEX(Decrements!$D$6:$D$58,Census!$G39+AR$5-18)+IF(AR$5=$B39,INDEX(Decrements!$F$6:$F$58,Census!$G39+AR$5-18),0)+INDEX(Decrements!$E$6:$E$58,Census!$G39+AR$5-18)*IF((Census!$F39+AR$5)&gt;=Assumptions!$B$11,1,0))*MIN(15/26*Census!$D39*(1+Assumptions!$B$9)^AR$5*(INT((Census!$F39+AR$5))+IF((Census!$F39+AR$5)-INT((Census!$F39+AR$5))&gt;0.5,1,0)),Assumptions!$B$10))</f>
        <v>0</v>
      </c>
      <c r="AS39" s="30">
        <f>IF(AS$5&gt;$B39,0,INDEX(Decrements!$G$6:$G$58,Census!$G39+AS$5-18)/INDEX(Decrements!$G$6:$G$58,Census!$G39-17)*(INDEX(Decrements!$D$6:$D$58,Census!$G39+AS$5-18)+IF(AS$5=$B39,INDEX(Decrements!$F$6:$F$58,Census!$G39+AS$5-18),0)+INDEX(Decrements!$E$6:$E$58,Census!$G39+AS$5-18)*IF((Census!$F39+AS$5)&gt;=Assumptions!$B$11,1,0))*MIN(15/26*Census!$D39*(1+Assumptions!$B$9)^AS$5*(INT((Census!$F39+AS$5))+IF((Census!$F39+AS$5)-INT((Census!$F39+AS$5))&gt;0.5,1,0)),Assumptions!$B$10))</f>
        <v>0</v>
      </c>
      <c r="AT39" s="30">
        <f>IF(AT$5&gt;$B39,0,INDEX(Decrements!$G$6:$G$58,Census!$G39+AT$5-18)/INDEX(Decrements!$G$6:$G$58,Census!$G39-17)*(INDEX(Decrements!$D$6:$D$58,Census!$G39+AT$5-18)+IF(AT$5=$B39,INDEX(Decrements!$F$6:$F$58,Census!$G39+AT$5-18),0)+INDEX(Decrements!$E$6:$E$58,Census!$G39+AT$5-18)*IF((Census!$F39+AT$5)&gt;=Assumptions!$B$11,1,0))*MIN(15/26*Census!$D39*(1+Assumptions!$B$9)^AT$5*(INT((Census!$F39+AT$5))+IF((Census!$F39+AT$5)-INT((Census!$F39+AT$5))&gt;0.5,1,0)),Assumptions!$B$10))</f>
        <v>0</v>
      </c>
      <c r="AU39" s="30">
        <f>IF(AU$5&gt;$B39,0,INDEX(Decrements!$G$6:$G$58,Census!$G39+AU$5-18)/INDEX(Decrements!$G$6:$G$58,Census!$G39-17)*(INDEX(Decrements!$D$6:$D$58,Census!$G39+AU$5-18)+IF(AU$5=$B39,INDEX(Decrements!$F$6:$F$58,Census!$G39+AU$5-18),0)+INDEX(Decrements!$E$6:$E$58,Census!$G39+AU$5-18)*IF((Census!$F39+AU$5)&gt;=Assumptions!$B$11,1,0))*MIN(15/26*Census!$D39*(1+Assumptions!$B$9)^AU$5*(INT((Census!$F39+AU$5))+IF((Census!$F39+AU$5)-INT((Census!$F39+AU$5))&gt;0.5,1,0)),Assumptions!$B$10))</f>
        <v>0</v>
      </c>
    </row>
    <row r="40" spans="1:47" x14ac:dyDescent="0.3">
      <c r="A40" s="10" t="str">
        <f>Census!A40</f>
        <v>E035</v>
      </c>
      <c r="B40" s="29">
        <f>Census!H40</f>
        <v>27</v>
      </c>
      <c r="C40" s="30">
        <f>IF(C$5&gt;$B40,0,INDEX(Decrements!$G$6:$G$58,Census!$G40+C$5-18)/INDEX(Decrements!$G$6:$G$58,Census!$G40-17)*(INDEX(Decrements!$D$6:$D$58,Census!$G40+C$5-18)+IF(C$5=$B40,INDEX(Decrements!$F$6:$F$58,Census!$G40+C$5-18),0)+INDEX(Decrements!$E$6:$E$58,Census!$G40+C$5-18)*IF((Census!$F40+C$5)&gt;=Assumptions!$B$11,1,0))*MIN(15/26*Census!$D40*(1+Assumptions!$B$9)^C$5*(INT((Census!$F40+C$5))+IF((Census!$F40+C$5)-INT((Census!$F40+C$5))&gt;0.5,1,0)),Assumptions!$B$10))</f>
        <v>63.192525127199183</v>
      </c>
      <c r="D40" s="30">
        <f>IF(D$5&gt;$B40,0,INDEX(Decrements!$G$6:$G$58,Census!$G40+D$5-18)/INDEX(Decrements!$G$6:$G$58,Census!$G40-17)*(INDEX(Decrements!$D$6:$D$58,Census!$G40+D$5-18)+IF(D$5=$B40,INDEX(Decrements!$F$6:$F$58,Census!$G40+D$5-18),0)+INDEX(Decrements!$E$6:$E$58,Census!$G40+D$5-18)*IF((Census!$F40+D$5)&gt;=Assumptions!$B$11,1,0))*MIN(15/26*Census!$D40*(1+Assumptions!$B$9)^D$5*(INT((Census!$F40+D$5))+IF((Census!$F40+D$5)-INT((Census!$F40+D$5))&gt;0.5,1,0)),Assumptions!$B$10))</f>
        <v>9629.5217883771456</v>
      </c>
      <c r="E40" s="30">
        <f>IF(E$5&gt;$B40,0,INDEX(Decrements!$G$6:$G$58,Census!$G40+E$5-18)/INDEX(Decrements!$G$6:$G$58,Census!$G40-17)*(INDEX(Decrements!$D$6:$D$58,Census!$G40+E$5-18)+IF(E$5=$B40,INDEX(Decrements!$F$6:$F$58,Census!$G40+E$5-18),0)+INDEX(Decrements!$E$6:$E$58,Census!$G40+E$5-18)*IF((Census!$F40+E$5)&gt;=Assumptions!$B$11,1,0))*MIN(15/26*Census!$D40*(1+Assumptions!$B$9)^E$5*(INT((Census!$F40+E$5))+IF((Census!$F40+E$5)-INT((Census!$F40+E$5))&gt;0.5,1,0)),Assumptions!$B$10))</f>
        <v>7875.7750004130748</v>
      </c>
      <c r="F40" s="30">
        <f>IF(F$5&gt;$B40,0,INDEX(Decrements!$G$6:$G$58,Census!$G40+F$5-18)/INDEX(Decrements!$G$6:$G$58,Census!$G40-17)*(INDEX(Decrements!$D$6:$D$58,Census!$G40+F$5-18)+IF(F$5=$B40,INDEX(Decrements!$F$6:$F$58,Census!$G40+F$5-18),0)+INDEX(Decrements!$E$6:$E$58,Census!$G40+F$5-18)*IF((Census!$F40+F$5)&gt;=Assumptions!$B$11,1,0))*MIN(15/26*Census!$D40*(1+Assumptions!$B$9)^F$5*(INT((Census!$F40+F$5))+IF((Census!$F40+F$5)-INT((Census!$F40+F$5))&gt;0.5,1,0)),Assumptions!$B$10))</f>
        <v>8940.4179433108802</v>
      </c>
      <c r="G40" s="30">
        <f>IF(G$5&gt;$B40,0,INDEX(Decrements!$G$6:$G$58,Census!$G40+G$5-18)/INDEX(Decrements!$G$6:$G$58,Census!$G40-17)*(INDEX(Decrements!$D$6:$D$58,Census!$G40+G$5-18)+IF(G$5=$B40,INDEX(Decrements!$F$6:$F$58,Census!$G40+G$5-18),0)+INDEX(Decrements!$E$6:$E$58,Census!$G40+G$5-18)*IF((Census!$F40+G$5)&gt;=Assumptions!$B$11,1,0))*MIN(15/26*Census!$D40*(1+Assumptions!$B$9)^G$5*(INT((Census!$F40+G$5))+IF((Census!$F40+G$5)-INT((Census!$F40+G$5))&gt;0.5,1,0)),Assumptions!$B$10))</f>
        <v>9990.4751608354618</v>
      </c>
      <c r="H40" s="30">
        <f>IF(H$5&gt;$B40,0,INDEX(Decrements!$G$6:$G$58,Census!$G40+H$5-18)/INDEX(Decrements!$G$6:$G$58,Census!$G40-17)*(INDEX(Decrements!$D$6:$D$58,Census!$G40+H$5-18)+IF(H$5=$B40,INDEX(Decrements!$F$6:$F$58,Census!$G40+H$5-18),0)+INDEX(Decrements!$E$6:$E$58,Census!$G40+H$5-18)*IF((Census!$F40+H$5)&gt;=Assumptions!$B$11,1,0))*MIN(15/26*Census!$D40*(1+Assumptions!$B$9)^H$5*(INT((Census!$F40+H$5))+IF((Census!$F40+H$5)-INT((Census!$F40+H$5))&gt;0.5,1,0)),Assumptions!$B$10))</f>
        <v>11026.125553086908</v>
      </c>
      <c r="I40" s="30">
        <f>IF(I$5&gt;$B40,0,INDEX(Decrements!$G$6:$G$58,Census!$G40+I$5-18)/INDEX(Decrements!$G$6:$G$58,Census!$G40-17)*(INDEX(Decrements!$D$6:$D$58,Census!$G40+I$5-18)+IF(I$5=$B40,INDEX(Decrements!$F$6:$F$58,Census!$G40+I$5-18),0)+INDEX(Decrements!$E$6:$E$58,Census!$G40+I$5-18)*IF((Census!$F40+I$5)&gt;=Assumptions!$B$11,1,0))*MIN(15/26*Census!$D40*(1+Assumptions!$B$9)^I$5*(INT((Census!$F40+I$5))+IF((Census!$F40+I$5)-INT((Census!$F40+I$5))&gt;0.5,1,0)),Assumptions!$B$10))</f>
        <v>12047.549061134147</v>
      </c>
      <c r="J40" s="30">
        <f>IF(J$5&gt;$B40,0,INDEX(Decrements!$G$6:$G$58,Census!$G40+J$5-18)/INDEX(Decrements!$G$6:$G$58,Census!$G40-17)*(INDEX(Decrements!$D$6:$D$58,Census!$G40+J$5-18)+IF(J$5=$B40,INDEX(Decrements!$F$6:$F$58,Census!$G40+J$5-18),0)+INDEX(Decrements!$E$6:$E$58,Census!$G40+J$5-18)*IF((Census!$F40+J$5)&gt;=Assumptions!$B$11,1,0))*MIN(15/26*Census!$D40*(1+Assumptions!$B$9)^J$5*(INT((Census!$F40+J$5))+IF((Census!$F40+J$5)-INT((Census!$F40+J$5))&gt;0.5,1,0)),Assumptions!$B$10))</f>
        <v>8240.6091702690701</v>
      </c>
      <c r="K40" s="30">
        <f>IF(K$5&gt;$B40,0,INDEX(Decrements!$G$6:$G$58,Census!$G40+K$5-18)/INDEX(Decrements!$G$6:$G$58,Census!$G40-17)*(INDEX(Decrements!$D$6:$D$58,Census!$G40+K$5-18)+IF(K$5=$B40,INDEX(Decrements!$F$6:$F$58,Census!$G40+K$5-18),0)+INDEX(Decrements!$E$6:$E$58,Census!$G40+K$5-18)*IF((Census!$F40+K$5)&gt;=Assumptions!$B$11,1,0))*MIN(15/26*Census!$D40*(1+Assumptions!$B$9)^K$5*(INT((Census!$F40+K$5))+IF((Census!$F40+K$5)-INT((Census!$F40+K$5))&gt;0.5,1,0)),Assumptions!$B$10))</f>
        <v>9163.1535197892135</v>
      </c>
      <c r="L40" s="30">
        <f>IF(L$5&gt;$B40,0,INDEX(Decrements!$G$6:$G$58,Census!$G40+L$5-18)/INDEX(Decrements!$G$6:$G$58,Census!$G40-17)*(INDEX(Decrements!$D$6:$D$58,Census!$G40+L$5-18)+IF(L$5=$B40,INDEX(Decrements!$F$6:$F$58,Census!$G40+L$5-18),0)+INDEX(Decrements!$E$6:$E$58,Census!$G40+L$5-18)*IF((Census!$F40+L$5)&gt;=Assumptions!$B$11,1,0))*MIN(15/26*Census!$D40*(1+Assumptions!$B$9)^L$5*(INT((Census!$F40+L$5))+IF((Census!$F40+L$5)-INT((Census!$F40+L$5))&gt;0.5,1,0)),Assumptions!$B$10))</f>
        <v>10129.465951920954</v>
      </c>
      <c r="M40" s="30">
        <f>IF(M$5&gt;$B40,0,INDEX(Decrements!$G$6:$G$58,Census!$G40+M$5-18)/INDEX(Decrements!$G$6:$G$58,Census!$G40-17)*(INDEX(Decrements!$D$6:$D$58,Census!$G40+M$5-18)+IF(M$5=$B40,INDEX(Decrements!$F$6:$F$58,Census!$G40+M$5-18),0)+INDEX(Decrements!$E$6:$E$58,Census!$G40+M$5-18)*IF((Census!$F40+M$5)&gt;=Assumptions!$B$11,1,0))*MIN(15/26*Census!$D40*(1+Assumptions!$B$9)^M$5*(INT((Census!$F40+M$5))+IF((Census!$F40+M$5)-INT((Census!$F40+M$5))&gt;0.5,1,0)),Assumptions!$B$10))</f>
        <v>11141.484009283737</v>
      </c>
      <c r="N40" s="30">
        <f>IF(N$5&gt;$B40,0,INDEX(Decrements!$G$6:$G$58,Census!$G40+N$5-18)/INDEX(Decrements!$G$6:$G$58,Census!$G40-17)*(INDEX(Decrements!$D$6:$D$58,Census!$G40+N$5-18)+IF(N$5=$B40,INDEX(Decrements!$F$6:$F$58,Census!$G40+N$5-18),0)+INDEX(Decrements!$E$6:$E$58,Census!$G40+N$5-18)*IF((Census!$F40+N$5)&gt;=Assumptions!$B$11,1,0))*MIN(15/26*Census!$D40*(1+Assumptions!$B$9)^N$5*(INT((Census!$F40+N$5))+IF((Census!$F40+N$5)-INT((Census!$F40+N$5))&gt;0.5,1,0)),Assumptions!$B$10))</f>
        <v>12201.258696017163</v>
      </c>
      <c r="O40" s="30">
        <f>IF(O$5&gt;$B40,0,INDEX(Decrements!$G$6:$G$58,Census!$G40+O$5-18)/INDEX(Decrements!$G$6:$G$58,Census!$G40-17)*(INDEX(Decrements!$D$6:$D$58,Census!$G40+O$5-18)+IF(O$5=$B40,INDEX(Decrements!$F$6:$F$58,Census!$G40+O$5-18),0)+INDEX(Decrements!$E$6:$E$58,Census!$G40+O$5-18)*IF((Census!$F40+O$5)&gt;=Assumptions!$B$11,1,0))*MIN(15/26*Census!$D40*(1+Assumptions!$B$9)^O$5*(INT((Census!$F40+O$5))+IF((Census!$F40+O$5)-INT((Census!$F40+O$5))&gt;0.5,1,0)),Assumptions!$B$10))</f>
        <v>8184.6004028027974</v>
      </c>
      <c r="P40" s="30">
        <f>IF(P$5&gt;$B40,0,INDEX(Decrements!$G$6:$G$58,Census!$G40+P$5-18)/INDEX(Decrements!$G$6:$G$58,Census!$G40-17)*(INDEX(Decrements!$D$6:$D$58,Census!$G40+P$5-18)+IF(P$5=$B40,INDEX(Decrements!$F$6:$F$58,Census!$G40+P$5-18),0)+INDEX(Decrements!$E$6:$E$58,Census!$G40+P$5-18)*IF((Census!$F40+P$5)&gt;=Assumptions!$B$11,1,0))*MIN(15/26*Census!$D40*(1+Assumptions!$B$9)^P$5*(INT((Census!$F40+P$5))+IF((Census!$F40+P$5)-INT((Census!$F40+P$5))&gt;0.5,1,0)),Assumptions!$B$10))</f>
        <v>9103.1487003621278</v>
      </c>
      <c r="Q40" s="30">
        <f>IF(Q$5&gt;$B40,0,INDEX(Decrements!$G$6:$G$58,Census!$G40+Q$5-18)/INDEX(Decrements!$G$6:$G$58,Census!$G40-17)*(INDEX(Decrements!$D$6:$D$58,Census!$G40+Q$5-18)+IF(Q$5=$B40,INDEX(Decrements!$F$6:$F$58,Census!$G40+Q$5-18),0)+INDEX(Decrements!$E$6:$E$58,Census!$G40+Q$5-18)*IF((Census!$F40+Q$5)&gt;=Assumptions!$B$11,1,0))*MIN(15/26*Census!$D40*(1+Assumptions!$B$9)^Q$5*(INT((Census!$F40+Q$5))+IF((Census!$F40+Q$5)-INT((Census!$F40+Q$5))&gt;0.5,1,0)),Assumptions!$B$10))</f>
        <v>10096.413017036743</v>
      </c>
      <c r="R40" s="30">
        <f>IF(R$5&gt;$B40,0,INDEX(Decrements!$G$6:$G$58,Census!$G40+R$5-18)/INDEX(Decrements!$G$6:$G$58,Census!$G40-17)*(INDEX(Decrements!$D$6:$D$58,Census!$G40+R$5-18)+IF(R$5=$B40,INDEX(Decrements!$F$6:$F$58,Census!$G40+R$5-18),0)+INDEX(Decrements!$E$6:$E$58,Census!$G40+R$5-18)*IF((Census!$F40+R$5)&gt;=Assumptions!$B$11,1,0))*MIN(15/26*Census!$D40*(1+Assumptions!$B$9)^R$5*(INT((Census!$F40+R$5))+IF((Census!$F40+R$5)-INT((Census!$F40+R$5))&gt;0.5,1,0)),Assumptions!$B$10))</f>
        <v>11170.48095705704</v>
      </c>
      <c r="S40" s="30">
        <f>IF(S$5&gt;$B40,0,INDEX(Decrements!$G$6:$G$58,Census!$G40+S$5-18)/INDEX(Decrements!$G$6:$G$58,Census!$G40-17)*(INDEX(Decrements!$D$6:$D$58,Census!$G40+S$5-18)+IF(S$5=$B40,INDEX(Decrements!$F$6:$F$58,Census!$G40+S$5-18),0)+INDEX(Decrements!$E$6:$E$58,Census!$G40+S$5-18)*IF((Census!$F40+S$5)&gt;=Assumptions!$B$11,1,0))*MIN(15/26*Census!$D40*(1+Assumptions!$B$9)^S$5*(INT((Census!$F40+S$5))+IF((Census!$F40+S$5)-INT((Census!$F40+S$5))&gt;0.5,1,0)),Assumptions!$B$10))</f>
        <v>12332.02311508427</v>
      </c>
      <c r="T40" s="30">
        <f>IF(T$5&gt;$B40,0,INDEX(Decrements!$G$6:$G$58,Census!$G40+T$5-18)/INDEX(Decrements!$G$6:$G$58,Census!$G40-17)*(INDEX(Decrements!$D$6:$D$58,Census!$G40+T$5-18)+IF(T$5=$B40,INDEX(Decrements!$F$6:$F$58,Census!$G40+T$5-18),0)+INDEX(Decrements!$E$6:$E$58,Census!$G40+T$5-18)*IF((Census!$F40+T$5)&gt;=Assumptions!$B$11,1,0))*MIN(15/26*Census!$D40*(1+Assumptions!$B$9)^T$5*(INT((Census!$F40+T$5))+IF((Census!$F40+T$5)-INT((Census!$F40+T$5))&gt;0.5,1,0)),Assumptions!$B$10))</f>
        <v>9454.068698224788</v>
      </c>
      <c r="U40" s="30">
        <f>IF(U$5&gt;$B40,0,INDEX(Decrements!$G$6:$G$58,Census!$G40+U$5-18)/INDEX(Decrements!$G$6:$G$58,Census!$G40-17)*(INDEX(Decrements!$D$6:$D$58,Census!$G40+U$5-18)+IF(U$5=$B40,INDEX(Decrements!$F$6:$F$58,Census!$G40+U$5-18),0)+INDEX(Decrements!$E$6:$E$58,Census!$G40+U$5-18)*IF((Census!$F40+U$5)&gt;=Assumptions!$B$11,1,0))*MIN(15/26*Census!$D40*(1+Assumptions!$B$9)^U$5*(INT((Census!$F40+U$5))+IF((Census!$F40+U$5)-INT((Census!$F40+U$5))&gt;0.5,1,0)),Assumptions!$B$10))</f>
        <v>10541.208101109078</v>
      </c>
      <c r="V40" s="30">
        <f>IF(V$5&gt;$B40,0,INDEX(Decrements!$G$6:$G$58,Census!$G40+V$5-18)/INDEX(Decrements!$G$6:$G$58,Census!$G40-17)*(INDEX(Decrements!$D$6:$D$58,Census!$G40+V$5-18)+IF(V$5=$B40,INDEX(Decrements!$F$6:$F$58,Census!$G40+V$5-18),0)+INDEX(Decrements!$E$6:$E$58,Census!$G40+V$5-18)*IF((Census!$F40+V$5)&gt;=Assumptions!$B$11,1,0))*MIN(15/26*Census!$D40*(1+Assumptions!$B$9)^V$5*(INT((Census!$F40+V$5))+IF((Census!$F40+V$5)-INT((Census!$F40+V$5))&gt;0.5,1,0)),Assumptions!$B$10))</f>
        <v>11739.060446330142</v>
      </c>
      <c r="W40" s="30">
        <f>IF(W$5&gt;$B40,0,INDEX(Decrements!$G$6:$G$58,Census!$G40+W$5-18)/INDEX(Decrements!$G$6:$G$58,Census!$G40-17)*(INDEX(Decrements!$D$6:$D$58,Census!$G40+W$5-18)+IF(W$5=$B40,INDEX(Decrements!$F$6:$F$58,Census!$G40+W$5-18),0)+INDEX(Decrements!$E$6:$E$58,Census!$G40+W$5-18)*IF((Census!$F40+W$5)&gt;=Assumptions!$B$11,1,0))*MIN(15/26*Census!$D40*(1+Assumptions!$B$9)^W$5*(INT((Census!$F40+W$5))+IF((Census!$F40+W$5)-INT((Census!$F40+W$5))&gt;0.5,1,0)),Assumptions!$B$10))</f>
        <v>13059.718741367051</v>
      </c>
      <c r="X40" s="30">
        <f>IF(X$5&gt;$B40,0,INDEX(Decrements!$G$6:$G$58,Census!$G40+X$5-18)/INDEX(Decrements!$G$6:$G$58,Census!$G40-17)*(INDEX(Decrements!$D$6:$D$58,Census!$G40+X$5-18)+IF(X$5=$B40,INDEX(Decrements!$F$6:$F$58,Census!$G40+X$5-18),0)+INDEX(Decrements!$E$6:$E$58,Census!$G40+X$5-18)*IF((Census!$F40+X$5)&gt;=Assumptions!$B$11,1,0))*MIN(15/26*Census!$D40*(1+Assumptions!$B$9)^X$5*(INT((Census!$F40+X$5))+IF((Census!$F40+X$5)-INT((Census!$F40+X$5))&gt;0.5,1,0)),Assumptions!$B$10))</f>
        <v>14516.782331759943</v>
      </c>
      <c r="Y40" s="30">
        <f>IF(Y$5&gt;$B40,0,INDEX(Decrements!$G$6:$G$58,Census!$G40+Y$5-18)/INDEX(Decrements!$G$6:$G$58,Census!$G40-17)*(INDEX(Decrements!$D$6:$D$58,Census!$G40+Y$5-18)+IF(Y$5=$B40,INDEX(Decrements!$F$6:$F$58,Census!$G40+Y$5-18),0)+INDEX(Decrements!$E$6:$E$58,Census!$G40+Y$5-18)*IF((Census!$F40+Y$5)&gt;=Assumptions!$B$11,1,0))*MIN(15/26*Census!$D40*(1+Assumptions!$B$9)^Y$5*(INT((Census!$F40+Y$5))+IF((Census!$F40+Y$5)-INT((Census!$F40+Y$5))&gt;0.5,1,0)),Assumptions!$B$10))</f>
        <v>8593.8298545053258</v>
      </c>
      <c r="Z40" s="30">
        <f>IF(Z$5&gt;$B40,0,INDEX(Decrements!$G$6:$G$58,Census!$G40+Z$5-18)/INDEX(Decrements!$G$6:$G$58,Census!$G40-17)*(INDEX(Decrements!$D$6:$D$58,Census!$G40+Z$5-18)+IF(Z$5=$B40,INDEX(Decrements!$F$6:$F$58,Census!$G40+Z$5-18),0)+INDEX(Decrements!$E$6:$E$58,Census!$G40+Z$5-18)*IF((Census!$F40+Z$5)&gt;=Assumptions!$B$11,1,0))*MIN(15/26*Census!$D40*(1+Assumptions!$B$9)^Z$5*(INT((Census!$F40+Z$5))+IF((Census!$F40+Z$5)-INT((Census!$F40+Z$5))&gt;0.5,1,0)),Assumptions!$B$10))</f>
        <v>8702.1832487367501</v>
      </c>
      <c r="AA40" s="30">
        <f>IF(AA$5&gt;$B40,0,INDEX(Decrements!$G$6:$G$58,Census!$G40+AA$5-18)/INDEX(Decrements!$G$6:$G$58,Census!$G40-17)*(INDEX(Decrements!$D$6:$D$58,Census!$G40+AA$5-18)+IF(AA$5=$B40,INDEX(Decrements!$F$6:$F$58,Census!$G40+AA$5-18),0)+INDEX(Decrements!$E$6:$E$58,Census!$G40+AA$5-18)*IF((Census!$F40+AA$5)&gt;=Assumptions!$B$11,1,0))*MIN(15/26*Census!$D40*(1+Assumptions!$B$9)^AA$5*(INT((Census!$F40+AA$5))+IF((Census!$F40+AA$5)-INT((Census!$F40+AA$5))&gt;0.5,1,0)),Assumptions!$B$10))</f>
        <v>8824.8731192577143</v>
      </c>
      <c r="AB40" s="30">
        <f>IF(AB$5&gt;$B40,0,INDEX(Decrements!$G$6:$G$58,Census!$G40+AB$5-18)/INDEX(Decrements!$G$6:$G$58,Census!$G40-17)*(INDEX(Decrements!$D$6:$D$58,Census!$G40+AB$5-18)+IF(AB$5=$B40,INDEX(Decrements!$F$6:$F$58,Census!$G40+AB$5-18),0)+INDEX(Decrements!$E$6:$E$58,Census!$G40+AB$5-18)*IF((Census!$F40+AB$5)&gt;=Assumptions!$B$11,1,0))*MIN(15/26*Census!$D40*(1+Assumptions!$B$9)^AB$5*(INT((Census!$F40+AB$5))+IF((Census!$F40+AB$5)-INT((Census!$F40+AB$5))&gt;0.5,1,0)),Assumptions!$B$10))</f>
        <v>8962.7333297399946</v>
      </c>
      <c r="AC40" s="30">
        <f>IF(AC$5&gt;$B40,0,INDEX(Decrements!$G$6:$G$58,Census!$G40+AC$5-18)/INDEX(Decrements!$G$6:$G$58,Census!$G40-17)*(INDEX(Decrements!$D$6:$D$58,Census!$G40+AC$5-18)+IF(AC$5=$B40,INDEX(Decrements!$F$6:$F$58,Census!$G40+AC$5-18),0)+INDEX(Decrements!$E$6:$E$58,Census!$G40+AC$5-18)*IF((Census!$F40+AC$5)&gt;=Assumptions!$B$11,1,0))*MIN(15/26*Census!$D40*(1+Assumptions!$B$9)^AC$5*(INT((Census!$F40+AC$5))+IF((Census!$F40+AC$5)-INT((Census!$F40+AC$5))&gt;0.5,1,0)),Assumptions!$B$10))</f>
        <v>565289.86612470855</v>
      </c>
      <c r="AD40" s="30">
        <f>IF(AD$5&gt;$B40,0,INDEX(Decrements!$G$6:$G$58,Census!$G40+AD$5-18)/INDEX(Decrements!$G$6:$G$58,Census!$G40-17)*(INDEX(Decrements!$D$6:$D$58,Census!$G40+AD$5-18)+IF(AD$5=$B40,INDEX(Decrements!$F$6:$F$58,Census!$G40+AD$5-18),0)+INDEX(Decrements!$E$6:$E$58,Census!$G40+AD$5-18)*IF((Census!$F40+AD$5)&gt;=Assumptions!$B$11,1,0))*MIN(15/26*Census!$D40*(1+Assumptions!$B$9)^AD$5*(INT((Census!$F40+AD$5))+IF((Census!$F40+AD$5)-INT((Census!$F40+AD$5))&gt;0.5,1,0)),Assumptions!$B$10))</f>
        <v>0</v>
      </c>
      <c r="AE40" s="30">
        <f>IF(AE$5&gt;$B40,0,INDEX(Decrements!$G$6:$G$58,Census!$G40+AE$5-18)/INDEX(Decrements!$G$6:$G$58,Census!$G40-17)*(INDEX(Decrements!$D$6:$D$58,Census!$G40+AE$5-18)+IF(AE$5=$B40,INDEX(Decrements!$F$6:$F$58,Census!$G40+AE$5-18),0)+INDEX(Decrements!$E$6:$E$58,Census!$G40+AE$5-18)*IF((Census!$F40+AE$5)&gt;=Assumptions!$B$11,1,0))*MIN(15/26*Census!$D40*(1+Assumptions!$B$9)^AE$5*(INT((Census!$F40+AE$5))+IF((Census!$F40+AE$5)-INT((Census!$F40+AE$5))&gt;0.5,1,0)),Assumptions!$B$10))</f>
        <v>0</v>
      </c>
      <c r="AF40" s="30">
        <f>IF(AF$5&gt;$B40,0,INDEX(Decrements!$G$6:$G$58,Census!$G40+AF$5-18)/INDEX(Decrements!$G$6:$G$58,Census!$G40-17)*(INDEX(Decrements!$D$6:$D$58,Census!$G40+AF$5-18)+IF(AF$5=$B40,INDEX(Decrements!$F$6:$F$58,Census!$G40+AF$5-18),0)+INDEX(Decrements!$E$6:$E$58,Census!$G40+AF$5-18)*IF((Census!$F40+AF$5)&gt;=Assumptions!$B$11,1,0))*MIN(15/26*Census!$D40*(1+Assumptions!$B$9)^AF$5*(INT((Census!$F40+AF$5))+IF((Census!$F40+AF$5)-INT((Census!$F40+AF$5))&gt;0.5,1,0)),Assumptions!$B$10))</f>
        <v>0</v>
      </c>
      <c r="AG40" s="30">
        <f>IF(AG$5&gt;$B40,0,INDEX(Decrements!$G$6:$G$58,Census!$G40+AG$5-18)/INDEX(Decrements!$G$6:$G$58,Census!$G40-17)*(INDEX(Decrements!$D$6:$D$58,Census!$G40+AG$5-18)+IF(AG$5=$B40,INDEX(Decrements!$F$6:$F$58,Census!$G40+AG$5-18),0)+INDEX(Decrements!$E$6:$E$58,Census!$G40+AG$5-18)*IF((Census!$F40+AG$5)&gt;=Assumptions!$B$11,1,0))*MIN(15/26*Census!$D40*(1+Assumptions!$B$9)^AG$5*(INT((Census!$F40+AG$5))+IF((Census!$F40+AG$5)-INT((Census!$F40+AG$5))&gt;0.5,1,0)),Assumptions!$B$10))</f>
        <v>0</v>
      </c>
      <c r="AH40" s="30">
        <f>IF(AH$5&gt;$B40,0,INDEX(Decrements!$G$6:$G$58,Census!$G40+AH$5-18)/INDEX(Decrements!$G$6:$G$58,Census!$G40-17)*(INDEX(Decrements!$D$6:$D$58,Census!$G40+AH$5-18)+IF(AH$5=$B40,INDEX(Decrements!$F$6:$F$58,Census!$G40+AH$5-18),0)+INDEX(Decrements!$E$6:$E$58,Census!$G40+AH$5-18)*IF((Census!$F40+AH$5)&gt;=Assumptions!$B$11,1,0))*MIN(15/26*Census!$D40*(1+Assumptions!$B$9)^AH$5*(INT((Census!$F40+AH$5))+IF((Census!$F40+AH$5)-INT((Census!$F40+AH$5))&gt;0.5,1,0)),Assumptions!$B$10))</f>
        <v>0</v>
      </c>
      <c r="AI40" s="30">
        <f>IF(AI$5&gt;$B40,0,INDEX(Decrements!$G$6:$G$58,Census!$G40+AI$5-18)/INDEX(Decrements!$G$6:$G$58,Census!$G40-17)*(INDEX(Decrements!$D$6:$D$58,Census!$G40+AI$5-18)+IF(AI$5=$B40,INDEX(Decrements!$F$6:$F$58,Census!$G40+AI$5-18),0)+INDEX(Decrements!$E$6:$E$58,Census!$G40+AI$5-18)*IF((Census!$F40+AI$5)&gt;=Assumptions!$B$11,1,0))*MIN(15/26*Census!$D40*(1+Assumptions!$B$9)^AI$5*(INT((Census!$F40+AI$5))+IF((Census!$F40+AI$5)-INT((Census!$F40+AI$5))&gt;0.5,1,0)),Assumptions!$B$10))</f>
        <v>0</v>
      </c>
      <c r="AJ40" s="30">
        <f>IF(AJ$5&gt;$B40,0,INDEX(Decrements!$G$6:$G$58,Census!$G40+AJ$5-18)/INDEX(Decrements!$G$6:$G$58,Census!$G40-17)*(INDEX(Decrements!$D$6:$D$58,Census!$G40+AJ$5-18)+IF(AJ$5=$B40,INDEX(Decrements!$F$6:$F$58,Census!$G40+AJ$5-18),0)+INDEX(Decrements!$E$6:$E$58,Census!$G40+AJ$5-18)*IF((Census!$F40+AJ$5)&gt;=Assumptions!$B$11,1,0))*MIN(15/26*Census!$D40*(1+Assumptions!$B$9)^AJ$5*(INT((Census!$F40+AJ$5))+IF((Census!$F40+AJ$5)-INT((Census!$F40+AJ$5))&gt;0.5,1,0)),Assumptions!$B$10))</f>
        <v>0</v>
      </c>
      <c r="AK40" s="30">
        <f>IF(AK$5&gt;$B40,0,INDEX(Decrements!$G$6:$G$58,Census!$G40+AK$5-18)/INDEX(Decrements!$G$6:$G$58,Census!$G40-17)*(INDEX(Decrements!$D$6:$D$58,Census!$G40+AK$5-18)+IF(AK$5=$B40,INDEX(Decrements!$F$6:$F$58,Census!$G40+AK$5-18),0)+INDEX(Decrements!$E$6:$E$58,Census!$G40+AK$5-18)*IF((Census!$F40+AK$5)&gt;=Assumptions!$B$11,1,0))*MIN(15/26*Census!$D40*(1+Assumptions!$B$9)^AK$5*(INT((Census!$F40+AK$5))+IF((Census!$F40+AK$5)-INT((Census!$F40+AK$5))&gt;0.5,1,0)),Assumptions!$B$10))</f>
        <v>0</v>
      </c>
      <c r="AL40" s="30">
        <f>IF(AL$5&gt;$B40,0,INDEX(Decrements!$G$6:$G$58,Census!$G40+AL$5-18)/INDEX(Decrements!$G$6:$G$58,Census!$G40-17)*(INDEX(Decrements!$D$6:$D$58,Census!$G40+AL$5-18)+IF(AL$5=$B40,INDEX(Decrements!$F$6:$F$58,Census!$G40+AL$5-18),0)+INDEX(Decrements!$E$6:$E$58,Census!$G40+AL$5-18)*IF((Census!$F40+AL$5)&gt;=Assumptions!$B$11,1,0))*MIN(15/26*Census!$D40*(1+Assumptions!$B$9)^AL$5*(INT((Census!$F40+AL$5))+IF((Census!$F40+AL$5)-INT((Census!$F40+AL$5))&gt;0.5,1,0)),Assumptions!$B$10))</f>
        <v>0</v>
      </c>
      <c r="AM40" s="30">
        <f>IF(AM$5&gt;$B40,0,INDEX(Decrements!$G$6:$G$58,Census!$G40+AM$5-18)/INDEX(Decrements!$G$6:$G$58,Census!$G40-17)*(INDEX(Decrements!$D$6:$D$58,Census!$G40+AM$5-18)+IF(AM$5=$B40,INDEX(Decrements!$F$6:$F$58,Census!$G40+AM$5-18),0)+INDEX(Decrements!$E$6:$E$58,Census!$G40+AM$5-18)*IF((Census!$F40+AM$5)&gt;=Assumptions!$B$11,1,0))*MIN(15/26*Census!$D40*(1+Assumptions!$B$9)^AM$5*(INT((Census!$F40+AM$5))+IF((Census!$F40+AM$5)-INT((Census!$F40+AM$5))&gt;0.5,1,0)),Assumptions!$B$10))</f>
        <v>0</v>
      </c>
      <c r="AN40" s="30">
        <f>IF(AN$5&gt;$B40,0,INDEX(Decrements!$G$6:$G$58,Census!$G40+AN$5-18)/INDEX(Decrements!$G$6:$G$58,Census!$G40-17)*(INDEX(Decrements!$D$6:$D$58,Census!$G40+AN$5-18)+IF(AN$5=$B40,INDEX(Decrements!$F$6:$F$58,Census!$G40+AN$5-18),0)+INDEX(Decrements!$E$6:$E$58,Census!$G40+AN$5-18)*IF((Census!$F40+AN$5)&gt;=Assumptions!$B$11,1,0))*MIN(15/26*Census!$D40*(1+Assumptions!$B$9)^AN$5*(INT((Census!$F40+AN$5))+IF((Census!$F40+AN$5)-INT((Census!$F40+AN$5))&gt;0.5,1,0)),Assumptions!$B$10))</f>
        <v>0</v>
      </c>
      <c r="AO40" s="30">
        <f>IF(AO$5&gt;$B40,0,INDEX(Decrements!$G$6:$G$58,Census!$G40+AO$5-18)/INDEX(Decrements!$G$6:$G$58,Census!$G40-17)*(INDEX(Decrements!$D$6:$D$58,Census!$G40+AO$5-18)+IF(AO$5=$B40,INDEX(Decrements!$F$6:$F$58,Census!$G40+AO$5-18),0)+INDEX(Decrements!$E$6:$E$58,Census!$G40+AO$5-18)*IF((Census!$F40+AO$5)&gt;=Assumptions!$B$11,1,0))*MIN(15/26*Census!$D40*(1+Assumptions!$B$9)^AO$5*(INT((Census!$F40+AO$5))+IF((Census!$F40+AO$5)-INT((Census!$F40+AO$5))&gt;0.5,1,0)),Assumptions!$B$10))</f>
        <v>0</v>
      </c>
      <c r="AP40" s="30">
        <f>IF(AP$5&gt;$B40,0,INDEX(Decrements!$G$6:$G$58,Census!$G40+AP$5-18)/INDEX(Decrements!$G$6:$G$58,Census!$G40-17)*(INDEX(Decrements!$D$6:$D$58,Census!$G40+AP$5-18)+IF(AP$5=$B40,INDEX(Decrements!$F$6:$F$58,Census!$G40+AP$5-18),0)+INDEX(Decrements!$E$6:$E$58,Census!$G40+AP$5-18)*IF((Census!$F40+AP$5)&gt;=Assumptions!$B$11,1,0))*MIN(15/26*Census!$D40*(1+Assumptions!$B$9)^AP$5*(INT((Census!$F40+AP$5))+IF((Census!$F40+AP$5)-INT((Census!$F40+AP$5))&gt;0.5,1,0)),Assumptions!$B$10))</f>
        <v>0</v>
      </c>
      <c r="AQ40" s="30">
        <f>IF(AQ$5&gt;$B40,0,INDEX(Decrements!$G$6:$G$58,Census!$G40+AQ$5-18)/INDEX(Decrements!$G$6:$G$58,Census!$G40-17)*(INDEX(Decrements!$D$6:$D$58,Census!$G40+AQ$5-18)+IF(AQ$5=$B40,INDEX(Decrements!$F$6:$F$58,Census!$G40+AQ$5-18),0)+INDEX(Decrements!$E$6:$E$58,Census!$G40+AQ$5-18)*IF((Census!$F40+AQ$5)&gt;=Assumptions!$B$11,1,0))*MIN(15/26*Census!$D40*(1+Assumptions!$B$9)^AQ$5*(INT((Census!$F40+AQ$5))+IF((Census!$F40+AQ$5)-INT((Census!$F40+AQ$5))&gt;0.5,1,0)),Assumptions!$B$10))</f>
        <v>0</v>
      </c>
      <c r="AR40" s="30">
        <f>IF(AR$5&gt;$B40,0,INDEX(Decrements!$G$6:$G$58,Census!$G40+AR$5-18)/INDEX(Decrements!$G$6:$G$58,Census!$G40-17)*(INDEX(Decrements!$D$6:$D$58,Census!$G40+AR$5-18)+IF(AR$5=$B40,INDEX(Decrements!$F$6:$F$58,Census!$G40+AR$5-18),0)+INDEX(Decrements!$E$6:$E$58,Census!$G40+AR$5-18)*IF((Census!$F40+AR$5)&gt;=Assumptions!$B$11,1,0))*MIN(15/26*Census!$D40*(1+Assumptions!$B$9)^AR$5*(INT((Census!$F40+AR$5))+IF((Census!$F40+AR$5)-INT((Census!$F40+AR$5))&gt;0.5,1,0)),Assumptions!$B$10))</f>
        <v>0</v>
      </c>
      <c r="AS40" s="30">
        <f>IF(AS$5&gt;$B40,0,INDEX(Decrements!$G$6:$G$58,Census!$G40+AS$5-18)/INDEX(Decrements!$G$6:$G$58,Census!$G40-17)*(INDEX(Decrements!$D$6:$D$58,Census!$G40+AS$5-18)+IF(AS$5=$B40,INDEX(Decrements!$F$6:$F$58,Census!$G40+AS$5-18),0)+INDEX(Decrements!$E$6:$E$58,Census!$G40+AS$5-18)*IF((Census!$F40+AS$5)&gt;=Assumptions!$B$11,1,0))*MIN(15/26*Census!$D40*(1+Assumptions!$B$9)^AS$5*(INT((Census!$F40+AS$5))+IF((Census!$F40+AS$5)-INT((Census!$F40+AS$5))&gt;0.5,1,0)),Assumptions!$B$10))</f>
        <v>0</v>
      </c>
      <c r="AT40" s="30">
        <f>IF(AT$5&gt;$B40,0,INDEX(Decrements!$G$6:$G$58,Census!$G40+AT$5-18)/INDEX(Decrements!$G$6:$G$58,Census!$G40-17)*(INDEX(Decrements!$D$6:$D$58,Census!$G40+AT$5-18)+IF(AT$5=$B40,INDEX(Decrements!$F$6:$F$58,Census!$G40+AT$5-18),0)+INDEX(Decrements!$E$6:$E$58,Census!$G40+AT$5-18)*IF((Census!$F40+AT$5)&gt;=Assumptions!$B$11,1,0))*MIN(15/26*Census!$D40*(1+Assumptions!$B$9)^AT$5*(INT((Census!$F40+AT$5))+IF((Census!$F40+AT$5)-INT((Census!$F40+AT$5))&gt;0.5,1,0)),Assumptions!$B$10))</f>
        <v>0</v>
      </c>
      <c r="AU40" s="30">
        <f>IF(AU$5&gt;$B40,0,INDEX(Decrements!$G$6:$G$58,Census!$G40+AU$5-18)/INDEX(Decrements!$G$6:$G$58,Census!$G40-17)*(INDEX(Decrements!$D$6:$D$58,Census!$G40+AU$5-18)+IF(AU$5=$B40,INDEX(Decrements!$F$6:$F$58,Census!$G40+AU$5-18),0)+INDEX(Decrements!$E$6:$E$58,Census!$G40+AU$5-18)*IF((Census!$F40+AU$5)&gt;=Assumptions!$B$11,1,0))*MIN(15/26*Census!$D40*(1+Assumptions!$B$9)^AU$5*(INT((Census!$F40+AU$5))+IF((Census!$F40+AU$5)-INT((Census!$F40+AU$5))&gt;0.5,1,0)),Assumptions!$B$10))</f>
        <v>0</v>
      </c>
    </row>
    <row r="41" spans="1:47" x14ac:dyDescent="0.3">
      <c r="A41" s="10" t="str">
        <f>Census!A41</f>
        <v>E036</v>
      </c>
      <c r="B41" s="29">
        <f>Census!H41</f>
        <v>32</v>
      </c>
      <c r="C41" s="30">
        <f>IF(C$5&gt;$B41,0,INDEX(Decrements!$G$6:$G$58,Census!$G41+C$5-18)/INDEX(Decrements!$G$6:$G$58,Census!$G41-17)*(INDEX(Decrements!$D$6:$D$58,Census!$G41+C$5-18)+IF(C$5=$B41,INDEX(Decrements!$F$6:$F$58,Census!$G41+C$5-18),0)+INDEX(Decrements!$E$6:$E$58,Census!$G41+C$5-18)*IF((Census!$F41+C$5)&gt;=Assumptions!$B$11,1,0))*MIN(15/26*Census!$D41*(1+Assumptions!$B$9)^C$5*(INT((Census!$F41+C$5))+IF((Census!$F41+C$5)-INT((Census!$F41+C$5))&gt;0.5,1,0)),Assumptions!$B$10))</f>
        <v>36426.173161573483</v>
      </c>
      <c r="D41" s="30">
        <f>IF(D$5&gt;$B41,0,INDEX(Decrements!$G$6:$G$58,Census!$G41+D$5-18)/INDEX(Decrements!$G$6:$G$58,Census!$G41-17)*(INDEX(Decrements!$D$6:$D$58,Census!$G41+D$5-18)+IF(D$5=$B41,INDEX(Decrements!$F$6:$F$58,Census!$G41+D$5-18),0)+INDEX(Decrements!$E$6:$E$58,Census!$G41+D$5-18)*IF((Census!$F41+D$5)&gt;=Assumptions!$B$11,1,0))*MIN(15/26*Census!$D41*(1+Assumptions!$B$9)^D$5*(INT((Census!$F41+D$5))+IF((Census!$F41+D$5)-INT((Census!$F41+D$5))&gt;0.5,1,0)),Assumptions!$B$10))</f>
        <v>38991.684362656742</v>
      </c>
      <c r="E41" s="30">
        <f>IF(E$5&gt;$B41,0,INDEX(Decrements!$G$6:$G$58,Census!$G41+E$5-18)/INDEX(Decrements!$G$6:$G$58,Census!$G41-17)*(INDEX(Decrements!$D$6:$D$58,Census!$G41+E$5-18)+IF(E$5=$B41,INDEX(Decrements!$F$6:$F$58,Census!$G41+E$5-18),0)+INDEX(Decrements!$E$6:$E$58,Census!$G41+E$5-18)*IF((Census!$F41+E$5)&gt;=Assumptions!$B$11,1,0))*MIN(15/26*Census!$D41*(1+Assumptions!$B$9)^E$5*(INT((Census!$F41+E$5))+IF((Census!$F41+E$5)-INT((Census!$F41+E$5))&gt;0.5,1,0)),Assumptions!$B$10))</f>
        <v>30038.164171555178</v>
      </c>
      <c r="F41" s="30">
        <f>IF(F$5&gt;$B41,0,INDEX(Decrements!$G$6:$G$58,Census!$G41+F$5-18)/INDEX(Decrements!$G$6:$G$58,Census!$G41-17)*(INDEX(Decrements!$D$6:$D$58,Census!$G41+F$5-18)+IF(F$5=$B41,INDEX(Decrements!$F$6:$F$58,Census!$G41+F$5-18),0)+INDEX(Decrements!$E$6:$E$58,Census!$G41+F$5-18)*IF((Census!$F41+F$5)&gt;=Assumptions!$B$11,1,0))*MIN(15/26*Census!$D41*(1+Assumptions!$B$9)^F$5*(INT((Census!$F41+F$5))+IF((Census!$F41+F$5)-INT((Census!$F41+F$5))&gt;0.5,1,0)),Assumptions!$B$10))</f>
        <v>32466.440986332767</v>
      </c>
      <c r="G41" s="30">
        <f>IF(G$5&gt;$B41,0,INDEX(Decrements!$G$6:$G$58,Census!$G41+G$5-18)/INDEX(Decrements!$G$6:$G$58,Census!$G41-17)*(INDEX(Decrements!$D$6:$D$58,Census!$G41+G$5-18)+IF(G$5=$B41,INDEX(Decrements!$F$6:$F$58,Census!$G41+G$5-18),0)+INDEX(Decrements!$E$6:$E$58,Census!$G41+G$5-18)*IF((Census!$F41+G$5)&gt;=Assumptions!$B$11,1,0))*MIN(15/26*Census!$D41*(1+Assumptions!$B$9)^G$5*(INT((Census!$F41+G$5))+IF((Census!$F41+G$5)-INT((Census!$F41+G$5))&gt;0.5,1,0)),Assumptions!$B$10))</f>
        <v>34657.543129008765</v>
      </c>
      <c r="H41" s="30">
        <f>IF(H$5&gt;$B41,0,INDEX(Decrements!$G$6:$G$58,Census!$G41+H$5-18)/INDEX(Decrements!$G$6:$G$58,Census!$G41-17)*(INDEX(Decrements!$D$6:$D$58,Census!$G41+H$5-18)+IF(H$5=$B41,INDEX(Decrements!$F$6:$F$58,Census!$G41+H$5-18),0)+INDEX(Decrements!$E$6:$E$58,Census!$G41+H$5-18)*IF((Census!$F41+H$5)&gt;=Assumptions!$B$11,1,0))*MIN(15/26*Census!$D41*(1+Assumptions!$B$9)^H$5*(INT((Census!$F41+H$5))+IF((Census!$F41+H$5)-INT((Census!$F41+H$5))&gt;0.5,1,0)),Assumptions!$B$10))</f>
        <v>36626.258179373675</v>
      </c>
      <c r="I41" s="30">
        <f>IF(I$5&gt;$B41,0,INDEX(Decrements!$G$6:$G$58,Census!$G41+I$5-18)/INDEX(Decrements!$G$6:$G$58,Census!$G41-17)*(INDEX(Decrements!$D$6:$D$58,Census!$G41+I$5-18)+IF(I$5=$B41,INDEX(Decrements!$F$6:$F$58,Census!$G41+I$5-18),0)+INDEX(Decrements!$E$6:$E$58,Census!$G41+I$5-18)*IF((Census!$F41+I$5)&gt;=Assumptions!$B$11,1,0))*MIN(15/26*Census!$D41*(1+Assumptions!$B$9)^I$5*(INT((Census!$F41+I$5))+IF((Census!$F41+I$5)-INT((Census!$F41+I$5))&gt;0.5,1,0)),Assumptions!$B$10))</f>
        <v>38386.57301700578</v>
      </c>
      <c r="J41" s="30">
        <f>IF(J$5&gt;$B41,0,INDEX(Decrements!$G$6:$G$58,Census!$G41+J$5-18)/INDEX(Decrements!$G$6:$G$58,Census!$G41-17)*(INDEX(Decrements!$D$6:$D$58,Census!$G41+J$5-18)+IF(J$5=$B41,INDEX(Decrements!$F$6:$F$58,Census!$G41+J$5-18),0)+INDEX(Decrements!$E$6:$E$58,Census!$G41+J$5-18)*IF((Census!$F41+J$5)&gt;=Assumptions!$B$11,1,0))*MIN(15/26*Census!$D41*(1+Assumptions!$B$9)^J$5*(INT((Census!$F41+J$5))+IF((Census!$F41+J$5)-INT((Census!$F41+J$5))&gt;0.5,1,0)),Assumptions!$B$10))</f>
        <v>29152.999078677145</v>
      </c>
      <c r="K41" s="30">
        <f>IF(K$5&gt;$B41,0,INDEX(Decrements!$G$6:$G$58,Census!$G41+K$5-18)/INDEX(Decrements!$G$6:$G$58,Census!$G41-17)*(INDEX(Decrements!$D$6:$D$58,Census!$G41+K$5-18)+IF(K$5=$B41,INDEX(Decrements!$F$6:$F$58,Census!$G41+K$5-18),0)+INDEX(Decrements!$E$6:$E$58,Census!$G41+K$5-18)*IF((Census!$F41+K$5)&gt;=Assumptions!$B$11,1,0))*MIN(15/26*Census!$D41*(1+Assumptions!$B$9)^K$5*(INT((Census!$F41+K$5))+IF((Census!$F41+K$5)-INT((Census!$F41+K$5))&gt;0.5,1,0)),Assumptions!$B$10))</f>
        <v>31184.622872235923</v>
      </c>
      <c r="L41" s="30">
        <f>IF(L$5&gt;$B41,0,INDEX(Decrements!$G$6:$G$58,Census!$G41+L$5-18)/INDEX(Decrements!$G$6:$G$58,Census!$G41-17)*(INDEX(Decrements!$D$6:$D$58,Census!$G41+L$5-18)+IF(L$5=$B41,INDEX(Decrements!$F$6:$F$58,Census!$G41+L$5-18),0)+INDEX(Decrements!$E$6:$E$58,Census!$G41+L$5-18)*IF((Census!$F41+L$5)&gt;=Assumptions!$B$11,1,0))*MIN(15/26*Census!$D41*(1+Assumptions!$B$9)^L$5*(INT((Census!$F41+L$5))+IF((Census!$F41+L$5)-INT((Census!$F41+L$5))&gt;0.5,1,0)),Assumptions!$B$10))</f>
        <v>33187.880688156154</v>
      </c>
      <c r="M41" s="30">
        <f>IF(M$5&gt;$B41,0,INDEX(Decrements!$G$6:$G$58,Census!$G41+M$5-18)/INDEX(Decrements!$G$6:$G$58,Census!$G41-17)*(INDEX(Decrements!$D$6:$D$58,Census!$G41+M$5-18)+IF(M$5=$B41,INDEX(Decrements!$F$6:$F$58,Census!$G41+M$5-18),0)+INDEX(Decrements!$E$6:$E$58,Census!$G41+M$5-18)*IF((Census!$F41+M$5)&gt;=Assumptions!$B$11,1,0))*MIN(15/26*Census!$D41*(1+Assumptions!$B$9)^M$5*(INT((Census!$F41+M$5))+IF((Census!$F41+M$5)-INT((Census!$F41+M$5))&gt;0.5,1,0)),Assumptions!$B$10))</f>
        <v>35163.13129062036</v>
      </c>
      <c r="N41" s="30">
        <f>IF(N$5&gt;$B41,0,INDEX(Decrements!$G$6:$G$58,Census!$G41+N$5-18)/INDEX(Decrements!$G$6:$G$58,Census!$G41-17)*(INDEX(Decrements!$D$6:$D$58,Census!$G41+N$5-18)+IF(N$5=$B41,INDEX(Decrements!$F$6:$F$58,Census!$G41+N$5-18),0)+INDEX(Decrements!$E$6:$E$58,Census!$G41+N$5-18)*IF((Census!$F41+N$5)&gt;=Assumptions!$B$11,1,0))*MIN(15/26*Census!$D41*(1+Assumptions!$B$9)^N$5*(INT((Census!$F41+N$5))+IF((Census!$F41+N$5)-INT((Census!$F41+N$5))&gt;0.5,1,0)),Assumptions!$B$10))</f>
        <v>37110.735855588413</v>
      </c>
      <c r="O41" s="30">
        <f>IF(O$5&gt;$B41,0,INDEX(Decrements!$G$6:$G$58,Census!$G41+O$5-18)/INDEX(Decrements!$G$6:$G$58,Census!$G41-17)*(INDEX(Decrements!$D$6:$D$58,Census!$G41+O$5-18)+IF(O$5=$B41,INDEX(Decrements!$F$6:$F$58,Census!$G41+O$5-18),0)+INDEX(Decrements!$E$6:$E$58,Census!$G41+O$5-18)*IF((Census!$F41+O$5)&gt;=Assumptions!$B$11,1,0))*MIN(15/26*Census!$D41*(1+Assumptions!$B$9)^O$5*(INT((Census!$F41+O$5))+IF((Census!$F41+O$5)-INT((Census!$F41+O$5))&gt;0.5,1,0)),Assumptions!$B$10))</f>
        <v>24637.418599614455</v>
      </c>
      <c r="P41" s="30">
        <f>IF(P$5&gt;$B41,0,INDEX(Decrements!$G$6:$G$58,Census!$G41+P$5-18)/INDEX(Decrements!$G$6:$G$58,Census!$G41-17)*(INDEX(Decrements!$D$6:$D$58,Census!$G41+P$5-18)+IF(P$5=$B41,INDEX(Decrements!$F$6:$F$58,Census!$G41+P$5-18),0)+INDEX(Decrements!$E$6:$E$58,Census!$G41+P$5-18)*IF((Census!$F41+P$5)&gt;=Assumptions!$B$11,1,0))*MIN(15/26*Census!$D41*(1+Assumptions!$B$9)^P$5*(INT((Census!$F41+P$5))+IF((Census!$F41+P$5)-INT((Census!$F41+P$5))&gt;0.5,1,0)),Assumptions!$B$10))</f>
        <v>25628.398231245374</v>
      </c>
      <c r="Q41" s="30">
        <f>IF(Q$5&gt;$B41,0,INDEX(Decrements!$G$6:$G$58,Census!$G41+Q$5-18)/INDEX(Decrements!$G$6:$G$58,Census!$G41-17)*(INDEX(Decrements!$D$6:$D$58,Census!$G41+Q$5-18)+IF(Q$5=$B41,INDEX(Decrements!$F$6:$F$58,Census!$G41+Q$5-18),0)+INDEX(Decrements!$E$6:$E$58,Census!$G41+Q$5-18)*IF((Census!$F41+Q$5)&gt;=Assumptions!$B$11,1,0))*MIN(15/26*Census!$D41*(1+Assumptions!$B$9)^Q$5*(INT((Census!$F41+Q$5))+IF((Census!$F41+Q$5)-INT((Census!$F41+Q$5))&gt;0.5,1,0)),Assumptions!$B$10))</f>
        <v>24358.728287603812</v>
      </c>
      <c r="R41" s="30">
        <f>IF(R$5&gt;$B41,0,INDEX(Decrements!$G$6:$G$58,Census!$G41+R$5-18)/INDEX(Decrements!$G$6:$G$58,Census!$G41-17)*(INDEX(Decrements!$D$6:$D$58,Census!$G41+R$5-18)+IF(R$5=$B41,INDEX(Decrements!$F$6:$F$58,Census!$G41+R$5-18),0)+INDEX(Decrements!$E$6:$E$58,Census!$G41+R$5-18)*IF((Census!$F41+R$5)&gt;=Assumptions!$B$11,1,0))*MIN(15/26*Census!$D41*(1+Assumptions!$B$9)^R$5*(INT((Census!$F41+R$5))+IF((Census!$F41+R$5)-INT((Census!$F41+R$5))&gt;0.5,1,0)),Assumptions!$B$10))</f>
        <v>23153.898465738741</v>
      </c>
      <c r="S41" s="30">
        <f>IF(S$5&gt;$B41,0,INDEX(Decrements!$G$6:$G$58,Census!$G41+S$5-18)/INDEX(Decrements!$G$6:$G$58,Census!$G41-17)*(INDEX(Decrements!$D$6:$D$58,Census!$G41+S$5-18)+IF(S$5=$B41,INDEX(Decrements!$F$6:$F$58,Census!$G41+S$5-18),0)+INDEX(Decrements!$E$6:$E$58,Census!$G41+S$5-18)*IF((Census!$F41+S$5)&gt;=Assumptions!$B$11,1,0))*MIN(15/26*Census!$D41*(1+Assumptions!$B$9)^S$5*(INT((Census!$F41+S$5))+IF((Census!$F41+S$5)-INT((Census!$F41+S$5))&gt;0.5,1,0)),Assumptions!$B$10))</f>
        <v>22010.668825998386</v>
      </c>
      <c r="T41" s="30">
        <f>IF(T$5&gt;$B41,0,INDEX(Decrements!$G$6:$G$58,Census!$G41+T$5-18)/INDEX(Decrements!$G$6:$G$58,Census!$G41-17)*(INDEX(Decrements!$D$6:$D$58,Census!$G41+T$5-18)+IF(T$5=$B41,INDEX(Decrements!$F$6:$F$58,Census!$G41+T$5-18),0)+INDEX(Decrements!$E$6:$E$58,Census!$G41+T$5-18)*IF((Census!$F41+T$5)&gt;=Assumptions!$B$11,1,0))*MIN(15/26*Census!$D41*(1+Assumptions!$B$9)^T$5*(INT((Census!$F41+T$5))+IF((Census!$F41+T$5)-INT((Census!$F41+T$5))&gt;0.5,1,0)),Assumptions!$B$10))</f>
        <v>12866.884146416822</v>
      </c>
      <c r="U41" s="30">
        <f>IF(U$5&gt;$B41,0,INDEX(Decrements!$G$6:$G$58,Census!$G41+U$5-18)/INDEX(Decrements!$G$6:$G$58,Census!$G41-17)*(INDEX(Decrements!$D$6:$D$58,Census!$G41+U$5-18)+IF(U$5=$B41,INDEX(Decrements!$F$6:$F$58,Census!$G41+U$5-18),0)+INDEX(Decrements!$E$6:$E$58,Census!$G41+U$5-18)*IF((Census!$F41+U$5)&gt;=Assumptions!$B$11,1,0))*MIN(15/26*Census!$D41*(1+Assumptions!$B$9)^U$5*(INT((Census!$F41+U$5))+IF((Census!$F41+U$5)-INT((Census!$F41+U$5))&gt;0.5,1,0)),Assumptions!$B$10))</f>
        <v>12514.69321249148</v>
      </c>
      <c r="V41" s="30">
        <f>IF(V$5&gt;$B41,0,INDEX(Decrements!$G$6:$G$58,Census!$G41+V$5-18)/INDEX(Decrements!$G$6:$G$58,Census!$G41-17)*(INDEX(Decrements!$D$6:$D$58,Census!$G41+V$5-18)+IF(V$5=$B41,INDEX(Decrements!$F$6:$F$58,Census!$G41+V$5-18),0)+INDEX(Decrements!$E$6:$E$58,Census!$G41+V$5-18)*IF((Census!$F41+V$5)&gt;=Assumptions!$B$11,1,0))*MIN(15/26*Census!$D41*(1+Assumptions!$B$9)^V$5*(INT((Census!$F41+V$5))+IF((Census!$F41+V$5)-INT((Census!$F41+V$5))&gt;0.5,1,0)),Assumptions!$B$10))</f>
        <v>12175.612769288369</v>
      </c>
      <c r="W41" s="30">
        <f>IF(W$5&gt;$B41,0,INDEX(Decrements!$G$6:$G$58,Census!$G41+W$5-18)/INDEX(Decrements!$G$6:$G$58,Census!$G41-17)*(INDEX(Decrements!$D$6:$D$58,Census!$G41+W$5-18)+IF(W$5=$B41,INDEX(Decrements!$F$6:$F$58,Census!$G41+W$5-18),0)+INDEX(Decrements!$E$6:$E$58,Census!$G41+W$5-18)*IF((Census!$F41+W$5)&gt;=Assumptions!$B$11,1,0))*MIN(15/26*Census!$D41*(1+Assumptions!$B$9)^W$5*(INT((Census!$F41+W$5))+IF((Census!$F41+W$5)-INT((Census!$F41+W$5))&gt;0.5,1,0)),Assumptions!$B$10))</f>
        <v>11849.374939251868</v>
      </c>
      <c r="X41" s="30">
        <f>IF(X$5&gt;$B41,0,INDEX(Decrements!$G$6:$G$58,Census!$G41+X$5-18)/INDEX(Decrements!$G$6:$G$58,Census!$G41-17)*(INDEX(Decrements!$D$6:$D$58,Census!$G41+X$5-18)+IF(X$5=$B41,INDEX(Decrements!$F$6:$F$58,Census!$G41+X$5-18),0)+INDEX(Decrements!$E$6:$E$58,Census!$G41+X$5-18)*IF((Census!$F41+X$5)&gt;=Assumptions!$B$11,1,0))*MIN(15/26*Census!$D41*(1+Assumptions!$B$9)^X$5*(INT((Census!$F41+X$5))+IF((Census!$F41+X$5)-INT((Census!$F41+X$5))&gt;0.5,1,0)),Assumptions!$B$10))</f>
        <v>11535.723680784582</v>
      </c>
      <c r="Y41" s="30">
        <f>IF(Y$5&gt;$B41,0,INDEX(Decrements!$G$6:$G$58,Census!$G41+Y$5-18)/INDEX(Decrements!$G$6:$G$58,Census!$G41-17)*(INDEX(Decrements!$D$6:$D$58,Census!$G41+Y$5-18)+IF(Y$5=$B41,INDEX(Decrements!$F$6:$F$58,Census!$G41+Y$5-18),0)+INDEX(Decrements!$E$6:$E$58,Census!$G41+Y$5-18)*IF((Census!$F41+Y$5)&gt;=Assumptions!$B$11,1,0))*MIN(15/26*Census!$D41*(1+Assumptions!$B$9)^Y$5*(INT((Census!$F41+Y$5))+IF((Census!$F41+Y$5)-INT((Census!$F41+Y$5))&gt;0.5,1,0)),Assumptions!$B$10))</f>
        <v>7816.3163235975608</v>
      </c>
      <c r="Z41" s="30">
        <f>IF(Z$5&gt;$B41,0,INDEX(Decrements!$G$6:$G$58,Census!$G41+Z$5-18)/INDEX(Decrements!$G$6:$G$58,Census!$G41-17)*(INDEX(Decrements!$D$6:$D$58,Census!$G41+Z$5-18)+IF(Z$5=$B41,INDEX(Decrements!$F$6:$F$58,Census!$G41+Z$5-18),0)+INDEX(Decrements!$E$6:$E$58,Census!$G41+Z$5-18)*IF((Census!$F41+Z$5)&gt;=Assumptions!$B$11,1,0))*MIN(15/26*Census!$D41*(1+Assumptions!$B$9)^Z$5*(INT((Census!$F41+Z$5))+IF((Census!$F41+Z$5)-INT((Census!$F41+Z$5))&gt;0.5,1,0)),Assumptions!$B$10))</f>
        <v>7718.7122237332105</v>
      </c>
      <c r="AA41" s="30">
        <f>IF(AA$5&gt;$B41,0,INDEX(Decrements!$G$6:$G$58,Census!$G41+AA$5-18)/INDEX(Decrements!$G$6:$G$58,Census!$G41-17)*(INDEX(Decrements!$D$6:$D$58,Census!$G41+AA$5-18)+IF(AA$5=$B41,INDEX(Decrements!$F$6:$F$58,Census!$G41+AA$5-18),0)+INDEX(Decrements!$E$6:$E$58,Census!$G41+AA$5-18)*IF((Census!$F41+AA$5)&gt;=Assumptions!$B$11,1,0))*MIN(15/26*Census!$D41*(1+Assumptions!$B$9)^AA$5*(INT((Census!$F41+AA$5))+IF((Census!$F41+AA$5)-INT((Census!$F41+AA$5))&gt;0.5,1,0)),Assumptions!$B$10))</f>
        <v>7627.4723159644336</v>
      </c>
      <c r="AB41" s="30">
        <f>IF(AB$5&gt;$B41,0,INDEX(Decrements!$G$6:$G$58,Census!$G41+AB$5-18)/INDEX(Decrements!$G$6:$G$58,Census!$G41-17)*(INDEX(Decrements!$D$6:$D$58,Census!$G41+AB$5-18)+IF(AB$5=$B41,INDEX(Decrements!$F$6:$F$58,Census!$G41+AB$5-18),0)+INDEX(Decrements!$E$6:$E$58,Census!$G41+AB$5-18)*IF((Census!$F41+AB$5)&gt;=Assumptions!$B$11,1,0))*MIN(15/26*Census!$D41*(1+Assumptions!$B$9)^AB$5*(INT((Census!$F41+AB$5))+IF((Census!$F41+AB$5)-INT((Census!$F41+AB$5))&gt;0.5,1,0)),Assumptions!$B$10))</f>
        <v>7542.7307063724757</v>
      </c>
      <c r="AC41" s="30">
        <f>IF(AC$5&gt;$B41,0,INDEX(Decrements!$G$6:$G$58,Census!$G41+AC$5-18)/INDEX(Decrements!$G$6:$G$58,Census!$G41-17)*(INDEX(Decrements!$D$6:$D$58,Census!$G41+AC$5-18)+IF(AC$5=$B41,INDEX(Decrements!$F$6:$F$58,Census!$G41+AC$5-18),0)+INDEX(Decrements!$E$6:$E$58,Census!$G41+AC$5-18)*IF((Census!$F41+AC$5)&gt;=Assumptions!$B$11,1,0))*MIN(15/26*Census!$D41*(1+Assumptions!$B$9)^AC$5*(INT((Census!$F41+AC$5))+IF((Census!$F41+AC$5)-INT((Census!$F41+AC$5))&gt;0.5,1,0)),Assumptions!$B$10))</f>
        <v>7464.625926525986</v>
      </c>
      <c r="AD41" s="30">
        <f>IF(AD$5&gt;$B41,0,INDEX(Decrements!$G$6:$G$58,Census!$G41+AD$5-18)/INDEX(Decrements!$G$6:$G$58,Census!$G41-17)*(INDEX(Decrements!$D$6:$D$58,Census!$G41+AD$5-18)+IF(AD$5=$B41,INDEX(Decrements!$F$6:$F$58,Census!$G41+AD$5-18),0)+INDEX(Decrements!$E$6:$E$58,Census!$G41+AD$5-18)*IF((Census!$F41+AD$5)&gt;=Assumptions!$B$11,1,0))*MIN(15/26*Census!$D41*(1+Assumptions!$B$9)^AD$5*(INT((Census!$F41+AD$5))+IF((Census!$F41+AD$5)-INT((Census!$F41+AD$5))&gt;0.5,1,0)),Assumptions!$B$10))</f>
        <v>4360.3734343908882</v>
      </c>
      <c r="AE41" s="30">
        <f>IF(AE$5&gt;$B41,0,INDEX(Decrements!$G$6:$G$58,Census!$G41+AE$5-18)/INDEX(Decrements!$G$6:$G$58,Census!$G41-17)*(INDEX(Decrements!$D$6:$D$58,Census!$G41+AE$5-18)+IF(AE$5=$B41,INDEX(Decrements!$F$6:$F$58,Census!$G41+AE$5-18),0)+INDEX(Decrements!$E$6:$E$58,Census!$G41+AE$5-18)*IF((Census!$F41+AE$5)&gt;=Assumptions!$B$11,1,0))*MIN(15/26*Census!$D41*(1+Assumptions!$B$9)^AE$5*(INT((Census!$F41+AE$5))+IF((Census!$F41+AE$5)-INT((Census!$F41+AE$5))&gt;0.5,1,0)),Assumptions!$B$10))</f>
        <v>4415.350233993815</v>
      </c>
      <c r="AF41" s="30">
        <f>IF(AF$5&gt;$B41,0,INDEX(Decrements!$G$6:$G$58,Census!$G41+AF$5-18)/INDEX(Decrements!$G$6:$G$58,Census!$G41-17)*(INDEX(Decrements!$D$6:$D$58,Census!$G41+AF$5-18)+IF(AF$5=$B41,INDEX(Decrements!$F$6:$F$58,Census!$G41+AF$5-18),0)+INDEX(Decrements!$E$6:$E$58,Census!$G41+AF$5-18)*IF((Census!$F41+AF$5)&gt;=Assumptions!$B$11,1,0))*MIN(15/26*Census!$D41*(1+Assumptions!$B$9)^AF$5*(INT((Census!$F41+AF$5))+IF((Census!$F41+AF$5)-INT((Census!$F41+AF$5))&gt;0.5,1,0)),Assumptions!$B$10))</f>
        <v>4477.6011350641929</v>
      </c>
      <c r="AG41" s="30">
        <f>IF(AG$5&gt;$B41,0,INDEX(Decrements!$G$6:$G$58,Census!$G41+AG$5-18)/INDEX(Decrements!$G$6:$G$58,Census!$G41-17)*(INDEX(Decrements!$D$6:$D$58,Census!$G41+AG$5-18)+IF(AG$5=$B41,INDEX(Decrements!$F$6:$F$58,Census!$G41+AG$5-18),0)+INDEX(Decrements!$E$6:$E$58,Census!$G41+AG$5-18)*IF((Census!$F41+AG$5)&gt;=Assumptions!$B$11,1,0))*MIN(15/26*Census!$D41*(1+Assumptions!$B$9)^AG$5*(INT((Census!$F41+AG$5))+IF((Census!$F41+AG$5)-INT((Census!$F41+AG$5))&gt;0.5,1,0)),Assumptions!$B$10))</f>
        <v>4547.5492268490598</v>
      </c>
      <c r="AH41" s="30">
        <f>IF(AH$5&gt;$B41,0,INDEX(Decrements!$G$6:$G$58,Census!$G41+AH$5-18)/INDEX(Decrements!$G$6:$G$58,Census!$G41-17)*(INDEX(Decrements!$D$6:$D$58,Census!$G41+AH$5-18)+IF(AH$5=$B41,INDEX(Decrements!$F$6:$F$58,Census!$G41+AH$5-18),0)+INDEX(Decrements!$E$6:$E$58,Census!$G41+AH$5-18)*IF((Census!$F41+AH$5)&gt;=Assumptions!$B$11,1,0))*MIN(15/26*Census!$D41*(1+Assumptions!$B$9)^AH$5*(INT((Census!$F41+AH$5))+IF((Census!$F41+AH$5)-INT((Census!$F41+AH$5))&gt;0.5,1,0)),Assumptions!$B$10))</f>
        <v>286819.14311910042</v>
      </c>
      <c r="AI41" s="30">
        <f>IF(AI$5&gt;$B41,0,INDEX(Decrements!$G$6:$G$58,Census!$G41+AI$5-18)/INDEX(Decrements!$G$6:$G$58,Census!$G41-17)*(INDEX(Decrements!$D$6:$D$58,Census!$G41+AI$5-18)+IF(AI$5=$B41,INDEX(Decrements!$F$6:$F$58,Census!$G41+AI$5-18),0)+INDEX(Decrements!$E$6:$E$58,Census!$G41+AI$5-18)*IF((Census!$F41+AI$5)&gt;=Assumptions!$B$11,1,0))*MIN(15/26*Census!$D41*(1+Assumptions!$B$9)^AI$5*(INT((Census!$F41+AI$5))+IF((Census!$F41+AI$5)-INT((Census!$F41+AI$5))&gt;0.5,1,0)),Assumptions!$B$10))</f>
        <v>0</v>
      </c>
      <c r="AJ41" s="30">
        <f>IF(AJ$5&gt;$B41,0,INDEX(Decrements!$G$6:$G$58,Census!$G41+AJ$5-18)/INDEX(Decrements!$G$6:$G$58,Census!$G41-17)*(INDEX(Decrements!$D$6:$D$58,Census!$G41+AJ$5-18)+IF(AJ$5=$B41,INDEX(Decrements!$F$6:$F$58,Census!$G41+AJ$5-18),0)+INDEX(Decrements!$E$6:$E$58,Census!$G41+AJ$5-18)*IF((Census!$F41+AJ$5)&gt;=Assumptions!$B$11,1,0))*MIN(15/26*Census!$D41*(1+Assumptions!$B$9)^AJ$5*(INT((Census!$F41+AJ$5))+IF((Census!$F41+AJ$5)-INT((Census!$F41+AJ$5))&gt;0.5,1,0)),Assumptions!$B$10))</f>
        <v>0</v>
      </c>
      <c r="AK41" s="30">
        <f>IF(AK$5&gt;$B41,0,INDEX(Decrements!$G$6:$G$58,Census!$G41+AK$5-18)/INDEX(Decrements!$G$6:$G$58,Census!$G41-17)*(INDEX(Decrements!$D$6:$D$58,Census!$G41+AK$5-18)+IF(AK$5=$B41,INDEX(Decrements!$F$6:$F$58,Census!$G41+AK$5-18),0)+INDEX(Decrements!$E$6:$E$58,Census!$G41+AK$5-18)*IF((Census!$F41+AK$5)&gt;=Assumptions!$B$11,1,0))*MIN(15/26*Census!$D41*(1+Assumptions!$B$9)^AK$5*(INT((Census!$F41+AK$5))+IF((Census!$F41+AK$5)-INT((Census!$F41+AK$5))&gt;0.5,1,0)),Assumptions!$B$10))</f>
        <v>0</v>
      </c>
      <c r="AL41" s="30">
        <f>IF(AL$5&gt;$B41,0,INDEX(Decrements!$G$6:$G$58,Census!$G41+AL$5-18)/INDEX(Decrements!$G$6:$G$58,Census!$G41-17)*(INDEX(Decrements!$D$6:$D$58,Census!$G41+AL$5-18)+IF(AL$5=$B41,INDEX(Decrements!$F$6:$F$58,Census!$G41+AL$5-18),0)+INDEX(Decrements!$E$6:$E$58,Census!$G41+AL$5-18)*IF((Census!$F41+AL$5)&gt;=Assumptions!$B$11,1,0))*MIN(15/26*Census!$D41*(1+Assumptions!$B$9)^AL$5*(INT((Census!$F41+AL$5))+IF((Census!$F41+AL$5)-INT((Census!$F41+AL$5))&gt;0.5,1,0)),Assumptions!$B$10))</f>
        <v>0</v>
      </c>
      <c r="AM41" s="30">
        <f>IF(AM$5&gt;$B41,0,INDEX(Decrements!$G$6:$G$58,Census!$G41+AM$5-18)/INDEX(Decrements!$G$6:$G$58,Census!$G41-17)*(INDEX(Decrements!$D$6:$D$58,Census!$G41+AM$5-18)+IF(AM$5=$B41,INDEX(Decrements!$F$6:$F$58,Census!$G41+AM$5-18),0)+INDEX(Decrements!$E$6:$E$58,Census!$G41+AM$5-18)*IF((Census!$F41+AM$5)&gt;=Assumptions!$B$11,1,0))*MIN(15/26*Census!$D41*(1+Assumptions!$B$9)^AM$5*(INT((Census!$F41+AM$5))+IF((Census!$F41+AM$5)-INT((Census!$F41+AM$5))&gt;0.5,1,0)),Assumptions!$B$10))</f>
        <v>0</v>
      </c>
      <c r="AN41" s="30">
        <f>IF(AN$5&gt;$B41,0,INDEX(Decrements!$G$6:$G$58,Census!$G41+AN$5-18)/INDEX(Decrements!$G$6:$G$58,Census!$G41-17)*(INDEX(Decrements!$D$6:$D$58,Census!$G41+AN$5-18)+IF(AN$5=$B41,INDEX(Decrements!$F$6:$F$58,Census!$G41+AN$5-18),0)+INDEX(Decrements!$E$6:$E$58,Census!$G41+AN$5-18)*IF((Census!$F41+AN$5)&gt;=Assumptions!$B$11,1,0))*MIN(15/26*Census!$D41*(1+Assumptions!$B$9)^AN$5*(INT((Census!$F41+AN$5))+IF((Census!$F41+AN$5)-INT((Census!$F41+AN$5))&gt;0.5,1,0)),Assumptions!$B$10))</f>
        <v>0</v>
      </c>
      <c r="AO41" s="30">
        <f>IF(AO$5&gt;$B41,0,INDEX(Decrements!$G$6:$G$58,Census!$G41+AO$5-18)/INDEX(Decrements!$G$6:$G$58,Census!$G41-17)*(INDEX(Decrements!$D$6:$D$58,Census!$G41+AO$5-18)+IF(AO$5=$B41,INDEX(Decrements!$F$6:$F$58,Census!$G41+AO$5-18),0)+INDEX(Decrements!$E$6:$E$58,Census!$G41+AO$5-18)*IF((Census!$F41+AO$5)&gt;=Assumptions!$B$11,1,0))*MIN(15/26*Census!$D41*(1+Assumptions!$B$9)^AO$5*(INT((Census!$F41+AO$5))+IF((Census!$F41+AO$5)-INT((Census!$F41+AO$5))&gt;0.5,1,0)),Assumptions!$B$10))</f>
        <v>0</v>
      </c>
      <c r="AP41" s="30">
        <f>IF(AP$5&gt;$B41,0,INDEX(Decrements!$G$6:$G$58,Census!$G41+AP$5-18)/INDEX(Decrements!$G$6:$G$58,Census!$G41-17)*(INDEX(Decrements!$D$6:$D$58,Census!$G41+AP$5-18)+IF(AP$5=$B41,INDEX(Decrements!$F$6:$F$58,Census!$G41+AP$5-18),0)+INDEX(Decrements!$E$6:$E$58,Census!$G41+AP$5-18)*IF((Census!$F41+AP$5)&gt;=Assumptions!$B$11,1,0))*MIN(15/26*Census!$D41*(1+Assumptions!$B$9)^AP$5*(INT((Census!$F41+AP$5))+IF((Census!$F41+AP$5)-INT((Census!$F41+AP$5))&gt;0.5,1,0)),Assumptions!$B$10))</f>
        <v>0</v>
      </c>
      <c r="AQ41" s="30">
        <f>IF(AQ$5&gt;$B41,0,INDEX(Decrements!$G$6:$G$58,Census!$G41+AQ$5-18)/INDEX(Decrements!$G$6:$G$58,Census!$G41-17)*(INDEX(Decrements!$D$6:$D$58,Census!$G41+AQ$5-18)+IF(AQ$5=$B41,INDEX(Decrements!$F$6:$F$58,Census!$G41+AQ$5-18),0)+INDEX(Decrements!$E$6:$E$58,Census!$G41+AQ$5-18)*IF((Census!$F41+AQ$5)&gt;=Assumptions!$B$11,1,0))*MIN(15/26*Census!$D41*(1+Assumptions!$B$9)^AQ$5*(INT((Census!$F41+AQ$5))+IF((Census!$F41+AQ$5)-INT((Census!$F41+AQ$5))&gt;0.5,1,0)),Assumptions!$B$10))</f>
        <v>0</v>
      </c>
      <c r="AR41" s="30">
        <f>IF(AR$5&gt;$B41,0,INDEX(Decrements!$G$6:$G$58,Census!$G41+AR$5-18)/INDEX(Decrements!$G$6:$G$58,Census!$G41-17)*(INDEX(Decrements!$D$6:$D$58,Census!$G41+AR$5-18)+IF(AR$5=$B41,INDEX(Decrements!$F$6:$F$58,Census!$G41+AR$5-18),0)+INDEX(Decrements!$E$6:$E$58,Census!$G41+AR$5-18)*IF((Census!$F41+AR$5)&gt;=Assumptions!$B$11,1,0))*MIN(15/26*Census!$D41*(1+Assumptions!$B$9)^AR$5*(INT((Census!$F41+AR$5))+IF((Census!$F41+AR$5)-INT((Census!$F41+AR$5))&gt;0.5,1,0)),Assumptions!$B$10))</f>
        <v>0</v>
      </c>
      <c r="AS41" s="30">
        <f>IF(AS$5&gt;$B41,0,INDEX(Decrements!$G$6:$G$58,Census!$G41+AS$5-18)/INDEX(Decrements!$G$6:$G$58,Census!$G41-17)*(INDEX(Decrements!$D$6:$D$58,Census!$G41+AS$5-18)+IF(AS$5=$B41,INDEX(Decrements!$F$6:$F$58,Census!$G41+AS$5-18),0)+INDEX(Decrements!$E$6:$E$58,Census!$G41+AS$5-18)*IF((Census!$F41+AS$5)&gt;=Assumptions!$B$11,1,0))*MIN(15/26*Census!$D41*(1+Assumptions!$B$9)^AS$5*(INT((Census!$F41+AS$5))+IF((Census!$F41+AS$5)-INT((Census!$F41+AS$5))&gt;0.5,1,0)),Assumptions!$B$10))</f>
        <v>0</v>
      </c>
      <c r="AT41" s="30">
        <f>IF(AT$5&gt;$B41,0,INDEX(Decrements!$G$6:$G$58,Census!$G41+AT$5-18)/INDEX(Decrements!$G$6:$G$58,Census!$G41-17)*(INDEX(Decrements!$D$6:$D$58,Census!$G41+AT$5-18)+IF(AT$5=$B41,INDEX(Decrements!$F$6:$F$58,Census!$G41+AT$5-18),0)+INDEX(Decrements!$E$6:$E$58,Census!$G41+AT$5-18)*IF((Census!$F41+AT$5)&gt;=Assumptions!$B$11,1,0))*MIN(15/26*Census!$D41*(1+Assumptions!$B$9)^AT$5*(INT((Census!$F41+AT$5))+IF((Census!$F41+AT$5)-INT((Census!$F41+AT$5))&gt;0.5,1,0)),Assumptions!$B$10))</f>
        <v>0</v>
      </c>
      <c r="AU41" s="30">
        <f>IF(AU$5&gt;$B41,0,INDEX(Decrements!$G$6:$G$58,Census!$G41+AU$5-18)/INDEX(Decrements!$G$6:$G$58,Census!$G41-17)*(INDEX(Decrements!$D$6:$D$58,Census!$G41+AU$5-18)+IF(AU$5=$B41,INDEX(Decrements!$F$6:$F$58,Census!$G41+AU$5-18),0)+INDEX(Decrements!$E$6:$E$58,Census!$G41+AU$5-18)*IF((Census!$F41+AU$5)&gt;=Assumptions!$B$11,1,0))*MIN(15/26*Census!$D41*(1+Assumptions!$B$9)^AU$5*(INT((Census!$F41+AU$5))+IF((Census!$F41+AU$5)-INT((Census!$F41+AU$5))&gt;0.5,1,0)),Assumptions!$B$10))</f>
        <v>0</v>
      </c>
    </row>
    <row r="42" spans="1:47" x14ac:dyDescent="0.3">
      <c r="A42" s="10" t="str">
        <f>Census!A42</f>
        <v>E037</v>
      </c>
      <c r="B42" s="29">
        <f>Census!H42</f>
        <v>32</v>
      </c>
      <c r="C42" s="30">
        <f>IF(C$5&gt;$B42,0,INDEX(Decrements!$G$6:$G$58,Census!$G42+C$5-18)/INDEX(Decrements!$G$6:$G$58,Census!$G42-17)*(INDEX(Decrements!$D$6:$D$58,Census!$G42+C$5-18)+IF(C$5=$B42,INDEX(Decrements!$F$6:$F$58,Census!$G42+C$5-18),0)+INDEX(Decrements!$E$6:$E$58,Census!$G42+C$5-18)*IF((Census!$F42+C$5)&gt;=Assumptions!$B$11,1,0))*MIN(15/26*Census!$D42*(1+Assumptions!$B$9)^C$5*(INT((Census!$F42+C$5))+IF((Census!$F42+C$5)-INT((Census!$F42+C$5))&gt;0.5,1,0)),Assumptions!$B$10))</f>
        <v>15257.330644183017</v>
      </c>
      <c r="D42" s="30">
        <f>IF(D$5&gt;$B42,0,INDEX(Decrements!$G$6:$G$58,Census!$G42+D$5-18)/INDEX(Decrements!$G$6:$G$58,Census!$G42-17)*(INDEX(Decrements!$D$6:$D$58,Census!$G42+D$5-18)+IF(D$5=$B42,INDEX(Decrements!$F$6:$F$58,Census!$G42+D$5-18),0)+INDEX(Decrements!$E$6:$E$58,Census!$G42+D$5-18)*IF((Census!$F42+D$5)&gt;=Assumptions!$B$11,1,0))*MIN(15/26*Census!$D42*(1+Assumptions!$B$9)^D$5*(INT((Census!$F42+D$5))+IF((Census!$F42+D$5)-INT((Census!$F42+D$5))&gt;0.5,1,0)),Assumptions!$B$10))</f>
        <v>16331.911069984511</v>
      </c>
      <c r="E42" s="30">
        <f>IF(E$5&gt;$B42,0,INDEX(Decrements!$G$6:$G$58,Census!$G42+E$5-18)/INDEX(Decrements!$G$6:$G$58,Census!$G42-17)*(INDEX(Decrements!$D$6:$D$58,Census!$G42+E$5-18)+IF(E$5=$B42,INDEX(Decrements!$F$6:$F$58,Census!$G42+E$5-18),0)+INDEX(Decrements!$E$6:$E$58,Census!$G42+E$5-18)*IF((Census!$F42+E$5)&gt;=Assumptions!$B$11,1,0))*MIN(15/26*Census!$D42*(1+Assumptions!$B$9)^E$5*(INT((Census!$F42+E$5))+IF((Census!$F42+E$5)-INT((Census!$F42+E$5))&gt;0.5,1,0)),Assumptions!$B$10))</f>
        <v>12581.673091949697</v>
      </c>
      <c r="F42" s="30">
        <f>IF(F$5&gt;$B42,0,INDEX(Decrements!$G$6:$G$58,Census!$G42+F$5-18)/INDEX(Decrements!$G$6:$G$58,Census!$G42-17)*(INDEX(Decrements!$D$6:$D$58,Census!$G42+F$5-18)+IF(F$5=$B42,INDEX(Decrements!$F$6:$F$58,Census!$G42+F$5-18),0)+INDEX(Decrements!$E$6:$E$58,Census!$G42+F$5-18)*IF((Census!$F42+F$5)&gt;=Assumptions!$B$11,1,0))*MIN(15/26*Census!$D42*(1+Assumptions!$B$9)^F$5*(INT((Census!$F42+F$5))+IF((Census!$F42+F$5)-INT((Census!$F42+F$5))&gt;0.5,1,0)),Assumptions!$B$10))</f>
        <v>13598.772036006461</v>
      </c>
      <c r="G42" s="30">
        <f>IF(G$5&gt;$B42,0,INDEX(Decrements!$G$6:$G$58,Census!$G42+G$5-18)/INDEX(Decrements!$G$6:$G$58,Census!$G42-17)*(INDEX(Decrements!$D$6:$D$58,Census!$G42+G$5-18)+IF(G$5=$B42,INDEX(Decrements!$F$6:$F$58,Census!$G42+G$5-18),0)+INDEX(Decrements!$E$6:$E$58,Census!$G42+G$5-18)*IF((Census!$F42+G$5)&gt;=Assumptions!$B$11,1,0))*MIN(15/26*Census!$D42*(1+Assumptions!$B$9)^G$5*(INT((Census!$F42+G$5))+IF((Census!$F42+G$5)-INT((Census!$F42+G$5))&gt;0.5,1,0)),Assumptions!$B$10))</f>
        <v>14516.528884020672</v>
      </c>
      <c r="H42" s="30">
        <f>IF(H$5&gt;$B42,0,INDEX(Decrements!$G$6:$G$58,Census!$G42+H$5-18)/INDEX(Decrements!$G$6:$G$58,Census!$G42-17)*(INDEX(Decrements!$D$6:$D$58,Census!$G42+H$5-18)+IF(H$5=$B42,INDEX(Decrements!$F$6:$F$58,Census!$G42+H$5-18),0)+INDEX(Decrements!$E$6:$E$58,Census!$G42+H$5-18)*IF((Census!$F42+H$5)&gt;=Assumptions!$B$11,1,0))*MIN(15/26*Census!$D42*(1+Assumptions!$B$9)^H$5*(INT((Census!$F42+H$5))+IF((Census!$F42+H$5)-INT((Census!$F42+H$5))&gt;0.5,1,0)),Assumptions!$B$10))</f>
        <v>15341.137506352807</v>
      </c>
      <c r="I42" s="30">
        <f>IF(I$5&gt;$B42,0,INDEX(Decrements!$G$6:$G$58,Census!$G42+I$5-18)/INDEX(Decrements!$G$6:$G$58,Census!$G42-17)*(INDEX(Decrements!$D$6:$D$58,Census!$G42+I$5-18)+IF(I$5=$B42,INDEX(Decrements!$F$6:$F$58,Census!$G42+I$5-18),0)+INDEX(Decrements!$E$6:$E$58,Census!$G42+I$5-18)*IF((Census!$F42+I$5)&gt;=Assumptions!$B$11,1,0))*MIN(15/26*Census!$D42*(1+Assumptions!$B$9)^I$5*(INT((Census!$F42+I$5))+IF((Census!$F42+I$5)-INT((Census!$F42+I$5))&gt;0.5,1,0)),Assumptions!$B$10))</f>
        <v>16078.456395067335</v>
      </c>
      <c r="J42" s="30">
        <f>IF(J$5&gt;$B42,0,INDEX(Decrements!$G$6:$G$58,Census!$G42+J$5-18)/INDEX(Decrements!$G$6:$G$58,Census!$G42-17)*(INDEX(Decrements!$D$6:$D$58,Census!$G42+J$5-18)+IF(J$5=$B42,INDEX(Decrements!$F$6:$F$58,Census!$G42+J$5-18),0)+INDEX(Decrements!$E$6:$E$58,Census!$G42+J$5-18)*IF((Census!$F42+J$5)&gt;=Assumptions!$B$11,1,0))*MIN(15/26*Census!$D42*(1+Assumptions!$B$9)^J$5*(INT((Census!$F42+J$5))+IF((Census!$F42+J$5)-INT((Census!$F42+J$5))&gt;0.5,1,0)),Assumptions!$B$10))</f>
        <v>12210.916151965233</v>
      </c>
      <c r="K42" s="30">
        <f>IF(K$5&gt;$B42,0,INDEX(Decrements!$G$6:$G$58,Census!$G42+K$5-18)/INDEX(Decrements!$G$6:$G$58,Census!$G42-17)*(INDEX(Decrements!$D$6:$D$58,Census!$G42+K$5-18)+IF(K$5=$B42,INDEX(Decrements!$F$6:$F$58,Census!$G42+K$5-18),0)+INDEX(Decrements!$E$6:$E$58,Census!$G42+K$5-18)*IF((Census!$F42+K$5)&gt;=Assumptions!$B$11,1,0))*MIN(15/26*Census!$D42*(1+Assumptions!$B$9)^K$5*(INT((Census!$F42+K$5))+IF((Census!$F42+K$5)-INT((Census!$F42+K$5))&gt;0.5,1,0)),Assumptions!$B$10))</f>
        <v>13061.874495171462</v>
      </c>
      <c r="L42" s="30">
        <f>IF(L$5&gt;$B42,0,INDEX(Decrements!$G$6:$G$58,Census!$G42+L$5-18)/INDEX(Decrements!$G$6:$G$58,Census!$G42-17)*(INDEX(Decrements!$D$6:$D$58,Census!$G42+L$5-18)+IF(L$5=$B42,INDEX(Decrements!$F$6:$F$58,Census!$G42+L$5-18),0)+INDEX(Decrements!$E$6:$E$58,Census!$G42+L$5-18)*IF((Census!$F42+L$5)&gt;=Assumptions!$B$11,1,0))*MIN(15/26*Census!$D42*(1+Assumptions!$B$9)^L$5*(INT((Census!$F42+L$5))+IF((Census!$F42+L$5)-INT((Census!$F42+L$5))&gt;0.5,1,0)),Assumptions!$B$10))</f>
        <v>13900.951571082411</v>
      </c>
      <c r="M42" s="30">
        <f>IF(M$5&gt;$B42,0,INDEX(Decrements!$G$6:$G$58,Census!$G42+M$5-18)/INDEX(Decrements!$G$6:$G$58,Census!$G42-17)*(INDEX(Decrements!$D$6:$D$58,Census!$G42+M$5-18)+IF(M$5=$B42,INDEX(Decrements!$F$6:$F$58,Census!$G42+M$5-18),0)+INDEX(Decrements!$E$6:$E$58,Census!$G42+M$5-18)*IF((Census!$F42+M$5)&gt;=Assumptions!$B$11,1,0))*MIN(15/26*Census!$D42*(1+Assumptions!$B$9)^M$5*(INT((Census!$F42+M$5))+IF((Census!$F42+M$5)-INT((Census!$F42+M$5))&gt;0.5,1,0)),Assumptions!$B$10))</f>
        <v>14728.297650321665</v>
      </c>
      <c r="N42" s="30">
        <f>IF(N$5&gt;$B42,0,INDEX(Decrements!$G$6:$G$58,Census!$G42+N$5-18)/INDEX(Decrements!$G$6:$G$58,Census!$G42-17)*(INDEX(Decrements!$D$6:$D$58,Census!$G42+N$5-18)+IF(N$5=$B42,INDEX(Decrements!$F$6:$F$58,Census!$G42+N$5-18),0)+INDEX(Decrements!$E$6:$E$58,Census!$G42+N$5-18)*IF((Census!$F42+N$5)&gt;=Assumptions!$B$11,1,0))*MIN(15/26*Census!$D42*(1+Assumptions!$B$9)^N$5*(INT((Census!$F42+N$5))+IF((Census!$F42+N$5)-INT((Census!$F42+N$5))&gt;0.5,1,0)),Assumptions!$B$10))</f>
        <v>15544.064013700867</v>
      </c>
      <c r="O42" s="30">
        <f>IF(O$5&gt;$B42,0,INDEX(Decrements!$G$6:$G$58,Census!$G42+O$5-18)/INDEX(Decrements!$G$6:$G$58,Census!$G42-17)*(INDEX(Decrements!$D$6:$D$58,Census!$G42+O$5-18)+IF(O$5=$B42,INDEX(Decrements!$F$6:$F$58,Census!$G42+O$5-18),0)+INDEX(Decrements!$E$6:$E$58,Census!$G42+O$5-18)*IF((Census!$F42+O$5)&gt;=Assumptions!$B$11,1,0))*MIN(15/26*Census!$D42*(1+Assumptions!$B$9)^O$5*(INT((Census!$F42+O$5))+IF((Census!$F42+O$5)-INT((Census!$F42+O$5))&gt;0.5,1,0)),Assumptions!$B$10))</f>
        <v>10319.537002311465</v>
      </c>
      <c r="P42" s="30">
        <f>IF(P$5&gt;$B42,0,INDEX(Decrements!$G$6:$G$58,Census!$G42+P$5-18)/INDEX(Decrements!$G$6:$G$58,Census!$G42-17)*(INDEX(Decrements!$D$6:$D$58,Census!$G42+P$5-18)+IF(P$5=$B42,INDEX(Decrements!$F$6:$F$58,Census!$G42+P$5-18),0)+INDEX(Decrements!$E$6:$E$58,Census!$G42+P$5-18)*IF((Census!$F42+P$5)&gt;=Assumptions!$B$11,1,0))*MIN(15/26*Census!$D42*(1+Assumptions!$B$9)^P$5*(INT((Census!$F42+P$5))+IF((Census!$F42+P$5)-INT((Census!$F42+P$5))&gt;0.5,1,0)),Assumptions!$B$10))</f>
        <v>11180.59324149746</v>
      </c>
      <c r="Q42" s="30">
        <f>IF(Q$5&gt;$B42,0,INDEX(Decrements!$G$6:$G$58,Census!$G42+Q$5-18)/INDEX(Decrements!$G$6:$G$58,Census!$G42-17)*(INDEX(Decrements!$D$6:$D$58,Census!$G42+Q$5-18)+IF(Q$5=$B42,INDEX(Decrements!$F$6:$F$58,Census!$G42+Q$5-18),0)+INDEX(Decrements!$E$6:$E$58,Census!$G42+Q$5-18)*IF((Census!$F42+Q$5)&gt;=Assumptions!$B$11,1,0))*MIN(15/26*Census!$D42*(1+Assumptions!$B$9)^Q$5*(INT((Census!$F42+Q$5))+IF((Census!$F42+Q$5)-INT((Census!$F42+Q$5))&gt;0.5,1,0)),Assumptions!$B$10))</f>
        <v>12080.86817308149</v>
      </c>
      <c r="R42" s="30">
        <f>IF(R$5&gt;$B42,0,INDEX(Decrements!$G$6:$G$58,Census!$G42+R$5-18)/INDEX(Decrements!$G$6:$G$58,Census!$G42-17)*(INDEX(Decrements!$D$6:$D$58,Census!$G42+R$5-18)+IF(R$5=$B42,INDEX(Decrements!$F$6:$F$58,Census!$G42+R$5-18),0)+INDEX(Decrements!$E$6:$E$58,Census!$G42+R$5-18)*IF((Census!$F42+R$5)&gt;=Assumptions!$B$11,1,0))*MIN(15/26*Census!$D42*(1+Assumptions!$B$9)^R$5*(INT((Census!$F42+R$5))+IF((Census!$F42+R$5)-INT((Census!$F42+R$5))&gt;0.5,1,0)),Assumptions!$B$10))</f>
        <v>13022.090621891506</v>
      </c>
      <c r="S42" s="30">
        <f>IF(S$5&gt;$B42,0,INDEX(Decrements!$G$6:$G$58,Census!$G42+S$5-18)/INDEX(Decrements!$G$6:$G$58,Census!$G42-17)*(INDEX(Decrements!$D$6:$D$58,Census!$G42+S$5-18)+IF(S$5=$B42,INDEX(Decrements!$F$6:$F$58,Census!$G42+S$5-18),0)+INDEX(Decrements!$E$6:$E$58,Census!$G42+S$5-18)*IF((Census!$F42+S$5)&gt;=Assumptions!$B$11,1,0))*MIN(15/26*Census!$D42*(1+Assumptions!$B$9)^S$5*(INT((Census!$F42+S$5))+IF((Census!$F42+S$5)-INT((Census!$F42+S$5))&gt;0.5,1,0)),Assumptions!$B$10))</f>
        <v>14006.091841977424</v>
      </c>
      <c r="T42" s="30">
        <f>IF(T$5&gt;$B42,0,INDEX(Decrements!$G$6:$G$58,Census!$G42+T$5-18)/INDEX(Decrements!$G$6:$G$58,Census!$G42-17)*(INDEX(Decrements!$D$6:$D$58,Census!$G42+T$5-18)+IF(T$5=$B42,INDEX(Decrements!$F$6:$F$58,Census!$G42+T$5-18),0)+INDEX(Decrements!$E$6:$E$58,Census!$G42+T$5-18)*IF((Census!$F42+T$5)&gt;=Assumptions!$B$11,1,0))*MIN(15/26*Census!$D42*(1+Assumptions!$B$9)^T$5*(INT((Census!$F42+T$5))+IF((Census!$F42+T$5)-INT((Census!$F42+T$5))&gt;0.5,1,0)),Assumptions!$B$10))</f>
        <v>9244.5554481833988</v>
      </c>
      <c r="U42" s="30">
        <f>IF(U$5&gt;$B42,0,INDEX(Decrements!$G$6:$G$58,Census!$G42+U$5-18)/INDEX(Decrements!$G$6:$G$58,Census!$G42-17)*(INDEX(Decrements!$D$6:$D$58,Census!$G42+U$5-18)+IF(U$5=$B42,INDEX(Decrements!$F$6:$F$58,Census!$G42+U$5-18),0)+INDEX(Decrements!$E$6:$E$58,Census!$G42+U$5-18)*IF((Census!$F42+U$5)&gt;=Assumptions!$B$11,1,0))*MIN(15/26*Census!$D42*(1+Assumptions!$B$9)^U$5*(INT((Census!$F42+U$5))+IF((Census!$F42+U$5)-INT((Census!$F42+U$5))&gt;0.5,1,0)),Assumptions!$B$10))</f>
        <v>10133.045901493515</v>
      </c>
      <c r="V42" s="30">
        <f>IF(V$5&gt;$B42,0,INDEX(Decrements!$G$6:$G$58,Census!$G42+V$5-18)/INDEX(Decrements!$G$6:$G$58,Census!$G42-17)*(INDEX(Decrements!$D$6:$D$58,Census!$G42+V$5-18)+IF(V$5=$B42,INDEX(Decrements!$F$6:$F$58,Census!$G42+V$5-18),0)+INDEX(Decrements!$E$6:$E$58,Census!$G42+V$5-18)*IF((Census!$F42+V$5)&gt;=Assumptions!$B$11,1,0))*MIN(15/26*Census!$D42*(1+Assumptions!$B$9)^V$5*(INT((Census!$F42+V$5))+IF((Census!$F42+V$5)-INT((Census!$F42+V$5))&gt;0.5,1,0)),Assumptions!$B$10))</f>
        <v>11090.807109455965</v>
      </c>
      <c r="W42" s="30">
        <f>IF(W$5&gt;$B42,0,INDEX(Decrements!$G$6:$G$58,Census!$G42+W$5-18)/INDEX(Decrements!$G$6:$G$58,Census!$G42-17)*(INDEX(Decrements!$D$6:$D$58,Census!$G42+W$5-18)+IF(W$5=$B42,INDEX(Decrements!$F$6:$F$58,Census!$G42+W$5-18),0)+INDEX(Decrements!$E$6:$E$58,Census!$G42+W$5-18)*IF((Census!$F42+W$5)&gt;=Assumptions!$B$11,1,0))*MIN(15/26*Census!$D42*(1+Assumptions!$B$9)^W$5*(INT((Census!$F42+W$5))+IF((Census!$F42+W$5)-INT((Census!$F42+W$5))&gt;0.5,1,0)),Assumptions!$B$10))</f>
        <v>11849.374939251868</v>
      </c>
      <c r="X42" s="30">
        <f>IF(X$5&gt;$B42,0,INDEX(Decrements!$G$6:$G$58,Census!$G42+X$5-18)/INDEX(Decrements!$G$6:$G$58,Census!$G42-17)*(INDEX(Decrements!$D$6:$D$58,Census!$G42+X$5-18)+IF(X$5=$B42,INDEX(Decrements!$F$6:$F$58,Census!$G42+X$5-18),0)+INDEX(Decrements!$E$6:$E$58,Census!$G42+X$5-18)*IF((Census!$F42+X$5)&gt;=Assumptions!$B$11,1,0))*MIN(15/26*Census!$D42*(1+Assumptions!$B$9)^X$5*(INT((Census!$F42+X$5))+IF((Census!$F42+X$5)-INT((Census!$F42+X$5))&gt;0.5,1,0)),Assumptions!$B$10))</f>
        <v>11535.723680784582</v>
      </c>
      <c r="Y42" s="30">
        <f>IF(Y$5&gt;$B42,0,INDEX(Decrements!$G$6:$G$58,Census!$G42+Y$5-18)/INDEX(Decrements!$G$6:$G$58,Census!$G42-17)*(INDEX(Decrements!$D$6:$D$58,Census!$G42+Y$5-18)+IF(Y$5=$B42,INDEX(Decrements!$F$6:$F$58,Census!$G42+Y$5-18),0)+INDEX(Decrements!$E$6:$E$58,Census!$G42+Y$5-18)*IF((Census!$F42+Y$5)&gt;=Assumptions!$B$11,1,0))*MIN(15/26*Census!$D42*(1+Assumptions!$B$9)^Y$5*(INT((Census!$F42+Y$5))+IF((Census!$F42+Y$5)-INT((Census!$F42+Y$5))&gt;0.5,1,0)),Assumptions!$B$10))</f>
        <v>7816.3163235975608</v>
      </c>
      <c r="Z42" s="30">
        <f>IF(Z$5&gt;$B42,0,INDEX(Decrements!$G$6:$G$58,Census!$G42+Z$5-18)/INDEX(Decrements!$G$6:$G$58,Census!$G42-17)*(INDEX(Decrements!$D$6:$D$58,Census!$G42+Z$5-18)+IF(Z$5=$B42,INDEX(Decrements!$F$6:$F$58,Census!$G42+Z$5-18),0)+INDEX(Decrements!$E$6:$E$58,Census!$G42+Z$5-18)*IF((Census!$F42+Z$5)&gt;=Assumptions!$B$11,1,0))*MIN(15/26*Census!$D42*(1+Assumptions!$B$9)^Z$5*(INT((Census!$F42+Z$5))+IF((Census!$F42+Z$5)-INT((Census!$F42+Z$5))&gt;0.5,1,0)),Assumptions!$B$10))</f>
        <v>7718.7122237332105</v>
      </c>
      <c r="AA42" s="30">
        <f>IF(AA$5&gt;$B42,0,INDEX(Decrements!$G$6:$G$58,Census!$G42+AA$5-18)/INDEX(Decrements!$G$6:$G$58,Census!$G42-17)*(INDEX(Decrements!$D$6:$D$58,Census!$G42+AA$5-18)+IF(AA$5=$B42,INDEX(Decrements!$F$6:$F$58,Census!$G42+AA$5-18),0)+INDEX(Decrements!$E$6:$E$58,Census!$G42+AA$5-18)*IF((Census!$F42+AA$5)&gt;=Assumptions!$B$11,1,0))*MIN(15/26*Census!$D42*(1+Assumptions!$B$9)^AA$5*(INT((Census!$F42+AA$5))+IF((Census!$F42+AA$5)-INT((Census!$F42+AA$5))&gt;0.5,1,0)),Assumptions!$B$10))</f>
        <v>7627.4723159644336</v>
      </c>
      <c r="AB42" s="30">
        <f>IF(AB$5&gt;$B42,0,INDEX(Decrements!$G$6:$G$58,Census!$G42+AB$5-18)/INDEX(Decrements!$G$6:$G$58,Census!$G42-17)*(INDEX(Decrements!$D$6:$D$58,Census!$G42+AB$5-18)+IF(AB$5=$B42,INDEX(Decrements!$F$6:$F$58,Census!$G42+AB$5-18),0)+INDEX(Decrements!$E$6:$E$58,Census!$G42+AB$5-18)*IF((Census!$F42+AB$5)&gt;=Assumptions!$B$11,1,0))*MIN(15/26*Census!$D42*(1+Assumptions!$B$9)^AB$5*(INT((Census!$F42+AB$5))+IF((Census!$F42+AB$5)-INT((Census!$F42+AB$5))&gt;0.5,1,0)),Assumptions!$B$10))</f>
        <v>7542.7307063724757</v>
      </c>
      <c r="AC42" s="30">
        <f>IF(AC$5&gt;$B42,0,INDEX(Decrements!$G$6:$G$58,Census!$G42+AC$5-18)/INDEX(Decrements!$G$6:$G$58,Census!$G42-17)*(INDEX(Decrements!$D$6:$D$58,Census!$G42+AC$5-18)+IF(AC$5=$B42,INDEX(Decrements!$F$6:$F$58,Census!$G42+AC$5-18),0)+INDEX(Decrements!$E$6:$E$58,Census!$G42+AC$5-18)*IF((Census!$F42+AC$5)&gt;=Assumptions!$B$11,1,0))*MIN(15/26*Census!$D42*(1+Assumptions!$B$9)^AC$5*(INT((Census!$F42+AC$5))+IF((Census!$F42+AC$5)-INT((Census!$F42+AC$5))&gt;0.5,1,0)),Assumptions!$B$10))</f>
        <v>7464.625926525986</v>
      </c>
      <c r="AD42" s="30">
        <f>IF(AD$5&gt;$B42,0,INDEX(Decrements!$G$6:$G$58,Census!$G42+AD$5-18)/INDEX(Decrements!$G$6:$G$58,Census!$G42-17)*(INDEX(Decrements!$D$6:$D$58,Census!$G42+AD$5-18)+IF(AD$5=$B42,INDEX(Decrements!$F$6:$F$58,Census!$G42+AD$5-18),0)+INDEX(Decrements!$E$6:$E$58,Census!$G42+AD$5-18)*IF((Census!$F42+AD$5)&gt;=Assumptions!$B$11,1,0))*MIN(15/26*Census!$D42*(1+Assumptions!$B$9)^AD$5*(INT((Census!$F42+AD$5))+IF((Census!$F42+AD$5)-INT((Census!$F42+AD$5))&gt;0.5,1,0)),Assumptions!$B$10))</f>
        <v>4360.3734343908882</v>
      </c>
      <c r="AE42" s="30">
        <f>IF(AE$5&gt;$B42,0,INDEX(Decrements!$G$6:$G$58,Census!$G42+AE$5-18)/INDEX(Decrements!$G$6:$G$58,Census!$G42-17)*(INDEX(Decrements!$D$6:$D$58,Census!$G42+AE$5-18)+IF(AE$5=$B42,INDEX(Decrements!$F$6:$F$58,Census!$G42+AE$5-18),0)+INDEX(Decrements!$E$6:$E$58,Census!$G42+AE$5-18)*IF((Census!$F42+AE$5)&gt;=Assumptions!$B$11,1,0))*MIN(15/26*Census!$D42*(1+Assumptions!$B$9)^AE$5*(INT((Census!$F42+AE$5))+IF((Census!$F42+AE$5)-INT((Census!$F42+AE$5))&gt;0.5,1,0)),Assumptions!$B$10))</f>
        <v>4415.350233993815</v>
      </c>
      <c r="AF42" s="30">
        <f>IF(AF$5&gt;$B42,0,INDEX(Decrements!$G$6:$G$58,Census!$G42+AF$5-18)/INDEX(Decrements!$G$6:$G$58,Census!$G42-17)*(INDEX(Decrements!$D$6:$D$58,Census!$G42+AF$5-18)+IF(AF$5=$B42,INDEX(Decrements!$F$6:$F$58,Census!$G42+AF$5-18),0)+INDEX(Decrements!$E$6:$E$58,Census!$G42+AF$5-18)*IF((Census!$F42+AF$5)&gt;=Assumptions!$B$11,1,0))*MIN(15/26*Census!$D42*(1+Assumptions!$B$9)^AF$5*(INT((Census!$F42+AF$5))+IF((Census!$F42+AF$5)-INT((Census!$F42+AF$5))&gt;0.5,1,0)),Assumptions!$B$10))</f>
        <v>4477.6011350641929</v>
      </c>
      <c r="AG42" s="30">
        <f>IF(AG$5&gt;$B42,0,INDEX(Decrements!$G$6:$G$58,Census!$G42+AG$5-18)/INDEX(Decrements!$G$6:$G$58,Census!$G42-17)*(INDEX(Decrements!$D$6:$D$58,Census!$G42+AG$5-18)+IF(AG$5=$B42,INDEX(Decrements!$F$6:$F$58,Census!$G42+AG$5-18),0)+INDEX(Decrements!$E$6:$E$58,Census!$G42+AG$5-18)*IF((Census!$F42+AG$5)&gt;=Assumptions!$B$11,1,0))*MIN(15/26*Census!$D42*(1+Assumptions!$B$9)^AG$5*(INT((Census!$F42+AG$5))+IF((Census!$F42+AG$5)-INT((Census!$F42+AG$5))&gt;0.5,1,0)),Assumptions!$B$10))</f>
        <v>4547.5492268490598</v>
      </c>
      <c r="AH42" s="30">
        <f>IF(AH$5&gt;$B42,0,INDEX(Decrements!$G$6:$G$58,Census!$G42+AH$5-18)/INDEX(Decrements!$G$6:$G$58,Census!$G42-17)*(INDEX(Decrements!$D$6:$D$58,Census!$G42+AH$5-18)+IF(AH$5=$B42,INDEX(Decrements!$F$6:$F$58,Census!$G42+AH$5-18),0)+INDEX(Decrements!$E$6:$E$58,Census!$G42+AH$5-18)*IF((Census!$F42+AH$5)&gt;=Assumptions!$B$11,1,0))*MIN(15/26*Census!$D42*(1+Assumptions!$B$9)^AH$5*(INT((Census!$F42+AH$5))+IF((Census!$F42+AH$5)-INT((Census!$F42+AH$5))&gt;0.5,1,0)),Assumptions!$B$10))</f>
        <v>286819.14311910042</v>
      </c>
      <c r="AI42" s="30">
        <f>IF(AI$5&gt;$B42,0,INDEX(Decrements!$G$6:$G$58,Census!$G42+AI$5-18)/INDEX(Decrements!$G$6:$G$58,Census!$G42-17)*(INDEX(Decrements!$D$6:$D$58,Census!$G42+AI$5-18)+IF(AI$5=$B42,INDEX(Decrements!$F$6:$F$58,Census!$G42+AI$5-18),0)+INDEX(Decrements!$E$6:$E$58,Census!$G42+AI$5-18)*IF((Census!$F42+AI$5)&gt;=Assumptions!$B$11,1,0))*MIN(15/26*Census!$D42*(1+Assumptions!$B$9)^AI$5*(INT((Census!$F42+AI$5))+IF((Census!$F42+AI$5)-INT((Census!$F42+AI$5))&gt;0.5,1,0)),Assumptions!$B$10))</f>
        <v>0</v>
      </c>
      <c r="AJ42" s="30">
        <f>IF(AJ$5&gt;$B42,0,INDEX(Decrements!$G$6:$G$58,Census!$G42+AJ$5-18)/INDEX(Decrements!$G$6:$G$58,Census!$G42-17)*(INDEX(Decrements!$D$6:$D$58,Census!$G42+AJ$5-18)+IF(AJ$5=$B42,INDEX(Decrements!$F$6:$F$58,Census!$G42+AJ$5-18),0)+INDEX(Decrements!$E$6:$E$58,Census!$G42+AJ$5-18)*IF((Census!$F42+AJ$5)&gt;=Assumptions!$B$11,1,0))*MIN(15/26*Census!$D42*(1+Assumptions!$B$9)^AJ$5*(INT((Census!$F42+AJ$5))+IF((Census!$F42+AJ$5)-INT((Census!$F42+AJ$5))&gt;0.5,1,0)),Assumptions!$B$10))</f>
        <v>0</v>
      </c>
      <c r="AK42" s="30">
        <f>IF(AK$5&gt;$B42,0,INDEX(Decrements!$G$6:$G$58,Census!$G42+AK$5-18)/INDEX(Decrements!$G$6:$G$58,Census!$G42-17)*(INDEX(Decrements!$D$6:$D$58,Census!$G42+AK$5-18)+IF(AK$5=$B42,INDEX(Decrements!$F$6:$F$58,Census!$G42+AK$5-18),0)+INDEX(Decrements!$E$6:$E$58,Census!$G42+AK$5-18)*IF((Census!$F42+AK$5)&gt;=Assumptions!$B$11,1,0))*MIN(15/26*Census!$D42*(1+Assumptions!$B$9)^AK$5*(INT((Census!$F42+AK$5))+IF((Census!$F42+AK$5)-INT((Census!$F42+AK$5))&gt;0.5,1,0)),Assumptions!$B$10))</f>
        <v>0</v>
      </c>
      <c r="AL42" s="30">
        <f>IF(AL$5&gt;$B42,0,INDEX(Decrements!$G$6:$G$58,Census!$G42+AL$5-18)/INDEX(Decrements!$G$6:$G$58,Census!$G42-17)*(INDEX(Decrements!$D$6:$D$58,Census!$G42+AL$5-18)+IF(AL$5=$B42,INDEX(Decrements!$F$6:$F$58,Census!$G42+AL$5-18),0)+INDEX(Decrements!$E$6:$E$58,Census!$G42+AL$5-18)*IF((Census!$F42+AL$5)&gt;=Assumptions!$B$11,1,0))*MIN(15/26*Census!$D42*(1+Assumptions!$B$9)^AL$5*(INT((Census!$F42+AL$5))+IF((Census!$F42+AL$5)-INT((Census!$F42+AL$5))&gt;0.5,1,0)),Assumptions!$B$10))</f>
        <v>0</v>
      </c>
      <c r="AM42" s="30">
        <f>IF(AM$5&gt;$B42,0,INDEX(Decrements!$G$6:$G$58,Census!$G42+AM$5-18)/INDEX(Decrements!$G$6:$G$58,Census!$G42-17)*(INDEX(Decrements!$D$6:$D$58,Census!$G42+AM$5-18)+IF(AM$5=$B42,INDEX(Decrements!$F$6:$F$58,Census!$G42+AM$5-18),0)+INDEX(Decrements!$E$6:$E$58,Census!$G42+AM$5-18)*IF((Census!$F42+AM$5)&gt;=Assumptions!$B$11,1,0))*MIN(15/26*Census!$D42*(1+Assumptions!$B$9)^AM$5*(INT((Census!$F42+AM$5))+IF((Census!$F42+AM$5)-INT((Census!$F42+AM$5))&gt;0.5,1,0)),Assumptions!$B$10))</f>
        <v>0</v>
      </c>
      <c r="AN42" s="30">
        <f>IF(AN$5&gt;$B42,0,INDEX(Decrements!$G$6:$G$58,Census!$G42+AN$5-18)/INDEX(Decrements!$G$6:$G$58,Census!$G42-17)*(INDEX(Decrements!$D$6:$D$58,Census!$G42+AN$5-18)+IF(AN$5=$B42,INDEX(Decrements!$F$6:$F$58,Census!$G42+AN$5-18),0)+INDEX(Decrements!$E$6:$E$58,Census!$G42+AN$5-18)*IF((Census!$F42+AN$5)&gt;=Assumptions!$B$11,1,0))*MIN(15/26*Census!$D42*(1+Assumptions!$B$9)^AN$5*(INT((Census!$F42+AN$5))+IF((Census!$F42+AN$5)-INT((Census!$F42+AN$5))&gt;0.5,1,0)),Assumptions!$B$10))</f>
        <v>0</v>
      </c>
      <c r="AO42" s="30">
        <f>IF(AO$5&gt;$B42,0,INDEX(Decrements!$G$6:$G$58,Census!$G42+AO$5-18)/INDEX(Decrements!$G$6:$G$58,Census!$G42-17)*(INDEX(Decrements!$D$6:$D$58,Census!$G42+AO$5-18)+IF(AO$5=$B42,INDEX(Decrements!$F$6:$F$58,Census!$G42+AO$5-18),0)+INDEX(Decrements!$E$6:$E$58,Census!$G42+AO$5-18)*IF((Census!$F42+AO$5)&gt;=Assumptions!$B$11,1,0))*MIN(15/26*Census!$D42*(1+Assumptions!$B$9)^AO$5*(INT((Census!$F42+AO$5))+IF((Census!$F42+AO$5)-INT((Census!$F42+AO$5))&gt;0.5,1,0)),Assumptions!$B$10))</f>
        <v>0</v>
      </c>
      <c r="AP42" s="30">
        <f>IF(AP$5&gt;$B42,0,INDEX(Decrements!$G$6:$G$58,Census!$G42+AP$5-18)/INDEX(Decrements!$G$6:$G$58,Census!$G42-17)*(INDEX(Decrements!$D$6:$D$58,Census!$G42+AP$5-18)+IF(AP$5=$B42,INDEX(Decrements!$F$6:$F$58,Census!$G42+AP$5-18),0)+INDEX(Decrements!$E$6:$E$58,Census!$G42+AP$5-18)*IF((Census!$F42+AP$5)&gt;=Assumptions!$B$11,1,0))*MIN(15/26*Census!$D42*(1+Assumptions!$B$9)^AP$5*(INT((Census!$F42+AP$5))+IF((Census!$F42+AP$5)-INT((Census!$F42+AP$5))&gt;0.5,1,0)),Assumptions!$B$10))</f>
        <v>0</v>
      </c>
      <c r="AQ42" s="30">
        <f>IF(AQ$5&gt;$B42,0,INDEX(Decrements!$G$6:$G$58,Census!$G42+AQ$5-18)/INDEX(Decrements!$G$6:$G$58,Census!$G42-17)*(INDEX(Decrements!$D$6:$D$58,Census!$G42+AQ$5-18)+IF(AQ$5=$B42,INDEX(Decrements!$F$6:$F$58,Census!$G42+AQ$5-18),0)+INDEX(Decrements!$E$6:$E$58,Census!$G42+AQ$5-18)*IF((Census!$F42+AQ$5)&gt;=Assumptions!$B$11,1,0))*MIN(15/26*Census!$D42*(1+Assumptions!$B$9)^AQ$5*(INT((Census!$F42+AQ$5))+IF((Census!$F42+AQ$5)-INT((Census!$F42+AQ$5))&gt;0.5,1,0)),Assumptions!$B$10))</f>
        <v>0</v>
      </c>
      <c r="AR42" s="30">
        <f>IF(AR$5&gt;$B42,0,INDEX(Decrements!$G$6:$G$58,Census!$G42+AR$5-18)/INDEX(Decrements!$G$6:$G$58,Census!$G42-17)*(INDEX(Decrements!$D$6:$D$58,Census!$G42+AR$5-18)+IF(AR$5=$B42,INDEX(Decrements!$F$6:$F$58,Census!$G42+AR$5-18),0)+INDEX(Decrements!$E$6:$E$58,Census!$G42+AR$5-18)*IF((Census!$F42+AR$5)&gt;=Assumptions!$B$11,1,0))*MIN(15/26*Census!$D42*(1+Assumptions!$B$9)^AR$5*(INT((Census!$F42+AR$5))+IF((Census!$F42+AR$5)-INT((Census!$F42+AR$5))&gt;0.5,1,0)),Assumptions!$B$10))</f>
        <v>0</v>
      </c>
      <c r="AS42" s="30">
        <f>IF(AS$5&gt;$B42,0,INDEX(Decrements!$G$6:$G$58,Census!$G42+AS$5-18)/INDEX(Decrements!$G$6:$G$58,Census!$G42-17)*(INDEX(Decrements!$D$6:$D$58,Census!$G42+AS$5-18)+IF(AS$5=$B42,INDEX(Decrements!$F$6:$F$58,Census!$G42+AS$5-18),0)+INDEX(Decrements!$E$6:$E$58,Census!$G42+AS$5-18)*IF((Census!$F42+AS$5)&gt;=Assumptions!$B$11,1,0))*MIN(15/26*Census!$D42*(1+Assumptions!$B$9)^AS$5*(INT((Census!$F42+AS$5))+IF((Census!$F42+AS$5)-INT((Census!$F42+AS$5))&gt;0.5,1,0)),Assumptions!$B$10))</f>
        <v>0</v>
      </c>
      <c r="AT42" s="30">
        <f>IF(AT$5&gt;$B42,0,INDEX(Decrements!$G$6:$G$58,Census!$G42+AT$5-18)/INDEX(Decrements!$G$6:$G$58,Census!$G42-17)*(INDEX(Decrements!$D$6:$D$58,Census!$G42+AT$5-18)+IF(AT$5=$B42,INDEX(Decrements!$F$6:$F$58,Census!$G42+AT$5-18),0)+INDEX(Decrements!$E$6:$E$58,Census!$G42+AT$5-18)*IF((Census!$F42+AT$5)&gt;=Assumptions!$B$11,1,0))*MIN(15/26*Census!$D42*(1+Assumptions!$B$9)^AT$5*(INT((Census!$F42+AT$5))+IF((Census!$F42+AT$5)-INT((Census!$F42+AT$5))&gt;0.5,1,0)),Assumptions!$B$10))</f>
        <v>0</v>
      </c>
      <c r="AU42" s="30">
        <f>IF(AU$5&gt;$B42,0,INDEX(Decrements!$G$6:$G$58,Census!$G42+AU$5-18)/INDEX(Decrements!$G$6:$G$58,Census!$G42-17)*(INDEX(Decrements!$D$6:$D$58,Census!$G42+AU$5-18)+IF(AU$5=$B42,INDEX(Decrements!$F$6:$F$58,Census!$G42+AU$5-18),0)+INDEX(Decrements!$E$6:$E$58,Census!$G42+AU$5-18)*IF((Census!$F42+AU$5)&gt;=Assumptions!$B$11,1,0))*MIN(15/26*Census!$D42*(1+Assumptions!$B$9)^AU$5*(INT((Census!$F42+AU$5))+IF((Census!$F42+AU$5)-INT((Census!$F42+AU$5))&gt;0.5,1,0)),Assumptions!$B$10))</f>
        <v>0</v>
      </c>
    </row>
    <row r="43" spans="1:47" x14ac:dyDescent="0.3">
      <c r="A43" s="10" t="str">
        <f>Census!A43</f>
        <v>E038</v>
      </c>
      <c r="B43" s="29">
        <f>Census!H43</f>
        <v>11</v>
      </c>
      <c r="C43" s="30">
        <f>IF(C$5&gt;$B43,0,INDEX(Decrements!$G$6:$G$58,Census!$G43+C$5-18)/INDEX(Decrements!$G$6:$G$58,Census!$G43-17)*(INDEX(Decrements!$D$6:$D$58,Census!$G43+C$5-18)+IF(C$5=$B43,INDEX(Decrements!$F$6:$F$58,Census!$G43+C$5-18),0)+INDEX(Decrements!$E$6:$E$58,Census!$G43+C$5-18)*IF((Census!$F43+C$5)&gt;=Assumptions!$B$11,1,0))*MIN(15/26*Census!$D43*(1+Assumptions!$B$9)^C$5*(INT((Census!$F43+C$5))+IF((Census!$F43+C$5)-INT((Census!$F43+C$5))&gt;0.5,1,0)),Assumptions!$B$10))</f>
        <v>65113.690544925215</v>
      </c>
      <c r="D43" s="30">
        <f>IF(D$5&gt;$B43,0,INDEX(Decrements!$G$6:$G$58,Census!$G43+D$5-18)/INDEX(Decrements!$G$6:$G$58,Census!$G43-17)*(INDEX(Decrements!$D$6:$D$58,Census!$G43+D$5-18)+IF(D$5=$B43,INDEX(Decrements!$F$6:$F$58,Census!$G43+D$5-18),0)+INDEX(Decrements!$E$6:$E$58,Census!$G43+D$5-18)*IF((Census!$F43+D$5)&gt;=Assumptions!$B$11,1,0))*MIN(15/26*Census!$D43*(1+Assumptions!$B$9)^D$5*(INT((Census!$F43+D$5))+IF((Census!$F43+D$5)-INT((Census!$F43+D$5))&gt;0.5,1,0)),Assumptions!$B$10))</f>
        <v>44119.399560840015</v>
      </c>
      <c r="E43" s="30">
        <f>IF(E$5&gt;$B43,0,INDEX(Decrements!$G$6:$G$58,Census!$G43+E$5-18)/INDEX(Decrements!$G$6:$G$58,Census!$G43-17)*(INDEX(Decrements!$D$6:$D$58,Census!$G43+E$5-18)+IF(E$5=$B43,INDEX(Decrements!$F$6:$F$58,Census!$G43+E$5-18),0)+INDEX(Decrements!$E$6:$E$58,Census!$G43+E$5-18)*IF((Census!$F43+E$5)&gt;=Assumptions!$B$11,1,0))*MIN(15/26*Census!$D43*(1+Assumptions!$B$9)^E$5*(INT((Census!$F43+E$5))+IF((Census!$F43+E$5)-INT((Census!$F43+E$5))&gt;0.5,1,0)),Assumptions!$B$10))</f>
        <v>43568.470695833523</v>
      </c>
      <c r="F43" s="30">
        <f>IF(F$5&gt;$B43,0,INDEX(Decrements!$G$6:$G$58,Census!$G43+F$5-18)/INDEX(Decrements!$G$6:$G$58,Census!$G43-17)*(INDEX(Decrements!$D$6:$D$58,Census!$G43+F$5-18)+IF(F$5=$B43,INDEX(Decrements!$F$6:$F$58,Census!$G43+F$5-18),0)+INDEX(Decrements!$E$6:$E$58,Census!$G43+F$5-18)*IF((Census!$F43+F$5)&gt;=Assumptions!$B$11,1,0))*MIN(15/26*Census!$D43*(1+Assumptions!$B$9)^F$5*(INT((Census!$F43+F$5))+IF((Census!$F43+F$5)-INT((Census!$F43+F$5))&gt;0.5,1,0)),Assumptions!$B$10))</f>
        <v>43053.464677641547</v>
      </c>
      <c r="G43" s="30">
        <f>IF(G$5&gt;$B43,0,INDEX(Decrements!$G$6:$G$58,Census!$G43+G$5-18)/INDEX(Decrements!$G$6:$G$58,Census!$G43-17)*(INDEX(Decrements!$D$6:$D$58,Census!$G43+G$5-18)+IF(G$5=$B43,INDEX(Decrements!$F$6:$F$58,Census!$G43+G$5-18),0)+INDEX(Decrements!$E$6:$E$58,Census!$G43+G$5-18)*IF((Census!$F43+G$5)&gt;=Assumptions!$B$11,1,0))*MIN(15/26*Census!$D43*(1+Assumptions!$B$9)^G$5*(INT((Census!$F43+G$5))+IF((Census!$F43+G$5)-INT((Census!$F43+G$5))&gt;0.5,1,0)),Assumptions!$B$10))</f>
        <v>42575.138471506696</v>
      </c>
      <c r="H43" s="30">
        <f>IF(H$5&gt;$B43,0,INDEX(Decrements!$G$6:$G$58,Census!$G43+H$5-18)/INDEX(Decrements!$G$6:$G$58,Census!$G43-17)*(INDEX(Decrements!$D$6:$D$58,Census!$G43+H$5-18)+IF(H$5=$B43,INDEX(Decrements!$F$6:$F$58,Census!$G43+H$5-18),0)+INDEX(Decrements!$E$6:$E$58,Census!$G43+H$5-18)*IF((Census!$F43+H$5)&gt;=Assumptions!$B$11,1,0))*MIN(15/26*Census!$D43*(1+Assumptions!$B$9)^H$5*(INT((Census!$F43+H$5))+IF((Census!$F43+H$5)-INT((Census!$F43+H$5))&gt;0.5,1,0)),Assumptions!$B$10))</f>
        <v>42134.274022449616</v>
      </c>
      <c r="I43" s="30">
        <f>IF(I$5&gt;$B43,0,INDEX(Decrements!$G$6:$G$58,Census!$G43+I$5-18)/INDEX(Decrements!$G$6:$G$58,Census!$G43-17)*(INDEX(Decrements!$D$6:$D$58,Census!$G43+I$5-18)+IF(I$5=$B43,INDEX(Decrements!$F$6:$F$58,Census!$G43+I$5-18),0)+INDEX(Decrements!$E$6:$E$58,Census!$G43+I$5-18)*IF((Census!$F43+I$5)&gt;=Assumptions!$B$11,1,0))*MIN(15/26*Census!$D43*(1+Assumptions!$B$9)^I$5*(INT((Census!$F43+I$5))+IF((Census!$F43+I$5)-INT((Census!$F43+I$5))&gt;0.5,1,0)),Assumptions!$B$10))</f>
        <v>24612.240577517954</v>
      </c>
      <c r="J43" s="30">
        <f>IF(J$5&gt;$B43,0,INDEX(Decrements!$G$6:$G$58,Census!$G43+J$5-18)/INDEX(Decrements!$G$6:$G$58,Census!$G43-17)*(INDEX(Decrements!$D$6:$D$58,Census!$G43+J$5-18)+IF(J$5=$B43,INDEX(Decrements!$F$6:$F$58,Census!$G43+J$5-18),0)+INDEX(Decrements!$E$6:$E$58,Census!$G43+J$5-18)*IF((Census!$F43+J$5)&gt;=Assumptions!$B$11,1,0))*MIN(15/26*Census!$D43*(1+Assumptions!$B$9)^J$5*(INT((Census!$F43+J$5))+IF((Census!$F43+J$5)-INT((Census!$F43+J$5))&gt;0.5,1,0)),Assumptions!$B$10))</f>
        <v>24922.558544171246</v>
      </c>
      <c r="K43" s="30">
        <f>IF(K$5&gt;$B43,0,INDEX(Decrements!$G$6:$G$58,Census!$G43+K$5-18)/INDEX(Decrements!$G$6:$G$58,Census!$G43-17)*(INDEX(Decrements!$D$6:$D$58,Census!$G43+K$5-18)+IF(K$5=$B43,INDEX(Decrements!$F$6:$F$58,Census!$G43+K$5-18),0)+INDEX(Decrements!$E$6:$E$58,Census!$G43+K$5-18)*IF((Census!$F43+K$5)&gt;=Assumptions!$B$11,1,0))*MIN(15/26*Census!$D43*(1+Assumptions!$B$9)^K$5*(INT((Census!$F43+K$5))+IF((Census!$F43+K$5)-INT((Census!$F43+K$5))&gt;0.5,1,0)),Assumptions!$B$10))</f>
        <v>25273.935364612185</v>
      </c>
      <c r="L43" s="30">
        <f>IF(L$5&gt;$B43,0,INDEX(Decrements!$G$6:$G$58,Census!$G43+L$5-18)/INDEX(Decrements!$G$6:$G$58,Census!$G43-17)*(INDEX(Decrements!$D$6:$D$58,Census!$G43+L$5-18)+IF(L$5=$B43,INDEX(Decrements!$F$6:$F$58,Census!$G43+L$5-18),0)+INDEX(Decrements!$E$6:$E$58,Census!$G43+L$5-18)*IF((Census!$F43+L$5)&gt;=Assumptions!$B$11,1,0))*MIN(15/26*Census!$D43*(1+Assumptions!$B$9)^L$5*(INT((Census!$F43+L$5))+IF((Census!$F43+L$5)-INT((Census!$F43+L$5))&gt;0.5,1,0)),Assumptions!$B$10))</f>
        <v>25668.759177033644</v>
      </c>
      <c r="M43" s="30">
        <f>IF(M$5&gt;$B43,0,INDEX(Decrements!$G$6:$G$58,Census!$G43+M$5-18)/INDEX(Decrements!$G$6:$G$58,Census!$G43-17)*(INDEX(Decrements!$D$6:$D$58,Census!$G43+M$5-18)+IF(M$5=$B43,INDEX(Decrements!$F$6:$F$58,Census!$G43+M$5-18),0)+INDEX(Decrements!$E$6:$E$58,Census!$G43+M$5-18)*IF((Census!$F43+M$5)&gt;=Assumptions!$B$11,1,0))*MIN(15/26*Census!$D43*(1+Assumptions!$B$9)^M$5*(INT((Census!$F43+M$5))+IF((Census!$F43+M$5)-INT((Census!$F43+M$5))&gt;0.5,1,0)),Assumptions!$B$10))</f>
        <v>1618958.0683634679</v>
      </c>
      <c r="N43" s="30">
        <f>IF(N$5&gt;$B43,0,INDEX(Decrements!$G$6:$G$58,Census!$G43+N$5-18)/INDEX(Decrements!$G$6:$G$58,Census!$G43-17)*(INDEX(Decrements!$D$6:$D$58,Census!$G43+N$5-18)+IF(N$5=$B43,INDEX(Decrements!$F$6:$F$58,Census!$G43+N$5-18),0)+INDEX(Decrements!$E$6:$E$58,Census!$G43+N$5-18)*IF((Census!$F43+N$5)&gt;=Assumptions!$B$11,1,0))*MIN(15/26*Census!$D43*(1+Assumptions!$B$9)^N$5*(INT((Census!$F43+N$5))+IF((Census!$F43+N$5)-INT((Census!$F43+N$5))&gt;0.5,1,0)),Assumptions!$B$10))</f>
        <v>0</v>
      </c>
      <c r="O43" s="30">
        <f>IF(O$5&gt;$B43,0,INDEX(Decrements!$G$6:$G$58,Census!$G43+O$5-18)/INDEX(Decrements!$G$6:$G$58,Census!$G43-17)*(INDEX(Decrements!$D$6:$D$58,Census!$G43+O$5-18)+IF(O$5=$B43,INDEX(Decrements!$F$6:$F$58,Census!$G43+O$5-18),0)+INDEX(Decrements!$E$6:$E$58,Census!$G43+O$5-18)*IF((Census!$F43+O$5)&gt;=Assumptions!$B$11,1,0))*MIN(15/26*Census!$D43*(1+Assumptions!$B$9)^O$5*(INT((Census!$F43+O$5))+IF((Census!$F43+O$5)-INT((Census!$F43+O$5))&gt;0.5,1,0)),Assumptions!$B$10))</f>
        <v>0</v>
      </c>
      <c r="P43" s="30">
        <f>IF(P$5&gt;$B43,0,INDEX(Decrements!$G$6:$G$58,Census!$G43+P$5-18)/INDEX(Decrements!$G$6:$G$58,Census!$G43-17)*(INDEX(Decrements!$D$6:$D$58,Census!$G43+P$5-18)+IF(P$5=$B43,INDEX(Decrements!$F$6:$F$58,Census!$G43+P$5-18),0)+INDEX(Decrements!$E$6:$E$58,Census!$G43+P$5-18)*IF((Census!$F43+P$5)&gt;=Assumptions!$B$11,1,0))*MIN(15/26*Census!$D43*(1+Assumptions!$B$9)^P$5*(INT((Census!$F43+P$5))+IF((Census!$F43+P$5)-INT((Census!$F43+P$5))&gt;0.5,1,0)),Assumptions!$B$10))</f>
        <v>0</v>
      </c>
      <c r="Q43" s="30">
        <f>IF(Q$5&gt;$B43,0,INDEX(Decrements!$G$6:$G$58,Census!$G43+Q$5-18)/INDEX(Decrements!$G$6:$G$58,Census!$G43-17)*(INDEX(Decrements!$D$6:$D$58,Census!$G43+Q$5-18)+IF(Q$5=$B43,INDEX(Decrements!$F$6:$F$58,Census!$G43+Q$5-18),0)+INDEX(Decrements!$E$6:$E$58,Census!$G43+Q$5-18)*IF((Census!$F43+Q$5)&gt;=Assumptions!$B$11,1,0))*MIN(15/26*Census!$D43*(1+Assumptions!$B$9)^Q$5*(INT((Census!$F43+Q$5))+IF((Census!$F43+Q$5)-INT((Census!$F43+Q$5))&gt;0.5,1,0)),Assumptions!$B$10))</f>
        <v>0</v>
      </c>
      <c r="R43" s="30">
        <f>IF(R$5&gt;$B43,0,INDEX(Decrements!$G$6:$G$58,Census!$G43+R$5-18)/INDEX(Decrements!$G$6:$G$58,Census!$G43-17)*(INDEX(Decrements!$D$6:$D$58,Census!$G43+R$5-18)+IF(R$5=$B43,INDEX(Decrements!$F$6:$F$58,Census!$G43+R$5-18),0)+INDEX(Decrements!$E$6:$E$58,Census!$G43+R$5-18)*IF((Census!$F43+R$5)&gt;=Assumptions!$B$11,1,0))*MIN(15/26*Census!$D43*(1+Assumptions!$B$9)^R$5*(INT((Census!$F43+R$5))+IF((Census!$F43+R$5)-INT((Census!$F43+R$5))&gt;0.5,1,0)),Assumptions!$B$10))</f>
        <v>0</v>
      </c>
      <c r="S43" s="30">
        <f>IF(S$5&gt;$B43,0,INDEX(Decrements!$G$6:$G$58,Census!$G43+S$5-18)/INDEX(Decrements!$G$6:$G$58,Census!$G43-17)*(INDEX(Decrements!$D$6:$D$58,Census!$G43+S$5-18)+IF(S$5=$B43,INDEX(Decrements!$F$6:$F$58,Census!$G43+S$5-18),0)+INDEX(Decrements!$E$6:$E$58,Census!$G43+S$5-18)*IF((Census!$F43+S$5)&gt;=Assumptions!$B$11,1,0))*MIN(15/26*Census!$D43*(1+Assumptions!$B$9)^S$5*(INT((Census!$F43+S$5))+IF((Census!$F43+S$5)-INT((Census!$F43+S$5))&gt;0.5,1,0)),Assumptions!$B$10))</f>
        <v>0</v>
      </c>
      <c r="T43" s="30">
        <f>IF(T$5&gt;$B43,0,INDEX(Decrements!$G$6:$G$58,Census!$G43+T$5-18)/INDEX(Decrements!$G$6:$G$58,Census!$G43-17)*(INDEX(Decrements!$D$6:$D$58,Census!$G43+T$5-18)+IF(T$5=$B43,INDEX(Decrements!$F$6:$F$58,Census!$G43+T$5-18),0)+INDEX(Decrements!$E$6:$E$58,Census!$G43+T$5-18)*IF((Census!$F43+T$5)&gt;=Assumptions!$B$11,1,0))*MIN(15/26*Census!$D43*(1+Assumptions!$B$9)^T$5*(INT((Census!$F43+T$5))+IF((Census!$F43+T$5)-INT((Census!$F43+T$5))&gt;0.5,1,0)),Assumptions!$B$10))</f>
        <v>0</v>
      </c>
      <c r="U43" s="30">
        <f>IF(U$5&gt;$B43,0,INDEX(Decrements!$G$6:$G$58,Census!$G43+U$5-18)/INDEX(Decrements!$G$6:$G$58,Census!$G43-17)*(INDEX(Decrements!$D$6:$D$58,Census!$G43+U$5-18)+IF(U$5=$B43,INDEX(Decrements!$F$6:$F$58,Census!$G43+U$5-18),0)+INDEX(Decrements!$E$6:$E$58,Census!$G43+U$5-18)*IF((Census!$F43+U$5)&gt;=Assumptions!$B$11,1,0))*MIN(15/26*Census!$D43*(1+Assumptions!$B$9)^U$5*(INT((Census!$F43+U$5))+IF((Census!$F43+U$5)-INT((Census!$F43+U$5))&gt;0.5,1,0)),Assumptions!$B$10))</f>
        <v>0</v>
      </c>
      <c r="V43" s="30">
        <f>IF(V$5&gt;$B43,0,INDEX(Decrements!$G$6:$G$58,Census!$G43+V$5-18)/INDEX(Decrements!$G$6:$G$58,Census!$G43-17)*(INDEX(Decrements!$D$6:$D$58,Census!$G43+V$5-18)+IF(V$5=$B43,INDEX(Decrements!$F$6:$F$58,Census!$G43+V$5-18),0)+INDEX(Decrements!$E$6:$E$58,Census!$G43+V$5-18)*IF((Census!$F43+V$5)&gt;=Assumptions!$B$11,1,0))*MIN(15/26*Census!$D43*(1+Assumptions!$B$9)^V$5*(INT((Census!$F43+V$5))+IF((Census!$F43+V$5)-INT((Census!$F43+V$5))&gt;0.5,1,0)),Assumptions!$B$10))</f>
        <v>0</v>
      </c>
      <c r="W43" s="30">
        <f>IF(W$5&gt;$B43,0,INDEX(Decrements!$G$6:$G$58,Census!$G43+W$5-18)/INDEX(Decrements!$G$6:$G$58,Census!$G43-17)*(INDEX(Decrements!$D$6:$D$58,Census!$G43+W$5-18)+IF(W$5=$B43,INDEX(Decrements!$F$6:$F$58,Census!$G43+W$5-18),0)+INDEX(Decrements!$E$6:$E$58,Census!$G43+W$5-18)*IF((Census!$F43+W$5)&gt;=Assumptions!$B$11,1,0))*MIN(15/26*Census!$D43*(1+Assumptions!$B$9)^W$5*(INT((Census!$F43+W$5))+IF((Census!$F43+W$5)-INT((Census!$F43+W$5))&gt;0.5,1,0)),Assumptions!$B$10))</f>
        <v>0</v>
      </c>
      <c r="X43" s="30">
        <f>IF(X$5&gt;$B43,0,INDEX(Decrements!$G$6:$G$58,Census!$G43+X$5-18)/INDEX(Decrements!$G$6:$G$58,Census!$G43-17)*(INDEX(Decrements!$D$6:$D$58,Census!$G43+X$5-18)+IF(X$5=$B43,INDEX(Decrements!$F$6:$F$58,Census!$G43+X$5-18),0)+INDEX(Decrements!$E$6:$E$58,Census!$G43+X$5-18)*IF((Census!$F43+X$5)&gt;=Assumptions!$B$11,1,0))*MIN(15/26*Census!$D43*(1+Assumptions!$B$9)^X$5*(INT((Census!$F43+X$5))+IF((Census!$F43+X$5)-INT((Census!$F43+X$5))&gt;0.5,1,0)),Assumptions!$B$10))</f>
        <v>0</v>
      </c>
      <c r="Y43" s="30">
        <f>IF(Y$5&gt;$B43,0,INDEX(Decrements!$G$6:$G$58,Census!$G43+Y$5-18)/INDEX(Decrements!$G$6:$G$58,Census!$G43-17)*(INDEX(Decrements!$D$6:$D$58,Census!$G43+Y$5-18)+IF(Y$5=$B43,INDEX(Decrements!$F$6:$F$58,Census!$G43+Y$5-18),0)+INDEX(Decrements!$E$6:$E$58,Census!$G43+Y$5-18)*IF((Census!$F43+Y$5)&gt;=Assumptions!$B$11,1,0))*MIN(15/26*Census!$D43*(1+Assumptions!$B$9)^Y$5*(INT((Census!$F43+Y$5))+IF((Census!$F43+Y$5)-INT((Census!$F43+Y$5))&gt;0.5,1,0)),Assumptions!$B$10))</f>
        <v>0</v>
      </c>
      <c r="Z43" s="30">
        <f>IF(Z$5&gt;$B43,0,INDEX(Decrements!$G$6:$G$58,Census!$G43+Z$5-18)/INDEX(Decrements!$G$6:$G$58,Census!$G43-17)*(INDEX(Decrements!$D$6:$D$58,Census!$G43+Z$5-18)+IF(Z$5=$B43,INDEX(Decrements!$F$6:$F$58,Census!$G43+Z$5-18),0)+INDEX(Decrements!$E$6:$E$58,Census!$G43+Z$5-18)*IF((Census!$F43+Z$5)&gt;=Assumptions!$B$11,1,0))*MIN(15/26*Census!$D43*(1+Assumptions!$B$9)^Z$5*(INT((Census!$F43+Z$5))+IF((Census!$F43+Z$5)-INT((Census!$F43+Z$5))&gt;0.5,1,0)),Assumptions!$B$10))</f>
        <v>0</v>
      </c>
      <c r="AA43" s="30">
        <f>IF(AA$5&gt;$B43,0,INDEX(Decrements!$G$6:$G$58,Census!$G43+AA$5-18)/INDEX(Decrements!$G$6:$G$58,Census!$G43-17)*(INDEX(Decrements!$D$6:$D$58,Census!$G43+AA$5-18)+IF(AA$5=$B43,INDEX(Decrements!$F$6:$F$58,Census!$G43+AA$5-18),0)+INDEX(Decrements!$E$6:$E$58,Census!$G43+AA$5-18)*IF((Census!$F43+AA$5)&gt;=Assumptions!$B$11,1,0))*MIN(15/26*Census!$D43*(1+Assumptions!$B$9)^AA$5*(INT((Census!$F43+AA$5))+IF((Census!$F43+AA$5)-INT((Census!$F43+AA$5))&gt;0.5,1,0)),Assumptions!$B$10))</f>
        <v>0</v>
      </c>
      <c r="AB43" s="30">
        <f>IF(AB$5&gt;$B43,0,INDEX(Decrements!$G$6:$G$58,Census!$G43+AB$5-18)/INDEX(Decrements!$G$6:$G$58,Census!$G43-17)*(INDEX(Decrements!$D$6:$D$58,Census!$G43+AB$5-18)+IF(AB$5=$B43,INDEX(Decrements!$F$6:$F$58,Census!$G43+AB$5-18),0)+INDEX(Decrements!$E$6:$E$58,Census!$G43+AB$5-18)*IF((Census!$F43+AB$5)&gt;=Assumptions!$B$11,1,0))*MIN(15/26*Census!$D43*(1+Assumptions!$B$9)^AB$5*(INT((Census!$F43+AB$5))+IF((Census!$F43+AB$5)-INT((Census!$F43+AB$5))&gt;0.5,1,0)),Assumptions!$B$10))</f>
        <v>0</v>
      </c>
      <c r="AC43" s="30">
        <f>IF(AC$5&gt;$B43,0,INDEX(Decrements!$G$6:$G$58,Census!$G43+AC$5-18)/INDEX(Decrements!$G$6:$G$58,Census!$G43-17)*(INDEX(Decrements!$D$6:$D$58,Census!$G43+AC$5-18)+IF(AC$5=$B43,INDEX(Decrements!$F$6:$F$58,Census!$G43+AC$5-18),0)+INDEX(Decrements!$E$6:$E$58,Census!$G43+AC$5-18)*IF((Census!$F43+AC$5)&gt;=Assumptions!$B$11,1,0))*MIN(15/26*Census!$D43*(1+Assumptions!$B$9)^AC$5*(INT((Census!$F43+AC$5))+IF((Census!$F43+AC$5)-INT((Census!$F43+AC$5))&gt;0.5,1,0)),Assumptions!$B$10))</f>
        <v>0</v>
      </c>
      <c r="AD43" s="30">
        <f>IF(AD$5&gt;$B43,0,INDEX(Decrements!$G$6:$G$58,Census!$G43+AD$5-18)/INDEX(Decrements!$G$6:$G$58,Census!$G43-17)*(INDEX(Decrements!$D$6:$D$58,Census!$G43+AD$5-18)+IF(AD$5=$B43,INDEX(Decrements!$F$6:$F$58,Census!$G43+AD$5-18),0)+INDEX(Decrements!$E$6:$E$58,Census!$G43+AD$5-18)*IF((Census!$F43+AD$5)&gt;=Assumptions!$B$11,1,0))*MIN(15/26*Census!$D43*(1+Assumptions!$B$9)^AD$5*(INT((Census!$F43+AD$5))+IF((Census!$F43+AD$5)-INT((Census!$F43+AD$5))&gt;0.5,1,0)),Assumptions!$B$10))</f>
        <v>0</v>
      </c>
      <c r="AE43" s="30">
        <f>IF(AE$5&gt;$B43,0,INDEX(Decrements!$G$6:$G$58,Census!$G43+AE$5-18)/INDEX(Decrements!$G$6:$G$58,Census!$G43-17)*(INDEX(Decrements!$D$6:$D$58,Census!$G43+AE$5-18)+IF(AE$5=$B43,INDEX(Decrements!$F$6:$F$58,Census!$G43+AE$5-18),0)+INDEX(Decrements!$E$6:$E$58,Census!$G43+AE$5-18)*IF((Census!$F43+AE$5)&gt;=Assumptions!$B$11,1,0))*MIN(15/26*Census!$D43*(1+Assumptions!$B$9)^AE$5*(INT((Census!$F43+AE$5))+IF((Census!$F43+AE$5)-INT((Census!$F43+AE$5))&gt;0.5,1,0)),Assumptions!$B$10))</f>
        <v>0</v>
      </c>
      <c r="AF43" s="30">
        <f>IF(AF$5&gt;$B43,0,INDEX(Decrements!$G$6:$G$58,Census!$G43+AF$5-18)/INDEX(Decrements!$G$6:$G$58,Census!$G43-17)*(INDEX(Decrements!$D$6:$D$58,Census!$G43+AF$5-18)+IF(AF$5=$B43,INDEX(Decrements!$F$6:$F$58,Census!$G43+AF$5-18),0)+INDEX(Decrements!$E$6:$E$58,Census!$G43+AF$5-18)*IF((Census!$F43+AF$5)&gt;=Assumptions!$B$11,1,0))*MIN(15/26*Census!$D43*(1+Assumptions!$B$9)^AF$5*(INT((Census!$F43+AF$5))+IF((Census!$F43+AF$5)-INT((Census!$F43+AF$5))&gt;0.5,1,0)),Assumptions!$B$10))</f>
        <v>0</v>
      </c>
      <c r="AG43" s="30">
        <f>IF(AG$5&gt;$B43,0,INDEX(Decrements!$G$6:$G$58,Census!$G43+AG$5-18)/INDEX(Decrements!$G$6:$G$58,Census!$G43-17)*(INDEX(Decrements!$D$6:$D$58,Census!$G43+AG$5-18)+IF(AG$5=$B43,INDEX(Decrements!$F$6:$F$58,Census!$G43+AG$5-18),0)+INDEX(Decrements!$E$6:$E$58,Census!$G43+AG$5-18)*IF((Census!$F43+AG$5)&gt;=Assumptions!$B$11,1,0))*MIN(15/26*Census!$D43*(1+Assumptions!$B$9)^AG$5*(INT((Census!$F43+AG$5))+IF((Census!$F43+AG$5)-INT((Census!$F43+AG$5))&gt;0.5,1,0)),Assumptions!$B$10))</f>
        <v>0</v>
      </c>
      <c r="AH43" s="30">
        <f>IF(AH$5&gt;$B43,0,INDEX(Decrements!$G$6:$G$58,Census!$G43+AH$5-18)/INDEX(Decrements!$G$6:$G$58,Census!$G43-17)*(INDEX(Decrements!$D$6:$D$58,Census!$G43+AH$5-18)+IF(AH$5=$B43,INDEX(Decrements!$F$6:$F$58,Census!$G43+AH$5-18),0)+INDEX(Decrements!$E$6:$E$58,Census!$G43+AH$5-18)*IF((Census!$F43+AH$5)&gt;=Assumptions!$B$11,1,0))*MIN(15/26*Census!$D43*(1+Assumptions!$B$9)^AH$5*(INT((Census!$F43+AH$5))+IF((Census!$F43+AH$5)-INT((Census!$F43+AH$5))&gt;0.5,1,0)),Assumptions!$B$10))</f>
        <v>0</v>
      </c>
      <c r="AI43" s="30">
        <f>IF(AI$5&gt;$B43,0,INDEX(Decrements!$G$6:$G$58,Census!$G43+AI$5-18)/INDEX(Decrements!$G$6:$G$58,Census!$G43-17)*(INDEX(Decrements!$D$6:$D$58,Census!$G43+AI$5-18)+IF(AI$5=$B43,INDEX(Decrements!$F$6:$F$58,Census!$G43+AI$5-18),0)+INDEX(Decrements!$E$6:$E$58,Census!$G43+AI$5-18)*IF((Census!$F43+AI$5)&gt;=Assumptions!$B$11,1,0))*MIN(15/26*Census!$D43*(1+Assumptions!$B$9)^AI$5*(INT((Census!$F43+AI$5))+IF((Census!$F43+AI$5)-INT((Census!$F43+AI$5))&gt;0.5,1,0)),Assumptions!$B$10))</f>
        <v>0</v>
      </c>
      <c r="AJ43" s="30">
        <f>IF(AJ$5&gt;$B43,0,INDEX(Decrements!$G$6:$G$58,Census!$G43+AJ$5-18)/INDEX(Decrements!$G$6:$G$58,Census!$G43-17)*(INDEX(Decrements!$D$6:$D$58,Census!$G43+AJ$5-18)+IF(AJ$5=$B43,INDEX(Decrements!$F$6:$F$58,Census!$G43+AJ$5-18),0)+INDEX(Decrements!$E$6:$E$58,Census!$G43+AJ$5-18)*IF((Census!$F43+AJ$5)&gt;=Assumptions!$B$11,1,0))*MIN(15/26*Census!$D43*(1+Assumptions!$B$9)^AJ$5*(INT((Census!$F43+AJ$5))+IF((Census!$F43+AJ$5)-INT((Census!$F43+AJ$5))&gt;0.5,1,0)),Assumptions!$B$10))</f>
        <v>0</v>
      </c>
      <c r="AK43" s="30">
        <f>IF(AK$5&gt;$B43,0,INDEX(Decrements!$G$6:$G$58,Census!$G43+AK$5-18)/INDEX(Decrements!$G$6:$G$58,Census!$G43-17)*(INDEX(Decrements!$D$6:$D$58,Census!$G43+AK$5-18)+IF(AK$5=$B43,INDEX(Decrements!$F$6:$F$58,Census!$G43+AK$5-18),0)+INDEX(Decrements!$E$6:$E$58,Census!$G43+AK$5-18)*IF((Census!$F43+AK$5)&gt;=Assumptions!$B$11,1,0))*MIN(15/26*Census!$D43*(1+Assumptions!$B$9)^AK$5*(INT((Census!$F43+AK$5))+IF((Census!$F43+AK$5)-INT((Census!$F43+AK$5))&gt;0.5,1,0)),Assumptions!$B$10))</f>
        <v>0</v>
      </c>
      <c r="AL43" s="30">
        <f>IF(AL$5&gt;$B43,0,INDEX(Decrements!$G$6:$G$58,Census!$G43+AL$5-18)/INDEX(Decrements!$G$6:$G$58,Census!$G43-17)*(INDEX(Decrements!$D$6:$D$58,Census!$G43+AL$5-18)+IF(AL$5=$B43,INDEX(Decrements!$F$6:$F$58,Census!$G43+AL$5-18),0)+INDEX(Decrements!$E$6:$E$58,Census!$G43+AL$5-18)*IF((Census!$F43+AL$5)&gt;=Assumptions!$B$11,1,0))*MIN(15/26*Census!$D43*(1+Assumptions!$B$9)^AL$5*(INT((Census!$F43+AL$5))+IF((Census!$F43+AL$5)-INT((Census!$F43+AL$5))&gt;0.5,1,0)),Assumptions!$B$10))</f>
        <v>0</v>
      </c>
      <c r="AM43" s="30">
        <f>IF(AM$5&gt;$B43,0,INDEX(Decrements!$G$6:$G$58,Census!$G43+AM$5-18)/INDEX(Decrements!$G$6:$G$58,Census!$G43-17)*(INDEX(Decrements!$D$6:$D$58,Census!$G43+AM$5-18)+IF(AM$5=$B43,INDEX(Decrements!$F$6:$F$58,Census!$G43+AM$5-18),0)+INDEX(Decrements!$E$6:$E$58,Census!$G43+AM$5-18)*IF((Census!$F43+AM$5)&gt;=Assumptions!$B$11,1,0))*MIN(15/26*Census!$D43*(1+Assumptions!$B$9)^AM$5*(INT((Census!$F43+AM$5))+IF((Census!$F43+AM$5)-INT((Census!$F43+AM$5))&gt;0.5,1,0)),Assumptions!$B$10))</f>
        <v>0</v>
      </c>
      <c r="AN43" s="30">
        <f>IF(AN$5&gt;$B43,0,INDEX(Decrements!$G$6:$G$58,Census!$G43+AN$5-18)/INDEX(Decrements!$G$6:$G$58,Census!$G43-17)*(INDEX(Decrements!$D$6:$D$58,Census!$G43+AN$5-18)+IF(AN$5=$B43,INDEX(Decrements!$F$6:$F$58,Census!$G43+AN$5-18),0)+INDEX(Decrements!$E$6:$E$58,Census!$G43+AN$5-18)*IF((Census!$F43+AN$5)&gt;=Assumptions!$B$11,1,0))*MIN(15/26*Census!$D43*(1+Assumptions!$B$9)^AN$5*(INT((Census!$F43+AN$5))+IF((Census!$F43+AN$5)-INT((Census!$F43+AN$5))&gt;0.5,1,0)),Assumptions!$B$10))</f>
        <v>0</v>
      </c>
      <c r="AO43" s="30">
        <f>IF(AO$5&gt;$B43,0,INDEX(Decrements!$G$6:$G$58,Census!$G43+AO$5-18)/INDEX(Decrements!$G$6:$G$58,Census!$G43-17)*(INDEX(Decrements!$D$6:$D$58,Census!$G43+AO$5-18)+IF(AO$5=$B43,INDEX(Decrements!$F$6:$F$58,Census!$G43+AO$5-18),0)+INDEX(Decrements!$E$6:$E$58,Census!$G43+AO$5-18)*IF((Census!$F43+AO$5)&gt;=Assumptions!$B$11,1,0))*MIN(15/26*Census!$D43*(1+Assumptions!$B$9)^AO$5*(INT((Census!$F43+AO$5))+IF((Census!$F43+AO$5)-INT((Census!$F43+AO$5))&gt;0.5,1,0)),Assumptions!$B$10))</f>
        <v>0</v>
      </c>
      <c r="AP43" s="30">
        <f>IF(AP$5&gt;$B43,0,INDEX(Decrements!$G$6:$G$58,Census!$G43+AP$5-18)/INDEX(Decrements!$G$6:$G$58,Census!$G43-17)*(INDEX(Decrements!$D$6:$D$58,Census!$G43+AP$5-18)+IF(AP$5=$B43,INDEX(Decrements!$F$6:$F$58,Census!$G43+AP$5-18),0)+INDEX(Decrements!$E$6:$E$58,Census!$G43+AP$5-18)*IF((Census!$F43+AP$5)&gt;=Assumptions!$B$11,1,0))*MIN(15/26*Census!$D43*(1+Assumptions!$B$9)^AP$5*(INT((Census!$F43+AP$5))+IF((Census!$F43+AP$5)-INT((Census!$F43+AP$5))&gt;0.5,1,0)),Assumptions!$B$10))</f>
        <v>0</v>
      </c>
      <c r="AQ43" s="30">
        <f>IF(AQ$5&gt;$B43,0,INDEX(Decrements!$G$6:$G$58,Census!$G43+AQ$5-18)/INDEX(Decrements!$G$6:$G$58,Census!$G43-17)*(INDEX(Decrements!$D$6:$D$58,Census!$G43+AQ$5-18)+IF(AQ$5=$B43,INDEX(Decrements!$F$6:$F$58,Census!$G43+AQ$5-18),0)+INDEX(Decrements!$E$6:$E$58,Census!$G43+AQ$5-18)*IF((Census!$F43+AQ$5)&gt;=Assumptions!$B$11,1,0))*MIN(15/26*Census!$D43*(1+Assumptions!$B$9)^AQ$5*(INT((Census!$F43+AQ$5))+IF((Census!$F43+AQ$5)-INT((Census!$F43+AQ$5))&gt;0.5,1,0)),Assumptions!$B$10))</f>
        <v>0</v>
      </c>
      <c r="AR43" s="30">
        <f>IF(AR$5&gt;$B43,0,INDEX(Decrements!$G$6:$G$58,Census!$G43+AR$5-18)/INDEX(Decrements!$G$6:$G$58,Census!$G43-17)*(INDEX(Decrements!$D$6:$D$58,Census!$G43+AR$5-18)+IF(AR$5=$B43,INDEX(Decrements!$F$6:$F$58,Census!$G43+AR$5-18),0)+INDEX(Decrements!$E$6:$E$58,Census!$G43+AR$5-18)*IF((Census!$F43+AR$5)&gt;=Assumptions!$B$11,1,0))*MIN(15/26*Census!$D43*(1+Assumptions!$B$9)^AR$5*(INT((Census!$F43+AR$5))+IF((Census!$F43+AR$5)-INT((Census!$F43+AR$5))&gt;0.5,1,0)),Assumptions!$B$10))</f>
        <v>0</v>
      </c>
      <c r="AS43" s="30">
        <f>IF(AS$5&gt;$B43,0,INDEX(Decrements!$G$6:$G$58,Census!$G43+AS$5-18)/INDEX(Decrements!$G$6:$G$58,Census!$G43-17)*(INDEX(Decrements!$D$6:$D$58,Census!$G43+AS$5-18)+IF(AS$5=$B43,INDEX(Decrements!$F$6:$F$58,Census!$G43+AS$5-18),0)+INDEX(Decrements!$E$6:$E$58,Census!$G43+AS$5-18)*IF((Census!$F43+AS$5)&gt;=Assumptions!$B$11,1,0))*MIN(15/26*Census!$D43*(1+Assumptions!$B$9)^AS$5*(INT((Census!$F43+AS$5))+IF((Census!$F43+AS$5)-INT((Census!$F43+AS$5))&gt;0.5,1,0)),Assumptions!$B$10))</f>
        <v>0</v>
      </c>
      <c r="AT43" s="30">
        <f>IF(AT$5&gt;$B43,0,INDEX(Decrements!$G$6:$G$58,Census!$G43+AT$5-18)/INDEX(Decrements!$G$6:$G$58,Census!$G43-17)*(INDEX(Decrements!$D$6:$D$58,Census!$G43+AT$5-18)+IF(AT$5=$B43,INDEX(Decrements!$F$6:$F$58,Census!$G43+AT$5-18),0)+INDEX(Decrements!$E$6:$E$58,Census!$G43+AT$5-18)*IF((Census!$F43+AT$5)&gt;=Assumptions!$B$11,1,0))*MIN(15/26*Census!$D43*(1+Assumptions!$B$9)^AT$5*(INT((Census!$F43+AT$5))+IF((Census!$F43+AT$5)-INT((Census!$F43+AT$5))&gt;0.5,1,0)),Assumptions!$B$10))</f>
        <v>0</v>
      </c>
      <c r="AU43" s="30">
        <f>IF(AU$5&gt;$B43,0,INDEX(Decrements!$G$6:$G$58,Census!$G43+AU$5-18)/INDEX(Decrements!$G$6:$G$58,Census!$G43-17)*(INDEX(Decrements!$D$6:$D$58,Census!$G43+AU$5-18)+IF(AU$5=$B43,INDEX(Decrements!$F$6:$F$58,Census!$G43+AU$5-18),0)+INDEX(Decrements!$E$6:$E$58,Census!$G43+AU$5-18)*IF((Census!$F43+AU$5)&gt;=Assumptions!$B$11,1,0))*MIN(15/26*Census!$D43*(1+Assumptions!$B$9)^AU$5*(INT((Census!$F43+AU$5))+IF((Census!$F43+AU$5)-INT((Census!$F43+AU$5))&gt;0.5,1,0)),Assumptions!$B$10))</f>
        <v>0</v>
      </c>
    </row>
    <row r="44" spans="1:47" x14ac:dyDescent="0.3">
      <c r="A44" s="10" t="str">
        <f>Census!A44</f>
        <v>E039</v>
      </c>
      <c r="B44" s="29">
        <f>Census!H44</f>
        <v>20</v>
      </c>
      <c r="C44" s="30">
        <f>IF(C$5&gt;$B44,0,INDEX(Decrements!$G$6:$G$58,Census!$G44+C$5-18)/INDEX(Decrements!$G$6:$G$58,Census!$G44-17)*(INDEX(Decrements!$D$6:$D$58,Census!$G44+C$5-18)+IF(C$5=$B44,INDEX(Decrements!$F$6:$F$58,Census!$G44+C$5-18),0)+INDEX(Decrements!$E$6:$E$58,Census!$G44+C$5-18)*IF((Census!$F44+C$5)&gt;=Assumptions!$B$11,1,0))*MIN(15/26*Census!$D44*(1+Assumptions!$B$9)^C$5*(INT((Census!$F44+C$5))+IF((Census!$F44+C$5)-INT((Census!$F44+C$5))&gt;0.5,1,0)),Assumptions!$B$10))</f>
        <v>53603.079359219118</v>
      </c>
      <c r="D44" s="30">
        <f>IF(D$5&gt;$B44,0,INDEX(Decrements!$G$6:$G$58,Census!$G44+D$5-18)/INDEX(Decrements!$G$6:$G$58,Census!$G44-17)*(INDEX(Decrements!$D$6:$D$58,Census!$G44+D$5-18)+IF(D$5=$B44,INDEX(Decrements!$F$6:$F$58,Census!$G44+D$5-18),0)+INDEX(Decrements!$E$6:$E$58,Census!$G44+D$5-18)*IF((Census!$F44+D$5)&gt;=Assumptions!$B$11,1,0))*MIN(15/26*Census!$D44*(1+Assumptions!$B$9)^D$5*(INT((Census!$F44+D$5))+IF((Census!$F44+D$5)-INT((Census!$F44+D$5))&gt;0.5,1,0)),Assumptions!$B$10))</f>
        <v>58075.689507474723</v>
      </c>
      <c r="E44" s="30">
        <f>IF(E$5&gt;$B44,0,INDEX(Decrements!$G$6:$G$58,Census!$G44+E$5-18)/INDEX(Decrements!$G$6:$G$58,Census!$G44-17)*(INDEX(Decrements!$D$6:$D$58,Census!$G44+E$5-18)+IF(E$5=$B44,INDEX(Decrements!$F$6:$F$58,Census!$G44+E$5-18),0)+INDEX(Decrements!$E$6:$E$58,Census!$G44+E$5-18)*IF((Census!$F44+E$5)&gt;=Assumptions!$B$11,1,0))*MIN(15/26*Census!$D44*(1+Assumptions!$B$9)^E$5*(INT((Census!$F44+E$5))+IF((Census!$F44+E$5)-INT((Census!$F44+E$5))&gt;0.5,1,0)),Assumptions!$B$10))</f>
        <v>62752.014481357277</v>
      </c>
      <c r="F44" s="30">
        <f>IF(F$5&gt;$B44,0,INDEX(Decrements!$G$6:$G$58,Census!$G44+F$5-18)/INDEX(Decrements!$G$6:$G$58,Census!$G44-17)*(INDEX(Decrements!$D$6:$D$58,Census!$G44+F$5-18)+IF(F$5=$B44,INDEX(Decrements!$F$6:$F$58,Census!$G44+F$5-18),0)+INDEX(Decrements!$E$6:$E$58,Census!$G44+F$5-18)*IF((Census!$F44+F$5)&gt;=Assumptions!$B$11,1,0))*MIN(15/26*Census!$D44*(1+Assumptions!$B$9)^F$5*(INT((Census!$F44+F$5))+IF((Census!$F44+F$5)-INT((Census!$F44+F$5))&gt;0.5,1,0)),Assumptions!$B$10))</f>
        <v>67641.034367321277</v>
      </c>
      <c r="G44" s="30">
        <f>IF(G$5&gt;$B44,0,INDEX(Decrements!$G$6:$G$58,Census!$G44+G$5-18)/INDEX(Decrements!$G$6:$G$58,Census!$G44-17)*(INDEX(Decrements!$D$6:$D$58,Census!$G44+G$5-18)+IF(G$5=$B44,INDEX(Decrements!$F$6:$F$58,Census!$G44+G$5-18),0)+INDEX(Decrements!$E$6:$E$58,Census!$G44+G$5-18)*IF((Census!$F44+G$5)&gt;=Assumptions!$B$11,1,0))*MIN(15/26*Census!$D44*(1+Assumptions!$B$9)^G$5*(INT((Census!$F44+G$5))+IF((Census!$F44+G$5)-INT((Census!$F44+G$5))&gt;0.5,1,0)),Assumptions!$B$10))</f>
        <v>72752.261302988976</v>
      </c>
      <c r="H44" s="30">
        <f>IF(H$5&gt;$B44,0,INDEX(Decrements!$G$6:$G$58,Census!$G44+H$5-18)/INDEX(Decrements!$G$6:$G$58,Census!$G44-17)*(INDEX(Decrements!$D$6:$D$58,Census!$G44+H$5-18)+IF(H$5=$B44,INDEX(Decrements!$F$6:$F$58,Census!$G44+H$5-18),0)+INDEX(Decrements!$E$6:$E$58,Census!$G44+H$5-18)*IF((Census!$F44+H$5)&gt;=Assumptions!$B$11,1,0))*MIN(15/26*Census!$D44*(1+Assumptions!$B$9)^H$5*(INT((Census!$F44+H$5))+IF((Census!$F44+H$5)-INT((Census!$F44+H$5))&gt;0.5,1,0)),Assumptions!$B$10))</f>
        <v>48019.270556293501</v>
      </c>
      <c r="I44" s="30">
        <f>IF(I$5&gt;$B44,0,INDEX(Decrements!$G$6:$G$58,Census!$G44+I$5-18)/INDEX(Decrements!$G$6:$G$58,Census!$G44-17)*(INDEX(Decrements!$D$6:$D$58,Census!$G44+I$5-18)+IF(I$5=$B44,INDEX(Decrements!$F$6:$F$58,Census!$G44+I$5-18),0)+INDEX(Decrements!$E$6:$E$58,Census!$G44+I$5-18)*IF((Census!$F44+I$5)&gt;=Assumptions!$B$11,1,0))*MIN(15/26*Census!$D44*(1+Assumptions!$B$9)^I$5*(INT((Census!$F44+I$5))+IF((Census!$F44+I$5)-INT((Census!$F44+I$5))&gt;0.5,1,0)),Assumptions!$B$10))</f>
        <v>47597.942382987334</v>
      </c>
      <c r="J44" s="30">
        <f>IF(J$5&gt;$B44,0,INDEX(Decrements!$G$6:$G$58,Census!$G44+J$5-18)/INDEX(Decrements!$G$6:$G$58,Census!$G44-17)*(INDEX(Decrements!$D$6:$D$58,Census!$G44+J$5-18)+IF(J$5=$B44,INDEX(Decrements!$F$6:$F$58,Census!$G44+J$5-18),0)+INDEX(Decrements!$E$6:$E$58,Census!$G44+J$5-18)*IF((Census!$F44+J$5)&gt;=Assumptions!$B$11,1,0))*MIN(15/26*Census!$D44*(1+Assumptions!$B$9)^J$5*(INT((Census!$F44+J$5))+IF((Census!$F44+J$5)-INT((Census!$F44+J$5))&gt;0.5,1,0)),Assumptions!$B$10))</f>
        <v>46308.295795193248</v>
      </c>
      <c r="K44" s="30">
        <f>IF(K$5&gt;$B44,0,INDEX(Decrements!$G$6:$G$58,Census!$G44+K$5-18)/INDEX(Decrements!$G$6:$G$58,Census!$G44-17)*(INDEX(Decrements!$D$6:$D$58,Census!$G44+K$5-18)+IF(K$5=$B44,INDEX(Decrements!$F$6:$F$58,Census!$G44+K$5-18),0)+INDEX(Decrements!$E$6:$E$58,Census!$G44+K$5-18)*IF((Census!$F44+K$5)&gt;=Assumptions!$B$11,1,0))*MIN(15/26*Census!$D44*(1+Assumptions!$B$9)^K$5*(INT((Census!$F44+K$5))+IF((Census!$F44+K$5)-INT((Census!$F44+K$5))&gt;0.5,1,0)),Assumptions!$B$10))</f>
        <v>45067.494348959728</v>
      </c>
      <c r="L44" s="30">
        <f>IF(L$5&gt;$B44,0,INDEX(Decrements!$G$6:$G$58,Census!$G44+L$5-18)/INDEX(Decrements!$G$6:$G$58,Census!$G44-17)*(INDEX(Decrements!$D$6:$D$58,Census!$G44+L$5-18)+IF(L$5=$B44,INDEX(Decrements!$F$6:$F$58,Census!$G44+L$5-18),0)+INDEX(Decrements!$E$6:$E$58,Census!$G44+L$5-18)*IF((Census!$F44+L$5)&gt;=Assumptions!$B$11,1,0))*MIN(15/26*Census!$D44*(1+Assumptions!$B$9)^L$5*(INT((Census!$F44+L$5))+IF((Census!$F44+L$5)-INT((Census!$F44+L$5))&gt;0.5,1,0)),Assumptions!$B$10))</f>
        <v>43874.564224713795</v>
      </c>
      <c r="M44" s="30">
        <f>IF(M$5&gt;$B44,0,INDEX(Decrements!$G$6:$G$58,Census!$G44+M$5-18)/INDEX(Decrements!$G$6:$G$58,Census!$G44-17)*(INDEX(Decrements!$D$6:$D$58,Census!$G44+M$5-18)+IF(M$5=$B44,INDEX(Decrements!$F$6:$F$58,Census!$G44+M$5-18),0)+INDEX(Decrements!$E$6:$E$58,Census!$G44+M$5-18)*IF((Census!$F44+M$5)&gt;=Assumptions!$B$11,1,0))*MIN(15/26*Census!$D44*(1+Assumptions!$B$9)^M$5*(INT((Census!$F44+M$5))+IF((Census!$F44+M$5)-INT((Census!$F44+M$5))&gt;0.5,1,0)),Assumptions!$B$10))</f>
        <v>29728.301581252475</v>
      </c>
      <c r="N44" s="30">
        <f>IF(N$5&gt;$B44,0,INDEX(Decrements!$G$6:$G$58,Census!$G44+N$5-18)/INDEX(Decrements!$G$6:$G$58,Census!$G44-17)*(INDEX(Decrements!$D$6:$D$58,Census!$G44+N$5-18)+IF(N$5=$B44,INDEX(Decrements!$F$6:$F$58,Census!$G44+N$5-18),0)+INDEX(Decrements!$E$6:$E$58,Census!$G44+N$5-18)*IF((Census!$F44+N$5)&gt;=Assumptions!$B$11,1,0))*MIN(15/26*Census!$D44*(1+Assumptions!$B$9)^N$5*(INT((Census!$F44+N$5))+IF((Census!$F44+N$5)-INT((Census!$F44+N$5))&gt;0.5,1,0)),Assumptions!$B$10))</f>
        <v>29357.077593352435</v>
      </c>
      <c r="O44" s="30">
        <f>IF(O$5&gt;$B44,0,INDEX(Decrements!$G$6:$G$58,Census!$G44+O$5-18)/INDEX(Decrements!$G$6:$G$58,Census!$G44-17)*(INDEX(Decrements!$D$6:$D$58,Census!$G44+O$5-18)+IF(O$5=$B44,INDEX(Decrements!$F$6:$F$58,Census!$G44+O$5-18),0)+INDEX(Decrements!$E$6:$E$58,Census!$G44+O$5-18)*IF((Census!$F44+O$5)&gt;=Assumptions!$B$11,1,0))*MIN(15/26*Census!$D44*(1+Assumptions!$B$9)^O$5*(INT((Census!$F44+O$5))+IF((Census!$F44+O$5)-INT((Census!$F44+O$5))&gt;0.5,1,0)),Assumptions!$B$10))</f>
        <v>29010.058949006241</v>
      </c>
      <c r="P44" s="30">
        <f>IF(P$5&gt;$B44,0,INDEX(Decrements!$G$6:$G$58,Census!$G44+P$5-18)/INDEX(Decrements!$G$6:$G$58,Census!$G44-17)*(INDEX(Decrements!$D$6:$D$58,Census!$G44+P$5-18)+IF(P$5=$B44,INDEX(Decrements!$F$6:$F$58,Census!$G44+P$5-18),0)+INDEX(Decrements!$E$6:$E$58,Census!$G44+P$5-18)*IF((Census!$F44+P$5)&gt;=Assumptions!$B$11,1,0))*MIN(15/26*Census!$D44*(1+Assumptions!$B$9)^P$5*(INT((Census!$F44+P$5))+IF((Census!$F44+P$5)-INT((Census!$F44+P$5))&gt;0.5,1,0)),Assumptions!$B$10))</f>
        <v>28687.755702549217</v>
      </c>
      <c r="Q44" s="30">
        <f>IF(Q$5&gt;$B44,0,INDEX(Decrements!$G$6:$G$58,Census!$G44+Q$5-18)/INDEX(Decrements!$G$6:$G$58,Census!$G44-17)*(INDEX(Decrements!$D$6:$D$58,Census!$G44+Q$5-18)+IF(Q$5=$B44,INDEX(Decrements!$F$6:$F$58,Census!$G44+Q$5-18),0)+INDEX(Decrements!$E$6:$E$58,Census!$G44+Q$5-18)*IF((Census!$F44+Q$5)&gt;=Assumptions!$B$11,1,0))*MIN(15/26*Census!$D44*(1+Assumptions!$B$9)^Q$5*(INT((Census!$F44+Q$5))+IF((Census!$F44+Q$5)-INT((Census!$F44+Q$5))&gt;0.5,1,0)),Assumptions!$B$10))</f>
        <v>28390.694740059273</v>
      </c>
      <c r="R44" s="30">
        <f>IF(R$5&gt;$B44,0,INDEX(Decrements!$G$6:$G$58,Census!$G44+R$5-18)/INDEX(Decrements!$G$6:$G$58,Census!$G44-17)*(INDEX(Decrements!$D$6:$D$58,Census!$G44+R$5-18)+IF(R$5=$B44,INDEX(Decrements!$F$6:$F$58,Census!$G44+R$5-18),0)+INDEX(Decrements!$E$6:$E$58,Census!$G44+R$5-18)*IF((Census!$F44+R$5)&gt;=Assumptions!$B$11,1,0))*MIN(15/26*Census!$D44*(1+Assumptions!$B$9)^R$5*(INT((Census!$F44+R$5))+IF((Census!$F44+R$5)-INT((Census!$F44+R$5))&gt;0.5,1,0)),Assumptions!$B$10))</f>
        <v>16584.09039474386</v>
      </c>
      <c r="S44" s="30">
        <f>IF(S$5&gt;$B44,0,INDEX(Decrements!$G$6:$G$58,Census!$G44+S$5-18)/INDEX(Decrements!$G$6:$G$58,Census!$G44-17)*(INDEX(Decrements!$D$6:$D$58,Census!$G44+S$5-18)+IF(S$5=$B44,INDEX(Decrements!$F$6:$F$58,Census!$G44+S$5-18),0)+INDEX(Decrements!$E$6:$E$58,Census!$G44+S$5-18)*IF((Census!$F44+S$5)&gt;=Assumptions!$B$11,1,0))*MIN(15/26*Census!$D44*(1+Assumptions!$B$9)^S$5*(INT((Census!$F44+S$5))+IF((Census!$F44+S$5)-INT((Census!$F44+S$5))&gt;0.5,1,0)),Assumptions!$B$10))</f>
        <v>16793.187213616671</v>
      </c>
      <c r="T44" s="30">
        <f>IF(T$5&gt;$B44,0,INDEX(Decrements!$G$6:$G$58,Census!$G44+T$5-18)/INDEX(Decrements!$G$6:$G$58,Census!$G44-17)*(INDEX(Decrements!$D$6:$D$58,Census!$G44+T$5-18)+IF(T$5=$B44,INDEX(Decrements!$F$6:$F$58,Census!$G44+T$5-18),0)+INDEX(Decrements!$E$6:$E$58,Census!$G44+T$5-18)*IF((Census!$F44+T$5)&gt;=Assumptions!$B$11,1,0))*MIN(15/26*Census!$D44*(1+Assumptions!$B$9)^T$5*(INT((Census!$F44+T$5))+IF((Census!$F44+T$5)-INT((Census!$F44+T$5))&gt;0.5,1,0)),Assumptions!$B$10))</f>
        <v>17029.950093227606</v>
      </c>
      <c r="U44" s="30">
        <f>IF(U$5&gt;$B44,0,INDEX(Decrements!$G$6:$G$58,Census!$G44+U$5-18)/INDEX(Decrements!$G$6:$G$58,Census!$G44-17)*(INDEX(Decrements!$D$6:$D$58,Census!$G44+U$5-18)+IF(U$5=$B44,INDEX(Decrements!$F$6:$F$58,Census!$G44+U$5-18),0)+INDEX(Decrements!$E$6:$E$58,Census!$G44+U$5-18)*IF((Census!$F44+U$5)&gt;=Assumptions!$B$11,1,0))*MIN(15/26*Census!$D44*(1+Assumptions!$B$9)^U$5*(INT((Census!$F44+U$5))+IF((Census!$F44+U$5)-INT((Census!$F44+U$5))&gt;0.5,1,0)),Assumptions!$B$10))</f>
        <v>17295.988196283364</v>
      </c>
      <c r="V44" s="30">
        <f>IF(V$5&gt;$B44,0,INDEX(Decrements!$G$6:$G$58,Census!$G44+V$5-18)/INDEX(Decrements!$G$6:$G$58,Census!$G44-17)*(INDEX(Decrements!$D$6:$D$58,Census!$G44+V$5-18)+IF(V$5=$B44,INDEX(Decrements!$F$6:$F$58,Census!$G44+V$5-18),0)+INDEX(Decrements!$E$6:$E$58,Census!$G44+V$5-18)*IF((Census!$F44+V$5)&gt;=Assumptions!$B$11,1,0))*MIN(15/26*Census!$D44*(1+Assumptions!$B$9)^V$5*(INT((Census!$F44+V$5))+IF((Census!$F44+V$5)-INT((Census!$F44+V$5))&gt;0.5,1,0)),Assumptions!$B$10))</f>
        <v>1090877.8039316267</v>
      </c>
      <c r="W44" s="30">
        <f>IF(W$5&gt;$B44,0,INDEX(Decrements!$G$6:$G$58,Census!$G44+W$5-18)/INDEX(Decrements!$G$6:$G$58,Census!$G44-17)*(INDEX(Decrements!$D$6:$D$58,Census!$G44+W$5-18)+IF(W$5=$B44,INDEX(Decrements!$F$6:$F$58,Census!$G44+W$5-18),0)+INDEX(Decrements!$E$6:$E$58,Census!$G44+W$5-18)*IF((Census!$F44+W$5)&gt;=Assumptions!$B$11,1,0))*MIN(15/26*Census!$D44*(1+Assumptions!$B$9)^W$5*(INT((Census!$F44+W$5))+IF((Census!$F44+W$5)-INT((Census!$F44+W$5))&gt;0.5,1,0)),Assumptions!$B$10))</f>
        <v>0</v>
      </c>
      <c r="X44" s="30">
        <f>IF(X$5&gt;$B44,0,INDEX(Decrements!$G$6:$G$58,Census!$G44+X$5-18)/INDEX(Decrements!$G$6:$G$58,Census!$G44-17)*(INDEX(Decrements!$D$6:$D$58,Census!$G44+X$5-18)+IF(X$5=$B44,INDEX(Decrements!$F$6:$F$58,Census!$G44+X$5-18),0)+INDEX(Decrements!$E$6:$E$58,Census!$G44+X$5-18)*IF((Census!$F44+X$5)&gt;=Assumptions!$B$11,1,0))*MIN(15/26*Census!$D44*(1+Assumptions!$B$9)^X$5*(INT((Census!$F44+X$5))+IF((Census!$F44+X$5)-INT((Census!$F44+X$5))&gt;0.5,1,0)),Assumptions!$B$10))</f>
        <v>0</v>
      </c>
      <c r="Y44" s="30">
        <f>IF(Y$5&gt;$B44,0,INDEX(Decrements!$G$6:$G$58,Census!$G44+Y$5-18)/INDEX(Decrements!$G$6:$G$58,Census!$G44-17)*(INDEX(Decrements!$D$6:$D$58,Census!$G44+Y$5-18)+IF(Y$5=$B44,INDEX(Decrements!$F$6:$F$58,Census!$G44+Y$5-18),0)+INDEX(Decrements!$E$6:$E$58,Census!$G44+Y$5-18)*IF((Census!$F44+Y$5)&gt;=Assumptions!$B$11,1,0))*MIN(15/26*Census!$D44*(1+Assumptions!$B$9)^Y$5*(INT((Census!$F44+Y$5))+IF((Census!$F44+Y$5)-INT((Census!$F44+Y$5))&gt;0.5,1,0)),Assumptions!$B$10))</f>
        <v>0</v>
      </c>
      <c r="Z44" s="30">
        <f>IF(Z$5&gt;$B44,0,INDEX(Decrements!$G$6:$G$58,Census!$G44+Z$5-18)/INDEX(Decrements!$G$6:$G$58,Census!$G44-17)*(INDEX(Decrements!$D$6:$D$58,Census!$G44+Z$5-18)+IF(Z$5=$B44,INDEX(Decrements!$F$6:$F$58,Census!$G44+Z$5-18),0)+INDEX(Decrements!$E$6:$E$58,Census!$G44+Z$5-18)*IF((Census!$F44+Z$5)&gt;=Assumptions!$B$11,1,0))*MIN(15/26*Census!$D44*(1+Assumptions!$B$9)^Z$5*(INT((Census!$F44+Z$5))+IF((Census!$F44+Z$5)-INT((Census!$F44+Z$5))&gt;0.5,1,0)),Assumptions!$B$10))</f>
        <v>0</v>
      </c>
      <c r="AA44" s="30">
        <f>IF(AA$5&gt;$B44,0,INDEX(Decrements!$G$6:$G$58,Census!$G44+AA$5-18)/INDEX(Decrements!$G$6:$G$58,Census!$G44-17)*(INDEX(Decrements!$D$6:$D$58,Census!$G44+AA$5-18)+IF(AA$5=$B44,INDEX(Decrements!$F$6:$F$58,Census!$G44+AA$5-18),0)+INDEX(Decrements!$E$6:$E$58,Census!$G44+AA$5-18)*IF((Census!$F44+AA$5)&gt;=Assumptions!$B$11,1,0))*MIN(15/26*Census!$D44*(1+Assumptions!$B$9)^AA$5*(INT((Census!$F44+AA$5))+IF((Census!$F44+AA$5)-INT((Census!$F44+AA$5))&gt;0.5,1,0)),Assumptions!$B$10))</f>
        <v>0</v>
      </c>
      <c r="AB44" s="30">
        <f>IF(AB$5&gt;$B44,0,INDEX(Decrements!$G$6:$G$58,Census!$G44+AB$5-18)/INDEX(Decrements!$G$6:$G$58,Census!$G44-17)*(INDEX(Decrements!$D$6:$D$58,Census!$G44+AB$5-18)+IF(AB$5=$B44,INDEX(Decrements!$F$6:$F$58,Census!$G44+AB$5-18),0)+INDEX(Decrements!$E$6:$E$58,Census!$G44+AB$5-18)*IF((Census!$F44+AB$5)&gt;=Assumptions!$B$11,1,0))*MIN(15/26*Census!$D44*(1+Assumptions!$B$9)^AB$5*(INT((Census!$F44+AB$5))+IF((Census!$F44+AB$5)-INT((Census!$F44+AB$5))&gt;0.5,1,0)),Assumptions!$B$10))</f>
        <v>0</v>
      </c>
      <c r="AC44" s="30">
        <f>IF(AC$5&gt;$B44,0,INDEX(Decrements!$G$6:$G$58,Census!$G44+AC$5-18)/INDEX(Decrements!$G$6:$G$58,Census!$G44-17)*(INDEX(Decrements!$D$6:$D$58,Census!$G44+AC$5-18)+IF(AC$5=$B44,INDEX(Decrements!$F$6:$F$58,Census!$G44+AC$5-18),0)+INDEX(Decrements!$E$6:$E$58,Census!$G44+AC$5-18)*IF((Census!$F44+AC$5)&gt;=Assumptions!$B$11,1,0))*MIN(15/26*Census!$D44*(1+Assumptions!$B$9)^AC$5*(INT((Census!$F44+AC$5))+IF((Census!$F44+AC$5)-INT((Census!$F44+AC$5))&gt;0.5,1,0)),Assumptions!$B$10))</f>
        <v>0</v>
      </c>
      <c r="AD44" s="30">
        <f>IF(AD$5&gt;$B44,0,INDEX(Decrements!$G$6:$G$58,Census!$G44+AD$5-18)/INDEX(Decrements!$G$6:$G$58,Census!$G44-17)*(INDEX(Decrements!$D$6:$D$58,Census!$G44+AD$5-18)+IF(AD$5=$B44,INDEX(Decrements!$F$6:$F$58,Census!$G44+AD$5-18),0)+INDEX(Decrements!$E$6:$E$58,Census!$G44+AD$5-18)*IF((Census!$F44+AD$5)&gt;=Assumptions!$B$11,1,0))*MIN(15/26*Census!$D44*(1+Assumptions!$B$9)^AD$5*(INT((Census!$F44+AD$5))+IF((Census!$F44+AD$5)-INT((Census!$F44+AD$5))&gt;0.5,1,0)),Assumptions!$B$10))</f>
        <v>0</v>
      </c>
      <c r="AE44" s="30">
        <f>IF(AE$5&gt;$B44,0,INDEX(Decrements!$G$6:$G$58,Census!$G44+AE$5-18)/INDEX(Decrements!$G$6:$G$58,Census!$G44-17)*(INDEX(Decrements!$D$6:$D$58,Census!$G44+AE$5-18)+IF(AE$5=$B44,INDEX(Decrements!$F$6:$F$58,Census!$G44+AE$5-18),0)+INDEX(Decrements!$E$6:$E$58,Census!$G44+AE$5-18)*IF((Census!$F44+AE$5)&gt;=Assumptions!$B$11,1,0))*MIN(15/26*Census!$D44*(1+Assumptions!$B$9)^AE$5*(INT((Census!$F44+AE$5))+IF((Census!$F44+AE$5)-INT((Census!$F44+AE$5))&gt;0.5,1,0)),Assumptions!$B$10))</f>
        <v>0</v>
      </c>
      <c r="AF44" s="30">
        <f>IF(AF$5&gt;$B44,0,INDEX(Decrements!$G$6:$G$58,Census!$G44+AF$5-18)/INDEX(Decrements!$G$6:$G$58,Census!$G44-17)*(INDEX(Decrements!$D$6:$D$58,Census!$G44+AF$5-18)+IF(AF$5=$B44,INDEX(Decrements!$F$6:$F$58,Census!$G44+AF$5-18),0)+INDEX(Decrements!$E$6:$E$58,Census!$G44+AF$5-18)*IF((Census!$F44+AF$5)&gt;=Assumptions!$B$11,1,0))*MIN(15/26*Census!$D44*(1+Assumptions!$B$9)^AF$5*(INT((Census!$F44+AF$5))+IF((Census!$F44+AF$5)-INT((Census!$F44+AF$5))&gt;0.5,1,0)),Assumptions!$B$10))</f>
        <v>0</v>
      </c>
      <c r="AG44" s="30">
        <f>IF(AG$5&gt;$B44,0,INDEX(Decrements!$G$6:$G$58,Census!$G44+AG$5-18)/INDEX(Decrements!$G$6:$G$58,Census!$G44-17)*(INDEX(Decrements!$D$6:$D$58,Census!$G44+AG$5-18)+IF(AG$5=$B44,INDEX(Decrements!$F$6:$F$58,Census!$G44+AG$5-18),0)+INDEX(Decrements!$E$6:$E$58,Census!$G44+AG$5-18)*IF((Census!$F44+AG$5)&gt;=Assumptions!$B$11,1,0))*MIN(15/26*Census!$D44*(1+Assumptions!$B$9)^AG$5*(INT((Census!$F44+AG$5))+IF((Census!$F44+AG$5)-INT((Census!$F44+AG$5))&gt;0.5,1,0)),Assumptions!$B$10))</f>
        <v>0</v>
      </c>
      <c r="AH44" s="30">
        <f>IF(AH$5&gt;$B44,0,INDEX(Decrements!$G$6:$G$58,Census!$G44+AH$5-18)/INDEX(Decrements!$G$6:$G$58,Census!$G44-17)*(INDEX(Decrements!$D$6:$D$58,Census!$G44+AH$5-18)+IF(AH$5=$B44,INDEX(Decrements!$F$6:$F$58,Census!$G44+AH$5-18),0)+INDEX(Decrements!$E$6:$E$58,Census!$G44+AH$5-18)*IF((Census!$F44+AH$5)&gt;=Assumptions!$B$11,1,0))*MIN(15/26*Census!$D44*(1+Assumptions!$B$9)^AH$5*(INT((Census!$F44+AH$5))+IF((Census!$F44+AH$5)-INT((Census!$F44+AH$5))&gt;0.5,1,0)),Assumptions!$B$10))</f>
        <v>0</v>
      </c>
      <c r="AI44" s="30">
        <f>IF(AI$5&gt;$B44,0,INDEX(Decrements!$G$6:$G$58,Census!$G44+AI$5-18)/INDEX(Decrements!$G$6:$G$58,Census!$G44-17)*(INDEX(Decrements!$D$6:$D$58,Census!$G44+AI$5-18)+IF(AI$5=$B44,INDEX(Decrements!$F$6:$F$58,Census!$G44+AI$5-18),0)+INDEX(Decrements!$E$6:$E$58,Census!$G44+AI$5-18)*IF((Census!$F44+AI$5)&gt;=Assumptions!$B$11,1,0))*MIN(15/26*Census!$D44*(1+Assumptions!$B$9)^AI$5*(INT((Census!$F44+AI$5))+IF((Census!$F44+AI$5)-INT((Census!$F44+AI$5))&gt;0.5,1,0)),Assumptions!$B$10))</f>
        <v>0</v>
      </c>
      <c r="AJ44" s="30">
        <f>IF(AJ$5&gt;$B44,0,INDEX(Decrements!$G$6:$G$58,Census!$G44+AJ$5-18)/INDEX(Decrements!$G$6:$G$58,Census!$G44-17)*(INDEX(Decrements!$D$6:$D$58,Census!$G44+AJ$5-18)+IF(AJ$5=$B44,INDEX(Decrements!$F$6:$F$58,Census!$G44+AJ$5-18),0)+INDEX(Decrements!$E$6:$E$58,Census!$G44+AJ$5-18)*IF((Census!$F44+AJ$5)&gt;=Assumptions!$B$11,1,0))*MIN(15/26*Census!$D44*(1+Assumptions!$B$9)^AJ$5*(INT((Census!$F44+AJ$5))+IF((Census!$F44+AJ$5)-INT((Census!$F44+AJ$5))&gt;0.5,1,0)),Assumptions!$B$10))</f>
        <v>0</v>
      </c>
      <c r="AK44" s="30">
        <f>IF(AK$5&gt;$B44,0,INDEX(Decrements!$G$6:$G$58,Census!$G44+AK$5-18)/INDEX(Decrements!$G$6:$G$58,Census!$G44-17)*(INDEX(Decrements!$D$6:$D$58,Census!$G44+AK$5-18)+IF(AK$5=$B44,INDEX(Decrements!$F$6:$F$58,Census!$G44+AK$5-18),0)+INDEX(Decrements!$E$6:$E$58,Census!$G44+AK$5-18)*IF((Census!$F44+AK$5)&gt;=Assumptions!$B$11,1,0))*MIN(15/26*Census!$D44*(1+Assumptions!$B$9)^AK$5*(INT((Census!$F44+AK$5))+IF((Census!$F44+AK$5)-INT((Census!$F44+AK$5))&gt;0.5,1,0)),Assumptions!$B$10))</f>
        <v>0</v>
      </c>
      <c r="AL44" s="30">
        <f>IF(AL$5&gt;$B44,0,INDEX(Decrements!$G$6:$G$58,Census!$G44+AL$5-18)/INDEX(Decrements!$G$6:$G$58,Census!$G44-17)*(INDEX(Decrements!$D$6:$D$58,Census!$G44+AL$5-18)+IF(AL$5=$B44,INDEX(Decrements!$F$6:$F$58,Census!$G44+AL$5-18),0)+INDEX(Decrements!$E$6:$E$58,Census!$G44+AL$5-18)*IF((Census!$F44+AL$5)&gt;=Assumptions!$B$11,1,0))*MIN(15/26*Census!$D44*(1+Assumptions!$B$9)^AL$5*(INT((Census!$F44+AL$5))+IF((Census!$F44+AL$5)-INT((Census!$F44+AL$5))&gt;0.5,1,0)),Assumptions!$B$10))</f>
        <v>0</v>
      </c>
      <c r="AM44" s="30">
        <f>IF(AM$5&gt;$B44,0,INDEX(Decrements!$G$6:$G$58,Census!$G44+AM$5-18)/INDEX(Decrements!$G$6:$G$58,Census!$G44-17)*(INDEX(Decrements!$D$6:$D$58,Census!$G44+AM$5-18)+IF(AM$5=$B44,INDEX(Decrements!$F$6:$F$58,Census!$G44+AM$5-18),0)+INDEX(Decrements!$E$6:$E$58,Census!$G44+AM$5-18)*IF((Census!$F44+AM$5)&gt;=Assumptions!$B$11,1,0))*MIN(15/26*Census!$D44*(1+Assumptions!$B$9)^AM$5*(INT((Census!$F44+AM$5))+IF((Census!$F44+AM$5)-INT((Census!$F44+AM$5))&gt;0.5,1,0)),Assumptions!$B$10))</f>
        <v>0</v>
      </c>
      <c r="AN44" s="30">
        <f>IF(AN$5&gt;$B44,0,INDEX(Decrements!$G$6:$G$58,Census!$G44+AN$5-18)/INDEX(Decrements!$G$6:$G$58,Census!$G44-17)*(INDEX(Decrements!$D$6:$D$58,Census!$G44+AN$5-18)+IF(AN$5=$B44,INDEX(Decrements!$F$6:$F$58,Census!$G44+AN$5-18),0)+INDEX(Decrements!$E$6:$E$58,Census!$G44+AN$5-18)*IF((Census!$F44+AN$5)&gt;=Assumptions!$B$11,1,0))*MIN(15/26*Census!$D44*(1+Assumptions!$B$9)^AN$5*(INT((Census!$F44+AN$5))+IF((Census!$F44+AN$5)-INT((Census!$F44+AN$5))&gt;0.5,1,0)),Assumptions!$B$10))</f>
        <v>0</v>
      </c>
      <c r="AO44" s="30">
        <f>IF(AO$5&gt;$B44,0,INDEX(Decrements!$G$6:$G$58,Census!$G44+AO$5-18)/INDEX(Decrements!$G$6:$G$58,Census!$G44-17)*(INDEX(Decrements!$D$6:$D$58,Census!$G44+AO$5-18)+IF(AO$5=$B44,INDEX(Decrements!$F$6:$F$58,Census!$G44+AO$5-18),0)+INDEX(Decrements!$E$6:$E$58,Census!$G44+AO$5-18)*IF((Census!$F44+AO$5)&gt;=Assumptions!$B$11,1,0))*MIN(15/26*Census!$D44*(1+Assumptions!$B$9)^AO$5*(INT((Census!$F44+AO$5))+IF((Census!$F44+AO$5)-INT((Census!$F44+AO$5))&gt;0.5,1,0)),Assumptions!$B$10))</f>
        <v>0</v>
      </c>
      <c r="AP44" s="30">
        <f>IF(AP$5&gt;$B44,0,INDEX(Decrements!$G$6:$G$58,Census!$G44+AP$5-18)/INDEX(Decrements!$G$6:$G$58,Census!$G44-17)*(INDEX(Decrements!$D$6:$D$58,Census!$G44+AP$5-18)+IF(AP$5=$B44,INDEX(Decrements!$F$6:$F$58,Census!$G44+AP$5-18),0)+INDEX(Decrements!$E$6:$E$58,Census!$G44+AP$5-18)*IF((Census!$F44+AP$5)&gt;=Assumptions!$B$11,1,0))*MIN(15/26*Census!$D44*(1+Assumptions!$B$9)^AP$5*(INT((Census!$F44+AP$5))+IF((Census!$F44+AP$5)-INT((Census!$F44+AP$5))&gt;0.5,1,0)),Assumptions!$B$10))</f>
        <v>0</v>
      </c>
      <c r="AQ44" s="30">
        <f>IF(AQ$5&gt;$B44,0,INDEX(Decrements!$G$6:$G$58,Census!$G44+AQ$5-18)/INDEX(Decrements!$G$6:$G$58,Census!$G44-17)*(INDEX(Decrements!$D$6:$D$58,Census!$G44+AQ$5-18)+IF(AQ$5=$B44,INDEX(Decrements!$F$6:$F$58,Census!$G44+AQ$5-18),0)+INDEX(Decrements!$E$6:$E$58,Census!$G44+AQ$5-18)*IF((Census!$F44+AQ$5)&gt;=Assumptions!$B$11,1,0))*MIN(15/26*Census!$D44*(1+Assumptions!$B$9)^AQ$5*(INT((Census!$F44+AQ$5))+IF((Census!$F44+AQ$5)-INT((Census!$F44+AQ$5))&gt;0.5,1,0)),Assumptions!$B$10))</f>
        <v>0</v>
      </c>
      <c r="AR44" s="30">
        <f>IF(AR$5&gt;$B44,0,INDEX(Decrements!$G$6:$G$58,Census!$G44+AR$5-18)/INDEX(Decrements!$G$6:$G$58,Census!$G44-17)*(INDEX(Decrements!$D$6:$D$58,Census!$G44+AR$5-18)+IF(AR$5=$B44,INDEX(Decrements!$F$6:$F$58,Census!$G44+AR$5-18),0)+INDEX(Decrements!$E$6:$E$58,Census!$G44+AR$5-18)*IF((Census!$F44+AR$5)&gt;=Assumptions!$B$11,1,0))*MIN(15/26*Census!$D44*(1+Assumptions!$B$9)^AR$5*(INT((Census!$F44+AR$5))+IF((Census!$F44+AR$5)-INT((Census!$F44+AR$5))&gt;0.5,1,0)),Assumptions!$B$10))</f>
        <v>0</v>
      </c>
      <c r="AS44" s="30">
        <f>IF(AS$5&gt;$B44,0,INDEX(Decrements!$G$6:$G$58,Census!$G44+AS$5-18)/INDEX(Decrements!$G$6:$G$58,Census!$G44-17)*(INDEX(Decrements!$D$6:$D$58,Census!$G44+AS$5-18)+IF(AS$5=$B44,INDEX(Decrements!$F$6:$F$58,Census!$G44+AS$5-18),0)+INDEX(Decrements!$E$6:$E$58,Census!$G44+AS$5-18)*IF((Census!$F44+AS$5)&gt;=Assumptions!$B$11,1,0))*MIN(15/26*Census!$D44*(1+Assumptions!$B$9)^AS$5*(INT((Census!$F44+AS$5))+IF((Census!$F44+AS$5)-INT((Census!$F44+AS$5))&gt;0.5,1,0)),Assumptions!$B$10))</f>
        <v>0</v>
      </c>
      <c r="AT44" s="30">
        <f>IF(AT$5&gt;$B44,0,INDEX(Decrements!$G$6:$G$58,Census!$G44+AT$5-18)/INDEX(Decrements!$G$6:$G$58,Census!$G44-17)*(INDEX(Decrements!$D$6:$D$58,Census!$G44+AT$5-18)+IF(AT$5=$B44,INDEX(Decrements!$F$6:$F$58,Census!$G44+AT$5-18),0)+INDEX(Decrements!$E$6:$E$58,Census!$G44+AT$5-18)*IF((Census!$F44+AT$5)&gt;=Assumptions!$B$11,1,0))*MIN(15/26*Census!$D44*(1+Assumptions!$B$9)^AT$5*(INT((Census!$F44+AT$5))+IF((Census!$F44+AT$5)-INT((Census!$F44+AT$5))&gt;0.5,1,0)),Assumptions!$B$10))</f>
        <v>0</v>
      </c>
      <c r="AU44" s="30">
        <f>IF(AU$5&gt;$B44,0,INDEX(Decrements!$G$6:$G$58,Census!$G44+AU$5-18)/INDEX(Decrements!$G$6:$G$58,Census!$G44-17)*(INDEX(Decrements!$D$6:$D$58,Census!$G44+AU$5-18)+IF(AU$5=$B44,INDEX(Decrements!$F$6:$F$58,Census!$G44+AU$5-18),0)+INDEX(Decrements!$E$6:$E$58,Census!$G44+AU$5-18)*IF((Census!$F44+AU$5)&gt;=Assumptions!$B$11,1,0))*MIN(15/26*Census!$D44*(1+Assumptions!$B$9)^AU$5*(INT((Census!$F44+AU$5))+IF((Census!$F44+AU$5)-INT((Census!$F44+AU$5))&gt;0.5,1,0)),Assumptions!$B$10))</f>
        <v>0</v>
      </c>
    </row>
    <row r="45" spans="1:47" x14ac:dyDescent="0.3">
      <c r="A45" s="10" t="str">
        <f>Census!A45</f>
        <v>E040</v>
      </c>
      <c r="B45" s="29">
        <f>Census!H45</f>
        <v>30</v>
      </c>
      <c r="C45" s="30">
        <f>IF(C$5&gt;$B45,0,INDEX(Decrements!$G$6:$G$58,Census!$G45+C$5-18)/INDEX(Decrements!$G$6:$G$58,Census!$G45-17)*(INDEX(Decrements!$D$6:$D$58,Census!$G45+C$5-18)+IF(C$5=$B45,INDEX(Decrements!$F$6:$F$58,Census!$G45+C$5-18),0)+INDEX(Decrements!$E$6:$E$58,Census!$G45+C$5-18)*IF((Census!$F45+C$5)&gt;=Assumptions!$B$11,1,0))*MIN(15/26*Census!$D45*(1+Assumptions!$B$9)^C$5*(INT((Census!$F45+C$5))+IF((Census!$F45+C$5)-INT((Census!$F45+C$5))&gt;0.5,1,0)),Assumptions!$B$10))</f>
        <v>39.097218469202907</v>
      </c>
      <c r="D45" s="30">
        <f>IF(D$5&gt;$B45,0,INDEX(Decrements!$G$6:$G$58,Census!$G45+D$5-18)/INDEX(Decrements!$G$6:$G$58,Census!$G45-17)*(INDEX(Decrements!$D$6:$D$58,Census!$G45+D$5-18)+IF(D$5=$B45,INDEX(Decrements!$F$6:$F$58,Census!$G45+D$5-18),0)+INDEX(Decrements!$E$6:$E$58,Census!$G45+D$5-18)*IF((Census!$F45+D$5)&gt;=Assumptions!$B$11,1,0))*MIN(15/26*Census!$D45*(1+Assumptions!$B$9)^D$5*(INT((Census!$F45+D$5))+IF((Census!$F45+D$5)-INT((Census!$F45+D$5))&gt;0.5,1,0)),Assumptions!$B$10))</f>
        <v>52.460519266576057</v>
      </c>
      <c r="E45" s="30">
        <f>IF(E$5&gt;$B45,0,INDEX(Decrements!$G$6:$G$58,Census!$G45+E$5-18)/INDEX(Decrements!$G$6:$G$58,Census!$G45-17)*(INDEX(Decrements!$D$6:$D$58,Census!$G45+E$5-18)+IF(E$5=$B45,INDEX(Decrements!$F$6:$F$58,Census!$G45+E$5-18),0)+INDEX(Decrements!$E$6:$E$58,Census!$G45+E$5-18)*IF((Census!$F45+E$5)&gt;=Assumptions!$B$11,1,0))*MIN(15/26*Census!$D45*(1+Assumptions!$B$9)^E$5*(INT((Census!$F45+E$5))+IF((Census!$F45+E$5)-INT((Census!$F45+E$5))&gt;0.5,1,0)),Assumptions!$B$10))</f>
        <v>9198.1269548847285</v>
      </c>
      <c r="F45" s="30">
        <f>IF(F$5&gt;$B45,0,INDEX(Decrements!$G$6:$G$58,Census!$G45+F$5-18)/INDEX(Decrements!$G$6:$G$58,Census!$G45-17)*(INDEX(Decrements!$D$6:$D$58,Census!$G45+F$5-18)+IF(F$5=$B45,INDEX(Decrements!$F$6:$F$58,Census!$G45+F$5-18),0)+INDEX(Decrements!$E$6:$E$58,Census!$G45+F$5-18)*IF((Census!$F45+F$5)&gt;=Assumptions!$B$11,1,0))*MIN(15/26*Census!$D45*(1+Assumptions!$B$9)^F$5*(INT((Census!$F45+F$5))+IF((Census!$F45+F$5)-INT((Census!$F45+F$5))&gt;0.5,1,0)),Assumptions!$B$10))</f>
        <v>10604.317943785576</v>
      </c>
      <c r="G45" s="30">
        <f>IF(G$5&gt;$B45,0,INDEX(Decrements!$G$6:$G$58,Census!$G45+G$5-18)/INDEX(Decrements!$G$6:$G$58,Census!$G45-17)*(INDEX(Decrements!$D$6:$D$58,Census!$G45+G$5-18)+IF(G$5=$B45,INDEX(Decrements!$F$6:$F$58,Census!$G45+G$5-18),0)+INDEX(Decrements!$E$6:$E$58,Census!$G45+G$5-18)*IF((Census!$F45+G$5)&gt;=Assumptions!$B$11,1,0))*MIN(15/26*Census!$D45*(1+Assumptions!$B$9)^G$5*(INT((Census!$F45+G$5))+IF((Census!$F45+G$5)-INT((Census!$F45+G$5))&gt;0.5,1,0)),Assumptions!$B$10))</f>
        <v>11885.781952351041</v>
      </c>
      <c r="H45" s="30">
        <f>IF(H$5&gt;$B45,0,INDEX(Decrements!$G$6:$G$58,Census!$G45+H$5-18)/INDEX(Decrements!$G$6:$G$58,Census!$G45-17)*(INDEX(Decrements!$D$6:$D$58,Census!$G45+H$5-18)+IF(H$5=$B45,INDEX(Decrements!$F$6:$F$58,Census!$G45+H$5-18),0)+INDEX(Decrements!$E$6:$E$58,Census!$G45+H$5-18)*IF((Census!$F45+H$5)&gt;=Assumptions!$B$11,1,0))*MIN(15/26*Census!$D45*(1+Assumptions!$B$9)^H$5*(INT((Census!$F45+H$5))+IF((Census!$F45+H$5)-INT((Census!$F45+H$5))&gt;0.5,1,0)),Assumptions!$B$10))</f>
        <v>9522.7305602269935</v>
      </c>
      <c r="I45" s="30">
        <f>IF(I$5&gt;$B45,0,INDEX(Decrements!$G$6:$G$58,Census!$G45+I$5-18)/INDEX(Decrements!$G$6:$G$58,Census!$G45-17)*(INDEX(Decrements!$D$6:$D$58,Census!$G45+I$5-18)+IF(I$5=$B45,INDEX(Decrements!$F$6:$F$58,Census!$G45+I$5-18),0)+INDEX(Decrements!$E$6:$E$58,Census!$G45+I$5-18)*IF((Census!$F45+I$5)&gt;=Assumptions!$B$11,1,0))*MIN(15/26*Census!$D45*(1+Assumptions!$B$9)^I$5*(INT((Census!$F45+I$5))+IF((Census!$F45+I$5)-INT((Census!$F45+I$5))&gt;0.5,1,0)),Assumptions!$B$10))</f>
        <v>10641.101676157834</v>
      </c>
      <c r="J45" s="30">
        <f>IF(J$5&gt;$B45,0,INDEX(Decrements!$G$6:$G$58,Census!$G45+J$5-18)/INDEX(Decrements!$G$6:$G$58,Census!$G45-17)*(INDEX(Decrements!$D$6:$D$58,Census!$G45+J$5-18)+IF(J$5=$B45,INDEX(Decrements!$F$6:$F$58,Census!$G45+J$5-18),0)+INDEX(Decrements!$E$6:$E$58,Census!$G45+J$5-18)*IF((Census!$F45+J$5)&gt;=Assumptions!$B$11,1,0))*MIN(15/26*Census!$D45*(1+Assumptions!$B$9)^J$5*(INT((Census!$F45+J$5))+IF((Census!$F45+J$5)-INT((Census!$F45+J$5))&gt;0.5,1,0)),Assumptions!$B$10))</f>
        <v>11744.103875527018</v>
      </c>
      <c r="K45" s="30">
        <f>IF(K$5&gt;$B45,0,INDEX(Decrements!$G$6:$G$58,Census!$G45+K$5-18)/INDEX(Decrements!$G$6:$G$58,Census!$G45-17)*(INDEX(Decrements!$D$6:$D$58,Census!$G45+K$5-18)+IF(K$5=$B45,INDEX(Decrements!$F$6:$F$58,Census!$G45+K$5-18),0)+INDEX(Decrements!$E$6:$E$58,Census!$G45+K$5-18)*IF((Census!$F45+K$5)&gt;=Assumptions!$B$11,1,0))*MIN(15/26*Census!$D45*(1+Assumptions!$B$9)^K$5*(INT((Census!$F45+K$5))+IF((Census!$F45+K$5)-INT((Census!$F45+K$5))&gt;0.5,1,0)),Assumptions!$B$10))</f>
        <v>12831.926623891861</v>
      </c>
      <c r="L45" s="30">
        <f>IF(L$5&gt;$B45,0,INDEX(Decrements!$G$6:$G$58,Census!$G45+L$5-18)/INDEX(Decrements!$G$6:$G$58,Census!$G45-17)*(INDEX(Decrements!$D$6:$D$58,Census!$G45+L$5-18)+IF(L$5=$B45,INDEX(Decrements!$F$6:$F$58,Census!$G45+L$5-18),0)+INDEX(Decrements!$E$6:$E$58,Census!$G45+L$5-18)*IF((Census!$F45+L$5)&gt;=Assumptions!$B$11,1,0))*MIN(15/26*Census!$D45*(1+Assumptions!$B$9)^L$5*(INT((Census!$F45+L$5))+IF((Census!$F45+L$5)-INT((Census!$F45+L$5))&gt;0.5,1,0)),Assumptions!$B$10))</f>
        <v>13904.76051793955</v>
      </c>
      <c r="M45" s="30">
        <f>IF(M$5&gt;$B45,0,INDEX(Decrements!$G$6:$G$58,Census!$G45+M$5-18)/INDEX(Decrements!$G$6:$G$58,Census!$G45-17)*(INDEX(Decrements!$D$6:$D$58,Census!$G45+M$5-18)+IF(M$5=$B45,INDEX(Decrements!$F$6:$F$58,Census!$G45+M$5-18),0)+INDEX(Decrements!$E$6:$E$58,Census!$G45+M$5-18)*IF((Census!$F45+M$5)&gt;=Assumptions!$B$11,1,0))*MIN(15/26*Census!$D45*(1+Assumptions!$B$9)^M$5*(INT((Census!$F45+M$5))+IF((Census!$F45+M$5)-INT((Census!$F45+M$5))&gt;0.5,1,0)),Assumptions!$B$10))</f>
        <v>9444.9067058225974</v>
      </c>
      <c r="N45" s="30">
        <f>IF(N$5&gt;$B45,0,INDEX(Decrements!$G$6:$G$58,Census!$G45+N$5-18)/INDEX(Decrements!$G$6:$G$58,Census!$G45-17)*(INDEX(Decrements!$D$6:$D$58,Census!$G45+N$5-18)+IF(N$5=$B45,INDEX(Decrements!$F$6:$F$58,Census!$G45+N$5-18),0)+INDEX(Decrements!$E$6:$E$58,Census!$G45+N$5-18)*IF((Census!$F45+N$5)&gt;=Assumptions!$B$11,1,0))*MIN(15/26*Census!$D45*(1+Assumptions!$B$9)^N$5*(INT((Census!$F45+N$5))+IF((Census!$F45+N$5)-INT((Census!$F45+N$5))&gt;0.5,1,0)),Assumptions!$B$10))</f>
        <v>10440.129726603738</v>
      </c>
      <c r="O45" s="30">
        <f>IF(O$5&gt;$B45,0,INDEX(Decrements!$G$6:$G$58,Census!$G45+O$5-18)/INDEX(Decrements!$G$6:$G$58,Census!$G45-17)*(INDEX(Decrements!$D$6:$D$58,Census!$G45+O$5-18)+IF(O$5=$B45,INDEX(Decrements!$F$6:$F$58,Census!$G45+O$5-18),0)+INDEX(Decrements!$E$6:$E$58,Census!$G45+O$5-18)*IF((Census!$F45+O$5)&gt;=Assumptions!$B$11,1,0))*MIN(15/26*Census!$D45*(1+Assumptions!$B$9)^O$5*(INT((Census!$F45+O$5))+IF((Census!$F45+O$5)-INT((Census!$F45+O$5))&gt;0.5,1,0)),Assumptions!$B$10))</f>
        <v>11482.224166916585</v>
      </c>
      <c r="P45" s="30">
        <f>IF(P$5&gt;$B45,0,INDEX(Decrements!$G$6:$G$58,Census!$G45+P$5-18)/INDEX(Decrements!$G$6:$G$58,Census!$G45-17)*(INDEX(Decrements!$D$6:$D$58,Census!$G45+P$5-18)+IF(P$5=$B45,INDEX(Decrements!$F$6:$F$58,Census!$G45+P$5-18),0)+INDEX(Decrements!$E$6:$E$58,Census!$G45+P$5-18)*IF((Census!$F45+P$5)&gt;=Assumptions!$B$11,1,0))*MIN(15/26*Census!$D45*(1+Assumptions!$B$9)^P$5*(INT((Census!$F45+P$5))+IF((Census!$F45+P$5)-INT((Census!$F45+P$5))&gt;0.5,1,0)),Assumptions!$B$10))</f>
        <v>12573.263402292958</v>
      </c>
      <c r="Q45" s="30">
        <f>IF(Q$5&gt;$B45,0,INDEX(Decrements!$G$6:$G$58,Census!$G45+Q$5-18)/INDEX(Decrements!$G$6:$G$58,Census!$G45-17)*(INDEX(Decrements!$D$6:$D$58,Census!$G45+Q$5-18)+IF(Q$5=$B45,INDEX(Decrements!$F$6:$F$58,Census!$G45+Q$5-18),0)+INDEX(Decrements!$E$6:$E$58,Census!$G45+Q$5-18)*IF((Census!$F45+Q$5)&gt;=Assumptions!$B$11,1,0))*MIN(15/26*Census!$D45*(1+Assumptions!$B$9)^Q$5*(INT((Census!$F45+Q$5))+IF((Census!$F45+Q$5)-INT((Census!$F45+Q$5))&gt;0.5,1,0)),Assumptions!$B$10))</f>
        <v>13715.442475455566</v>
      </c>
      <c r="R45" s="30">
        <f>IF(R$5&gt;$B45,0,INDEX(Decrements!$G$6:$G$58,Census!$G45+R$5-18)/INDEX(Decrements!$G$6:$G$58,Census!$G45-17)*(INDEX(Decrements!$D$6:$D$58,Census!$G45+R$5-18)+IF(R$5=$B45,INDEX(Decrements!$F$6:$F$58,Census!$G45+R$5-18),0)+INDEX(Decrements!$E$6:$E$58,Census!$G45+R$5-18)*IF((Census!$F45+R$5)&gt;=Assumptions!$B$11,1,0))*MIN(15/26*Census!$D45*(1+Assumptions!$B$9)^R$5*(INT((Census!$F45+R$5))+IF((Census!$F45+R$5)-INT((Census!$F45+R$5))&gt;0.5,1,0)),Assumptions!$B$10))</f>
        <v>9168.479396370325</v>
      </c>
      <c r="S45" s="30">
        <f>IF(S$5&gt;$B45,0,INDEX(Decrements!$G$6:$G$58,Census!$G45+S$5-18)/INDEX(Decrements!$G$6:$G$58,Census!$G45-17)*(INDEX(Decrements!$D$6:$D$58,Census!$G45+S$5-18)+IF(S$5=$B45,INDEX(Decrements!$F$6:$F$58,Census!$G45+S$5-18),0)+INDEX(Decrements!$E$6:$E$58,Census!$G45+S$5-18)*IF((Census!$F45+S$5)&gt;=Assumptions!$B$11,1,0))*MIN(15/26*Census!$D45*(1+Assumptions!$B$9)^S$5*(INT((Census!$F45+S$5))+IF((Census!$F45+S$5)-INT((Census!$F45+S$5))&gt;0.5,1,0)),Assumptions!$B$10))</f>
        <v>10165.973699929324</v>
      </c>
      <c r="T45" s="30">
        <f>IF(T$5&gt;$B45,0,INDEX(Decrements!$G$6:$G$58,Census!$G45+T$5-18)/INDEX(Decrements!$G$6:$G$58,Census!$G45-17)*(INDEX(Decrements!$D$6:$D$58,Census!$G45+T$5-18)+IF(T$5=$B45,INDEX(Decrements!$F$6:$F$58,Census!$G45+T$5-18),0)+INDEX(Decrements!$E$6:$E$58,Census!$G45+T$5-18)*IF((Census!$F45+T$5)&gt;=Assumptions!$B$11,1,0))*MIN(15/26*Census!$D45*(1+Assumptions!$B$9)^T$5*(INT((Census!$F45+T$5))+IF((Census!$F45+T$5)-INT((Census!$F45+T$5))&gt;0.5,1,0)),Assumptions!$B$10))</f>
        <v>11243.971904298256</v>
      </c>
      <c r="U45" s="30">
        <f>IF(U$5&gt;$B45,0,INDEX(Decrements!$G$6:$G$58,Census!$G45+U$5-18)/INDEX(Decrements!$G$6:$G$58,Census!$G45-17)*(INDEX(Decrements!$D$6:$D$58,Census!$G45+U$5-18)+IF(U$5=$B45,INDEX(Decrements!$F$6:$F$58,Census!$G45+U$5-18),0)+INDEX(Decrements!$E$6:$E$58,Census!$G45+U$5-18)*IF((Census!$F45+U$5)&gt;=Assumptions!$B$11,1,0))*MIN(15/26*Census!$D45*(1+Assumptions!$B$9)^U$5*(INT((Census!$F45+U$5))+IF((Census!$F45+U$5)-INT((Census!$F45+U$5))&gt;0.5,1,0)),Assumptions!$B$10))</f>
        <v>12409.018172309528</v>
      </c>
      <c r="V45" s="30">
        <f>IF(V$5&gt;$B45,0,INDEX(Decrements!$G$6:$G$58,Census!$G45+V$5-18)/INDEX(Decrements!$G$6:$G$58,Census!$G45-17)*(INDEX(Decrements!$D$6:$D$58,Census!$G45+V$5-18)+IF(V$5=$B45,INDEX(Decrements!$F$6:$F$58,Census!$G45+V$5-18),0)+INDEX(Decrements!$E$6:$E$58,Census!$G45+V$5-18)*IF((Census!$F45+V$5)&gt;=Assumptions!$B$11,1,0))*MIN(15/26*Census!$D45*(1+Assumptions!$B$9)^V$5*(INT((Census!$F45+V$5))+IF((Census!$F45+V$5)-INT((Census!$F45+V$5))&gt;0.5,1,0)),Assumptions!$B$10))</f>
        <v>13668.28309165419</v>
      </c>
      <c r="W45" s="30">
        <f>IF(W$5&gt;$B45,0,INDEX(Decrements!$G$6:$G$58,Census!$G45+W$5-18)/INDEX(Decrements!$G$6:$G$58,Census!$G45-17)*(INDEX(Decrements!$D$6:$D$58,Census!$G45+W$5-18)+IF(W$5=$B45,INDEX(Decrements!$F$6:$F$58,Census!$G45+W$5-18),0)+INDEX(Decrements!$E$6:$E$58,Census!$G45+W$5-18)*IF((Census!$F45+W$5)&gt;=Assumptions!$B$11,1,0))*MIN(15/26*Census!$D45*(1+Assumptions!$B$9)^W$5*(INT((Census!$F45+W$5))+IF((Census!$F45+W$5)-INT((Census!$F45+W$5))&gt;0.5,1,0)),Assumptions!$B$10))</f>
        <v>10456.832656527993</v>
      </c>
      <c r="X45" s="30">
        <f>IF(X$5&gt;$B45,0,INDEX(Decrements!$G$6:$G$58,Census!$G45+X$5-18)/INDEX(Decrements!$G$6:$G$58,Census!$G45-17)*(INDEX(Decrements!$D$6:$D$58,Census!$G45+X$5-18)+IF(X$5=$B45,INDEX(Decrements!$F$6:$F$58,Census!$G45+X$5-18),0)+INDEX(Decrements!$E$6:$E$58,Census!$G45+X$5-18)*IF((Census!$F45+X$5)&gt;=Assumptions!$B$11,1,0))*MIN(15/26*Census!$D45*(1+Assumptions!$B$9)^X$5*(INT((Census!$F45+X$5))+IF((Census!$F45+X$5)-INT((Census!$F45+X$5))&gt;0.5,1,0)),Assumptions!$B$10))</f>
        <v>10698.685501007501</v>
      </c>
      <c r="Y45" s="30">
        <f>IF(Y$5&gt;$B45,0,INDEX(Decrements!$G$6:$G$58,Census!$G45+Y$5-18)/INDEX(Decrements!$G$6:$G$58,Census!$G45-17)*(INDEX(Decrements!$D$6:$D$58,Census!$G45+Y$5-18)+IF(Y$5=$B45,INDEX(Decrements!$F$6:$F$58,Census!$G45+Y$5-18),0)+INDEX(Decrements!$E$6:$E$58,Census!$G45+Y$5-18)*IF((Census!$F45+Y$5)&gt;=Assumptions!$B$11,1,0))*MIN(15/26*Census!$D45*(1+Assumptions!$B$9)^Y$5*(INT((Census!$F45+Y$5))+IF((Census!$F45+Y$5)-INT((Census!$F45+Y$5))&gt;0.5,1,0)),Assumptions!$B$10))</f>
        <v>10572.220483260417</v>
      </c>
      <c r="Z45" s="30">
        <f>IF(Z$5&gt;$B45,0,INDEX(Decrements!$G$6:$G$58,Census!$G45+Z$5-18)/INDEX(Decrements!$G$6:$G$58,Census!$G45-17)*(INDEX(Decrements!$D$6:$D$58,Census!$G45+Z$5-18)+IF(Z$5=$B45,INDEX(Decrements!$F$6:$F$58,Census!$G45+Z$5-18),0)+INDEX(Decrements!$E$6:$E$58,Census!$G45+Z$5-18)*IF((Census!$F45+Z$5)&gt;=Assumptions!$B$11,1,0))*MIN(15/26*Census!$D45*(1+Assumptions!$B$9)^Z$5*(INT((Census!$F45+Z$5))+IF((Census!$F45+Z$5)-INT((Census!$F45+Z$5))&gt;0.5,1,0)),Assumptions!$B$10))</f>
        <v>10454.762570127461</v>
      </c>
      <c r="AA45" s="30">
        <f>IF(AA$5&gt;$B45,0,INDEX(Decrements!$G$6:$G$58,Census!$G45+AA$5-18)/INDEX(Decrements!$G$6:$G$58,Census!$G45-17)*(INDEX(Decrements!$D$6:$D$58,Census!$G45+AA$5-18)+IF(AA$5=$B45,INDEX(Decrements!$F$6:$F$58,Census!$G45+AA$5-18),0)+INDEX(Decrements!$E$6:$E$58,Census!$G45+AA$5-18)*IF((Census!$F45+AA$5)&gt;=Assumptions!$B$11,1,0))*MIN(15/26*Census!$D45*(1+Assumptions!$B$9)^AA$5*(INT((Census!$F45+AA$5))+IF((Census!$F45+AA$5)-INT((Census!$F45+AA$5))&gt;0.5,1,0)),Assumptions!$B$10))</f>
        <v>10346.503776240357</v>
      </c>
      <c r="AB45" s="30">
        <f>IF(AB$5&gt;$B45,0,INDEX(Decrements!$G$6:$G$58,Census!$G45+AB$5-18)/INDEX(Decrements!$G$6:$G$58,Census!$G45-17)*(INDEX(Decrements!$D$6:$D$58,Census!$G45+AB$5-18)+IF(AB$5=$B45,INDEX(Decrements!$F$6:$F$58,Census!$G45+AB$5-18),0)+INDEX(Decrements!$E$6:$E$58,Census!$G45+AB$5-18)*IF((Census!$F45+AB$5)&gt;=Assumptions!$B$11,1,0))*MIN(15/26*Census!$D45*(1+Assumptions!$B$9)^AB$5*(INT((Census!$F45+AB$5))+IF((Census!$F45+AB$5)-INT((Census!$F45+AB$5))&gt;0.5,1,0)),Assumptions!$B$10))</f>
        <v>6043.7884830137318</v>
      </c>
      <c r="AC45" s="30">
        <f>IF(AC$5&gt;$B45,0,INDEX(Decrements!$G$6:$G$58,Census!$G45+AC$5-18)/INDEX(Decrements!$G$6:$G$58,Census!$G45-17)*(INDEX(Decrements!$D$6:$D$58,Census!$G45+AC$5-18)+IF(AC$5=$B45,INDEX(Decrements!$F$6:$F$58,Census!$G45+AC$5-18),0)+INDEX(Decrements!$E$6:$E$58,Census!$G45+AC$5-18)*IF((Census!$F45+AC$5)&gt;=Assumptions!$B$11,1,0))*MIN(15/26*Census!$D45*(1+Assumptions!$B$9)^AC$5*(INT((Census!$F45+AC$5))+IF((Census!$F45+AC$5)-INT((Census!$F45+AC$5))&gt;0.5,1,0)),Assumptions!$B$10))</f>
        <v>6119.9902472141257</v>
      </c>
      <c r="AD45" s="30">
        <f>IF(AD$5&gt;$B45,0,INDEX(Decrements!$G$6:$G$58,Census!$G45+AD$5-18)/INDEX(Decrements!$G$6:$G$58,Census!$G45-17)*(INDEX(Decrements!$D$6:$D$58,Census!$G45+AD$5-18)+IF(AD$5=$B45,INDEX(Decrements!$F$6:$F$58,Census!$G45+AD$5-18),0)+INDEX(Decrements!$E$6:$E$58,Census!$G45+AD$5-18)*IF((Census!$F45+AD$5)&gt;=Assumptions!$B$11,1,0))*MIN(15/26*Census!$D45*(1+Assumptions!$B$9)^AD$5*(INT((Census!$F45+AD$5))+IF((Census!$F45+AD$5)-INT((Census!$F45+AD$5))&gt;0.5,1,0)),Assumptions!$B$10))</f>
        <v>6206.274434705726</v>
      </c>
      <c r="AE45" s="30">
        <f>IF(AE$5&gt;$B45,0,INDEX(Decrements!$G$6:$G$58,Census!$G45+AE$5-18)/INDEX(Decrements!$G$6:$G$58,Census!$G45-17)*(INDEX(Decrements!$D$6:$D$58,Census!$G45+AE$5-18)+IF(AE$5=$B45,INDEX(Decrements!$F$6:$F$58,Census!$G45+AE$5-18),0)+INDEX(Decrements!$E$6:$E$58,Census!$G45+AE$5-18)*IF((Census!$F45+AE$5)&gt;=Assumptions!$B$11,1,0))*MIN(15/26*Census!$D45*(1+Assumptions!$B$9)^AE$5*(INT((Census!$F45+AE$5))+IF((Census!$F45+AE$5)-INT((Census!$F45+AE$5))&gt;0.5,1,0)),Assumptions!$B$10))</f>
        <v>6303.2274773519975</v>
      </c>
      <c r="AF45" s="30">
        <f>IF(AF$5&gt;$B45,0,INDEX(Decrements!$G$6:$G$58,Census!$G45+AF$5-18)/INDEX(Decrements!$G$6:$G$58,Census!$G45-17)*(INDEX(Decrements!$D$6:$D$58,Census!$G45+AF$5-18)+IF(AF$5=$B45,INDEX(Decrements!$F$6:$F$58,Census!$G45+AF$5-18),0)+INDEX(Decrements!$E$6:$E$58,Census!$G45+AF$5-18)*IF((Census!$F45+AF$5)&gt;=Assumptions!$B$11,1,0))*MIN(15/26*Census!$D45*(1+Assumptions!$B$9)^AF$5*(INT((Census!$F45+AF$5))+IF((Census!$F45+AF$5)-INT((Census!$F45+AF$5))&gt;0.5,1,0)),Assumptions!$B$10))</f>
        <v>397551.78311539261</v>
      </c>
      <c r="AG45" s="30">
        <f>IF(AG$5&gt;$B45,0,INDEX(Decrements!$G$6:$G$58,Census!$G45+AG$5-18)/INDEX(Decrements!$G$6:$G$58,Census!$G45-17)*(INDEX(Decrements!$D$6:$D$58,Census!$G45+AG$5-18)+IF(AG$5=$B45,INDEX(Decrements!$F$6:$F$58,Census!$G45+AG$5-18),0)+INDEX(Decrements!$E$6:$E$58,Census!$G45+AG$5-18)*IF((Census!$F45+AG$5)&gt;=Assumptions!$B$11,1,0))*MIN(15/26*Census!$D45*(1+Assumptions!$B$9)^AG$5*(INT((Census!$F45+AG$5))+IF((Census!$F45+AG$5)-INT((Census!$F45+AG$5))&gt;0.5,1,0)),Assumptions!$B$10))</f>
        <v>0</v>
      </c>
      <c r="AH45" s="30">
        <f>IF(AH$5&gt;$B45,0,INDEX(Decrements!$G$6:$G$58,Census!$G45+AH$5-18)/INDEX(Decrements!$G$6:$G$58,Census!$G45-17)*(INDEX(Decrements!$D$6:$D$58,Census!$G45+AH$5-18)+IF(AH$5=$B45,INDEX(Decrements!$F$6:$F$58,Census!$G45+AH$5-18),0)+INDEX(Decrements!$E$6:$E$58,Census!$G45+AH$5-18)*IF((Census!$F45+AH$5)&gt;=Assumptions!$B$11,1,0))*MIN(15/26*Census!$D45*(1+Assumptions!$B$9)^AH$5*(INT((Census!$F45+AH$5))+IF((Census!$F45+AH$5)-INT((Census!$F45+AH$5))&gt;0.5,1,0)),Assumptions!$B$10))</f>
        <v>0</v>
      </c>
      <c r="AI45" s="30">
        <f>IF(AI$5&gt;$B45,0,INDEX(Decrements!$G$6:$G$58,Census!$G45+AI$5-18)/INDEX(Decrements!$G$6:$G$58,Census!$G45-17)*(INDEX(Decrements!$D$6:$D$58,Census!$G45+AI$5-18)+IF(AI$5=$B45,INDEX(Decrements!$F$6:$F$58,Census!$G45+AI$5-18),0)+INDEX(Decrements!$E$6:$E$58,Census!$G45+AI$5-18)*IF((Census!$F45+AI$5)&gt;=Assumptions!$B$11,1,0))*MIN(15/26*Census!$D45*(1+Assumptions!$B$9)^AI$5*(INT((Census!$F45+AI$5))+IF((Census!$F45+AI$5)-INT((Census!$F45+AI$5))&gt;0.5,1,0)),Assumptions!$B$10))</f>
        <v>0</v>
      </c>
      <c r="AJ45" s="30">
        <f>IF(AJ$5&gt;$B45,0,INDEX(Decrements!$G$6:$G$58,Census!$G45+AJ$5-18)/INDEX(Decrements!$G$6:$G$58,Census!$G45-17)*(INDEX(Decrements!$D$6:$D$58,Census!$G45+AJ$5-18)+IF(AJ$5=$B45,INDEX(Decrements!$F$6:$F$58,Census!$G45+AJ$5-18),0)+INDEX(Decrements!$E$6:$E$58,Census!$G45+AJ$5-18)*IF((Census!$F45+AJ$5)&gt;=Assumptions!$B$11,1,0))*MIN(15/26*Census!$D45*(1+Assumptions!$B$9)^AJ$5*(INT((Census!$F45+AJ$5))+IF((Census!$F45+AJ$5)-INT((Census!$F45+AJ$5))&gt;0.5,1,0)),Assumptions!$B$10))</f>
        <v>0</v>
      </c>
      <c r="AK45" s="30">
        <f>IF(AK$5&gt;$B45,0,INDEX(Decrements!$G$6:$G$58,Census!$G45+AK$5-18)/INDEX(Decrements!$G$6:$G$58,Census!$G45-17)*(INDEX(Decrements!$D$6:$D$58,Census!$G45+AK$5-18)+IF(AK$5=$B45,INDEX(Decrements!$F$6:$F$58,Census!$G45+AK$5-18),0)+INDEX(Decrements!$E$6:$E$58,Census!$G45+AK$5-18)*IF((Census!$F45+AK$5)&gt;=Assumptions!$B$11,1,0))*MIN(15/26*Census!$D45*(1+Assumptions!$B$9)^AK$5*(INT((Census!$F45+AK$5))+IF((Census!$F45+AK$5)-INT((Census!$F45+AK$5))&gt;0.5,1,0)),Assumptions!$B$10))</f>
        <v>0</v>
      </c>
      <c r="AL45" s="30">
        <f>IF(AL$5&gt;$B45,0,INDEX(Decrements!$G$6:$G$58,Census!$G45+AL$5-18)/INDEX(Decrements!$G$6:$G$58,Census!$G45-17)*(INDEX(Decrements!$D$6:$D$58,Census!$G45+AL$5-18)+IF(AL$5=$B45,INDEX(Decrements!$F$6:$F$58,Census!$G45+AL$5-18),0)+INDEX(Decrements!$E$6:$E$58,Census!$G45+AL$5-18)*IF((Census!$F45+AL$5)&gt;=Assumptions!$B$11,1,0))*MIN(15/26*Census!$D45*(1+Assumptions!$B$9)^AL$5*(INT((Census!$F45+AL$5))+IF((Census!$F45+AL$5)-INT((Census!$F45+AL$5))&gt;0.5,1,0)),Assumptions!$B$10))</f>
        <v>0</v>
      </c>
      <c r="AM45" s="30">
        <f>IF(AM$5&gt;$B45,0,INDEX(Decrements!$G$6:$G$58,Census!$G45+AM$5-18)/INDEX(Decrements!$G$6:$G$58,Census!$G45-17)*(INDEX(Decrements!$D$6:$D$58,Census!$G45+AM$5-18)+IF(AM$5=$B45,INDEX(Decrements!$F$6:$F$58,Census!$G45+AM$5-18),0)+INDEX(Decrements!$E$6:$E$58,Census!$G45+AM$5-18)*IF((Census!$F45+AM$5)&gt;=Assumptions!$B$11,1,0))*MIN(15/26*Census!$D45*(1+Assumptions!$B$9)^AM$5*(INT((Census!$F45+AM$5))+IF((Census!$F45+AM$5)-INT((Census!$F45+AM$5))&gt;0.5,1,0)),Assumptions!$B$10))</f>
        <v>0</v>
      </c>
      <c r="AN45" s="30">
        <f>IF(AN$5&gt;$B45,0,INDEX(Decrements!$G$6:$G$58,Census!$G45+AN$5-18)/INDEX(Decrements!$G$6:$G$58,Census!$G45-17)*(INDEX(Decrements!$D$6:$D$58,Census!$G45+AN$5-18)+IF(AN$5=$B45,INDEX(Decrements!$F$6:$F$58,Census!$G45+AN$5-18),0)+INDEX(Decrements!$E$6:$E$58,Census!$G45+AN$5-18)*IF((Census!$F45+AN$5)&gt;=Assumptions!$B$11,1,0))*MIN(15/26*Census!$D45*(1+Assumptions!$B$9)^AN$5*(INT((Census!$F45+AN$5))+IF((Census!$F45+AN$5)-INT((Census!$F45+AN$5))&gt;0.5,1,0)),Assumptions!$B$10))</f>
        <v>0</v>
      </c>
      <c r="AO45" s="30">
        <f>IF(AO$5&gt;$B45,0,INDEX(Decrements!$G$6:$G$58,Census!$G45+AO$5-18)/INDEX(Decrements!$G$6:$G$58,Census!$G45-17)*(INDEX(Decrements!$D$6:$D$58,Census!$G45+AO$5-18)+IF(AO$5=$B45,INDEX(Decrements!$F$6:$F$58,Census!$G45+AO$5-18),0)+INDEX(Decrements!$E$6:$E$58,Census!$G45+AO$5-18)*IF((Census!$F45+AO$5)&gt;=Assumptions!$B$11,1,0))*MIN(15/26*Census!$D45*(1+Assumptions!$B$9)^AO$5*(INT((Census!$F45+AO$5))+IF((Census!$F45+AO$5)-INT((Census!$F45+AO$5))&gt;0.5,1,0)),Assumptions!$B$10))</f>
        <v>0</v>
      </c>
      <c r="AP45" s="30">
        <f>IF(AP$5&gt;$B45,0,INDEX(Decrements!$G$6:$G$58,Census!$G45+AP$5-18)/INDEX(Decrements!$G$6:$G$58,Census!$G45-17)*(INDEX(Decrements!$D$6:$D$58,Census!$G45+AP$5-18)+IF(AP$5=$B45,INDEX(Decrements!$F$6:$F$58,Census!$G45+AP$5-18),0)+INDEX(Decrements!$E$6:$E$58,Census!$G45+AP$5-18)*IF((Census!$F45+AP$5)&gt;=Assumptions!$B$11,1,0))*MIN(15/26*Census!$D45*(1+Assumptions!$B$9)^AP$5*(INT((Census!$F45+AP$5))+IF((Census!$F45+AP$5)-INT((Census!$F45+AP$5))&gt;0.5,1,0)),Assumptions!$B$10))</f>
        <v>0</v>
      </c>
      <c r="AQ45" s="30">
        <f>IF(AQ$5&gt;$B45,0,INDEX(Decrements!$G$6:$G$58,Census!$G45+AQ$5-18)/INDEX(Decrements!$G$6:$G$58,Census!$G45-17)*(INDEX(Decrements!$D$6:$D$58,Census!$G45+AQ$5-18)+IF(AQ$5=$B45,INDEX(Decrements!$F$6:$F$58,Census!$G45+AQ$5-18),0)+INDEX(Decrements!$E$6:$E$58,Census!$G45+AQ$5-18)*IF((Census!$F45+AQ$5)&gt;=Assumptions!$B$11,1,0))*MIN(15/26*Census!$D45*(1+Assumptions!$B$9)^AQ$5*(INT((Census!$F45+AQ$5))+IF((Census!$F45+AQ$5)-INT((Census!$F45+AQ$5))&gt;0.5,1,0)),Assumptions!$B$10))</f>
        <v>0</v>
      </c>
      <c r="AR45" s="30">
        <f>IF(AR$5&gt;$B45,0,INDEX(Decrements!$G$6:$G$58,Census!$G45+AR$5-18)/INDEX(Decrements!$G$6:$G$58,Census!$G45-17)*(INDEX(Decrements!$D$6:$D$58,Census!$G45+AR$5-18)+IF(AR$5=$B45,INDEX(Decrements!$F$6:$F$58,Census!$G45+AR$5-18),0)+INDEX(Decrements!$E$6:$E$58,Census!$G45+AR$5-18)*IF((Census!$F45+AR$5)&gt;=Assumptions!$B$11,1,0))*MIN(15/26*Census!$D45*(1+Assumptions!$B$9)^AR$5*(INT((Census!$F45+AR$5))+IF((Census!$F45+AR$5)-INT((Census!$F45+AR$5))&gt;0.5,1,0)),Assumptions!$B$10))</f>
        <v>0</v>
      </c>
      <c r="AS45" s="30">
        <f>IF(AS$5&gt;$B45,0,INDEX(Decrements!$G$6:$G$58,Census!$G45+AS$5-18)/INDEX(Decrements!$G$6:$G$58,Census!$G45-17)*(INDEX(Decrements!$D$6:$D$58,Census!$G45+AS$5-18)+IF(AS$5=$B45,INDEX(Decrements!$F$6:$F$58,Census!$G45+AS$5-18),0)+INDEX(Decrements!$E$6:$E$58,Census!$G45+AS$5-18)*IF((Census!$F45+AS$5)&gt;=Assumptions!$B$11,1,0))*MIN(15/26*Census!$D45*(1+Assumptions!$B$9)^AS$5*(INT((Census!$F45+AS$5))+IF((Census!$F45+AS$5)-INT((Census!$F45+AS$5))&gt;0.5,1,0)),Assumptions!$B$10))</f>
        <v>0</v>
      </c>
      <c r="AT45" s="30">
        <f>IF(AT$5&gt;$B45,0,INDEX(Decrements!$G$6:$G$58,Census!$G45+AT$5-18)/INDEX(Decrements!$G$6:$G$58,Census!$G45-17)*(INDEX(Decrements!$D$6:$D$58,Census!$G45+AT$5-18)+IF(AT$5=$B45,INDEX(Decrements!$F$6:$F$58,Census!$G45+AT$5-18),0)+INDEX(Decrements!$E$6:$E$58,Census!$G45+AT$5-18)*IF((Census!$F45+AT$5)&gt;=Assumptions!$B$11,1,0))*MIN(15/26*Census!$D45*(1+Assumptions!$B$9)^AT$5*(INT((Census!$F45+AT$5))+IF((Census!$F45+AT$5)-INT((Census!$F45+AT$5))&gt;0.5,1,0)),Assumptions!$B$10))</f>
        <v>0</v>
      </c>
      <c r="AU45" s="30">
        <f>IF(AU$5&gt;$B45,0,INDEX(Decrements!$G$6:$G$58,Census!$G45+AU$5-18)/INDEX(Decrements!$G$6:$G$58,Census!$G45-17)*(INDEX(Decrements!$D$6:$D$58,Census!$G45+AU$5-18)+IF(AU$5=$B45,INDEX(Decrements!$F$6:$F$58,Census!$G45+AU$5-18),0)+INDEX(Decrements!$E$6:$E$58,Census!$G45+AU$5-18)*IF((Census!$F45+AU$5)&gt;=Assumptions!$B$11,1,0))*MIN(15/26*Census!$D45*(1+Assumptions!$B$9)^AU$5*(INT((Census!$F45+AU$5))+IF((Census!$F45+AU$5)-INT((Census!$F45+AU$5))&gt;0.5,1,0)),Assumptions!$B$10))</f>
        <v>0</v>
      </c>
    </row>
    <row r="46" spans="1:47" x14ac:dyDescent="0.3">
      <c r="A46" s="10" t="str">
        <f>Census!A46</f>
        <v>E041</v>
      </c>
      <c r="B46" s="29">
        <f>Census!H46</f>
        <v>29</v>
      </c>
      <c r="C46" s="30">
        <f>IF(C$5&gt;$B46,0,INDEX(Decrements!$G$6:$G$58,Census!$G46+C$5-18)/INDEX(Decrements!$G$6:$G$58,Census!$G46-17)*(INDEX(Decrements!$D$6:$D$58,Census!$G46+C$5-18)+IF(C$5=$B46,INDEX(Decrements!$F$6:$F$58,Census!$G46+C$5-18),0)+INDEX(Decrements!$E$6:$E$58,Census!$G46+C$5-18)*IF((Census!$F46+C$5)&gt;=Assumptions!$B$11,1,0))*MIN(15/26*Census!$D46*(1+Assumptions!$B$9)^C$5*(INT((Census!$F46+C$5))+IF((Census!$F46+C$5)-INT((Census!$F46+C$5))&gt;0.5,1,0)),Assumptions!$B$10))</f>
        <v>26.223261822124719</v>
      </c>
      <c r="D46" s="30">
        <f>IF(D$5&gt;$B46,0,INDEX(Decrements!$G$6:$G$58,Census!$G46+D$5-18)/INDEX(Decrements!$G$6:$G$58,Census!$G46-17)*(INDEX(Decrements!$D$6:$D$58,Census!$G46+D$5-18)+IF(D$5=$B46,INDEX(Decrements!$F$6:$F$58,Census!$G46+D$5-18),0)+INDEX(Decrements!$E$6:$E$58,Census!$G46+D$5-18)*IF((Census!$F46+D$5)&gt;=Assumptions!$B$11,1,0))*MIN(15/26*Census!$D46*(1+Assumptions!$B$9)^D$5*(INT((Census!$F46+D$5))+IF((Census!$F46+D$5)-INT((Census!$F46+D$5))&gt;0.5,1,0)),Assumptions!$B$10))</f>
        <v>35.264898581859477</v>
      </c>
      <c r="E46" s="30">
        <f>IF(E$5&gt;$B46,0,INDEX(Decrements!$G$6:$G$58,Census!$G46+E$5-18)/INDEX(Decrements!$G$6:$G$58,Census!$G46-17)*(INDEX(Decrements!$D$6:$D$58,Census!$G46+E$5-18)+IF(E$5=$B46,INDEX(Decrements!$F$6:$F$58,Census!$G46+E$5-18),0)+INDEX(Decrements!$E$6:$E$58,Census!$G46+E$5-18)*IF((Census!$F46+E$5)&gt;=Assumptions!$B$11,1,0))*MIN(15/26*Census!$D46*(1+Assumptions!$B$9)^E$5*(INT((Census!$F46+E$5))+IF((Census!$F46+E$5)-INT((Census!$F46+E$5))&gt;0.5,1,0)),Assumptions!$B$10))</f>
        <v>5889.7160457815025</v>
      </c>
      <c r="F46" s="30">
        <f>IF(F$5&gt;$B46,0,INDEX(Decrements!$G$6:$G$58,Census!$G46+F$5-18)/INDEX(Decrements!$G$6:$G$58,Census!$G46-17)*(INDEX(Decrements!$D$6:$D$58,Census!$G46+F$5-18)+IF(F$5=$B46,INDEX(Decrements!$F$6:$F$58,Census!$G46+F$5-18),0)+INDEX(Decrements!$E$6:$E$58,Census!$G46+F$5-18)*IF((Census!$F46+F$5)&gt;=Assumptions!$B$11,1,0))*MIN(15/26*Census!$D46*(1+Assumptions!$B$9)^F$5*(INT((Census!$F46+F$5))+IF((Census!$F46+F$5)-INT((Census!$F46+F$5))&gt;0.5,1,0)),Assumptions!$B$10))</f>
        <v>6790.0634382836961</v>
      </c>
      <c r="G46" s="30">
        <f>IF(G$5&gt;$B46,0,INDEX(Decrements!$G$6:$G$58,Census!$G46+G$5-18)/INDEX(Decrements!$G$6:$G$58,Census!$G46-17)*(INDEX(Decrements!$D$6:$D$58,Census!$G46+G$5-18)+IF(G$5=$B46,INDEX(Decrements!$F$6:$F$58,Census!$G46+G$5-18),0)+INDEX(Decrements!$E$6:$E$58,Census!$G46+G$5-18)*IF((Census!$F46+G$5)&gt;=Assumptions!$B$11,1,0))*MIN(15/26*Census!$D46*(1+Assumptions!$B$9)^G$5*(INT((Census!$F46+G$5))+IF((Census!$F46+G$5)-INT((Census!$F46+G$5))&gt;0.5,1,0)),Assumptions!$B$10))</f>
        <v>5553.444195224778</v>
      </c>
      <c r="H46" s="30">
        <f>IF(H$5&gt;$B46,0,INDEX(Decrements!$G$6:$G$58,Census!$G46+H$5-18)/INDEX(Decrements!$G$6:$G$58,Census!$G46-17)*(INDEX(Decrements!$D$6:$D$58,Census!$G46+H$5-18)+IF(H$5=$B46,INDEX(Decrements!$F$6:$F$58,Census!$G46+H$5-18),0)+INDEX(Decrements!$E$6:$E$58,Census!$G46+H$5-18)*IF((Census!$F46+H$5)&gt;=Assumptions!$B$11,1,0))*MIN(15/26*Census!$D46*(1+Assumptions!$B$9)^H$5*(INT((Census!$F46+H$5))+IF((Census!$F46+H$5)-INT((Census!$F46+H$5))&gt;0.5,1,0)),Assumptions!$B$10))</f>
        <v>6304.1557342050974</v>
      </c>
      <c r="I46" s="30">
        <f>IF(I$5&gt;$B46,0,INDEX(Decrements!$G$6:$G$58,Census!$G46+I$5-18)/INDEX(Decrements!$G$6:$G$58,Census!$G46-17)*(INDEX(Decrements!$D$6:$D$58,Census!$G46+I$5-18)+IF(I$5=$B46,INDEX(Decrements!$F$6:$F$58,Census!$G46+I$5-18),0)+INDEX(Decrements!$E$6:$E$58,Census!$G46+I$5-18)*IF((Census!$F46+I$5)&gt;=Assumptions!$B$11,1,0))*MIN(15/26*Census!$D46*(1+Assumptions!$B$9)^I$5*(INT((Census!$F46+I$5))+IF((Census!$F46+I$5)-INT((Census!$F46+I$5))&gt;0.5,1,0)),Assumptions!$B$10))</f>
        <v>7044.582442562044</v>
      </c>
      <c r="J46" s="30">
        <f>IF(J$5&gt;$B46,0,INDEX(Decrements!$G$6:$G$58,Census!$G46+J$5-18)/INDEX(Decrements!$G$6:$G$58,Census!$G46-17)*(INDEX(Decrements!$D$6:$D$58,Census!$G46+J$5-18)+IF(J$5=$B46,INDEX(Decrements!$F$6:$F$58,Census!$G46+J$5-18),0)+INDEX(Decrements!$E$6:$E$58,Census!$G46+J$5-18)*IF((Census!$F46+J$5)&gt;=Assumptions!$B$11,1,0))*MIN(15/26*Census!$D46*(1+Assumptions!$B$9)^J$5*(INT((Census!$F46+J$5))+IF((Census!$F46+J$5)-INT((Census!$F46+J$5))&gt;0.5,1,0)),Assumptions!$B$10))</f>
        <v>7774.8504680997721</v>
      </c>
      <c r="K46" s="30">
        <f>IF(K$5&gt;$B46,0,INDEX(Decrements!$G$6:$G$58,Census!$G46+K$5-18)/INDEX(Decrements!$G$6:$G$58,Census!$G46-17)*(INDEX(Decrements!$D$6:$D$58,Census!$G46+K$5-18)+IF(K$5=$B46,INDEX(Decrements!$F$6:$F$58,Census!$G46+K$5-18),0)+INDEX(Decrements!$E$6:$E$58,Census!$G46+K$5-18)*IF((Census!$F46+K$5)&gt;=Assumptions!$B$11,1,0))*MIN(15/26*Census!$D46*(1+Assumptions!$B$9)^K$5*(INT((Census!$F46+K$5))+IF((Census!$F46+K$5)-INT((Census!$F46+K$5))&gt;0.5,1,0)),Assumptions!$B$10))</f>
        <v>8495.086692640667</v>
      </c>
      <c r="L46" s="30">
        <f>IF(L$5&gt;$B46,0,INDEX(Decrements!$G$6:$G$58,Census!$G46+L$5-18)/INDEX(Decrements!$G$6:$G$58,Census!$G46-17)*(INDEX(Decrements!$D$6:$D$58,Census!$G46+L$5-18)+IF(L$5=$B46,INDEX(Decrements!$F$6:$F$58,Census!$G46+L$5-18),0)+INDEX(Decrements!$E$6:$E$58,Census!$G46+L$5-18)*IF((Census!$F46+L$5)&gt;=Assumptions!$B$11,1,0))*MIN(15/26*Census!$D46*(1+Assumptions!$B$9)^L$5*(INT((Census!$F46+L$5))+IF((Census!$F46+L$5)-INT((Census!$F46+L$5))&gt;0.5,1,0)),Assumptions!$B$10))</f>
        <v>5810.6996656642159</v>
      </c>
      <c r="M46" s="30">
        <f>IF(M$5&gt;$B46,0,INDEX(Decrements!$G$6:$G$58,Census!$G46+M$5-18)/INDEX(Decrements!$G$6:$G$58,Census!$G46-17)*(INDEX(Decrements!$D$6:$D$58,Census!$G46+M$5-18)+IF(M$5=$B46,INDEX(Decrements!$F$6:$F$58,Census!$G46+M$5-18),0)+INDEX(Decrements!$E$6:$E$58,Census!$G46+M$5-18)*IF((Census!$F46+M$5)&gt;=Assumptions!$B$11,1,0))*MIN(15/26*Census!$D46*(1+Assumptions!$B$9)^M$5*(INT((Census!$F46+M$5))+IF((Census!$F46+M$5)-INT((Census!$F46+M$5))&gt;0.5,1,0)),Assumptions!$B$10))</f>
        <v>6461.2132420946409</v>
      </c>
      <c r="N46" s="30">
        <f>IF(N$5&gt;$B46,0,INDEX(Decrements!$G$6:$G$58,Census!$G46+N$5-18)/INDEX(Decrements!$G$6:$G$58,Census!$G46-17)*(INDEX(Decrements!$D$6:$D$58,Census!$G46+N$5-18)+IF(N$5=$B46,INDEX(Decrements!$F$6:$F$58,Census!$G46+N$5-18),0)+INDEX(Decrements!$E$6:$E$58,Census!$G46+N$5-18)*IF((Census!$F46+N$5)&gt;=Assumptions!$B$11,1,0))*MIN(15/26*Census!$D46*(1+Assumptions!$B$9)^N$5*(INT((Census!$F46+N$5))+IF((Census!$F46+N$5)-INT((Census!$F46+N$5))&gt;0.5,1,0)),Assumptions!$B$10))</f>
        <v>7142.5890008884235</v>
      </c>
      <c r="O46" s="30">
        <f>IF(O$5&gt;$B46,0,INDEX(Decrements!$G$6:$G$58,Census!$G46+O$5-18)/INDEX(Decrements!$G$6:$G$58,Census!$G46-17)*(INDEX(Decrements!$D$6:$D$58,Census!$G46+O$5-18)+IF(O$5=$B46,INDEX(Decrements!$F$6:$F$58,Census!$G46+O$5-18),0)+INDEX(Decrements!$E$6:$E$58,Census!$G46+O$5-18)*IF((Census!$F46+O$5)&gt;=Assumptions!$B$11,1,0))*MIN(15/26*Census!$D46*(1+Assumptions!$B$9)^O$5*(INT((Census!$F46+O$5))+IF((Census!$F46+O$5)-INT((Census!$F46+O$5))&gt;0.5,1,0)),Assumptions!$B$10))</f>
        <v>7856.1931612192138</v>
      </c>
      <c r="P46" s="30">
        <f>IF(P$5&gt;$B46,0,INDEX(Decrements!$G$6:$G$58,Census!$G46+P$5-18)/INDEX(Decrements!$G$6:$G$58,Census!$G46-17)*(INDEX(Decrements!$D$6:$D$58,Census!$G46+P$5-18)+IF(P$5=$B46,INDEX(Decrements!$F$6:$F$58,Census!$G46+P$5-18),0)+INDEX(Decrements!$E$6:$E$58,Census!$G46+P$5-18)*IF((Census!$F46+P$5)&gt;=Assumptions!$B$11,1,0))*MIN(15/26*Census!$D46*(1+Assumptions!$B$9)^P$5*(INT((Census!$F46+P$5))+IF((Census!$F46+P$5)-INT((Census!$F46+P$5))&gt;0.5,1,0)),Assumptions!$B$10))</f>
        <v>8603.4719473675232</v>
      </c>
      <c r="Q46" s="30">
        <f>IF(Q$5&gt;$B46,0,INDEX(Decrements!$G$6:$G$58,Census!$G46+Q$5-18)/INDEX(Decrements!$G$6:$G$58,Census!$G46-17)*(INDEX(Decrements!$D$6:$D$58,Census!$G46+Q$5-18)+IF(Q$5=$B46,INDEX(Decrements!$F$6:$F$58,Census!$G46+Q$5-18),0)+INDEX(Decrements!$E$6:$E$58,Census!$G46+Q$5-18)*IF((Census!$F46+Q$5)&gt;=Assumptions!$B$11,1,0))*MIN(15/26*Census!$D46*(1+Assumptions!$B$9)^Q$5*(INT((Census!$F46+Q$5))+IF((Census!$F46+Q$5)-INT((Census!$F46+Q$5))&gt;0.5,1,0)),Assumptions!$B$10))</f>
        <v>5771.2062107914007</v>
      </c>
      <c r="R46" s="30">
        <f>IF(R$5&gt;$B46,0,INDEX(Decrements!$G$6:$G$58,Census!$G46+R$5-18)/INDEX(Decrements!$G$6:$G$58,Census!$G46-17)*(INDEX(Decrements!$D$6:$D$58,Census!$G46+R$5-18)+IF(R$5=$B46,INDEX(Decrements!$F$6:$F$58,Census!$G46+R$5-18),0)+INDEX(Decrements!$E$6:$E$58,Census!$G46+R$5-18)*IF((Census!$F46+R$5)&gt;=Assumptions!$B$11,1,0))*MIN(15/26*Census!$D46*(1+Assumptions!$B$9)^R$5*(INT((Census!$F46+R$5))+IF((Census!$F46+R$5)-INT((Census!$F46+R$5))&gt;0.5,1,0)),Assumptions!$B$10))</f>
        <v>6418.9020516257187</v>
      </c>
      <c r="S46" s="30">
        <f>IF(S$5&gt;$B46,0,INDEX(Decrements!$G$6:$G$58,Census!$G46+S$5-18)/INDEX(Decrements!$G$6:$G$58,Census!$G46-17)*(INDEX(Decrements!$D$6:$D$58,Census!$G46+S$5-18)+IF(S$5=$B46,INDEX(Decrements!$F$6:$F$58,Census!$G46+S$5-18),0)+INDEX(Decrements!$E$6:$E$58,Census!$G46+S$5-18)*IF((Census!$F46+S$5)&gt;=Assumptions!$B$11,1,0))*MIN(15/26*Census!$D46*(1+Assumptions!$B$9)^S$5*(INT((Census!$F46+S$5))+IF((Census!$F46+S$5)-INT((Census!$F46+S$5))&gt;0.5,1,0)),Assumptions!$B$10))</f>
        <v>7119.2823892396345</v>
      </c>
      <c r="T46" s="30">
        <f>IF(T$5&gt;$B46,0,INDEX(Decrements!$G$6:$G$58,Census!$G46+T$5-18)/INDEX(Decrements!$G$6:$G$58,Census!$G46-17)*(INDEX(Decrements!$D$6:$D$58,Census!$G46+T$5-18)+IF(T$5=$B46,INDEX(Decrements!$F$6:$F$58,Census!$G46+T$5-18),0)+INDEX(Decrements!$E$6:$E$58,Census!$G46+T$5-18)*IF((Census!$F46+T$5)&gt;=Assumptions!$B$11,1,0))*MIN(15/26*Census!$D46*(1+Assumptions!$B$9)^T$5*(INT((Census!$F46+T$5))+IF((Census!$F46+T$5)-INT((Census!$F46+T$5))&gt;0.5,1,0)),Assumptions!$B$10))</f>
        <v>7876.6397752073526</v>
      </c>
      <c r="U46" s="30">
        <f>IF(U$5&gt;$B46,0,INDEX(Decrements!$G$6:$G$58,Census!$G46+U$5-18)/INDEX(Decrements!$G$6:$G$58,Census!$G46-17)*(INDEX(Decrements!$D$6:$D$58,Census!$G46+U$5-18)+IF(U$5=$B46,INDEX(Decrements!$F$6:$F$58,Census!$G46+U$5-18),0)+INDEX(Decrements!$E$6:$E$58,Census!$G46+U$5-18)*IF((Census!$F46+U$5)&gt;=Assumptions!$B$11,1,0))*MIN(15/26*Census!$D46*(1+Assumptions!$B$9)^U$5*(INT((Census!$F46+U$5))+IF((Census!$F46+U$5)-INT((Census!$F46+U$5))&gt;0.5,1,0)),Assumptions!$B$10))</f>
        <v>8695.6778450692855</v>
      </c>
      <c r="V46" s="30">
        <f>IF(V$5&gt;$B46,0,INDEX(Decrements!$G$6:$G$58,Census!$G46+V$5-18)/INDEX(Decrements!$G$6:$G$58,Census!$G46-17)*(INDEX(Decrements!$D$6:$D$58,Census!$G46+V$5-18)+IF(V$5=$B46,INDEX(Decrements!$F$6:$F$58,Census!$G46+V$5-18),0)+INDEX(Decrements!$E$6:$E$58,Census!$G46+V$5-18)*IF((Census!$F46+V$5)&gt;=Assumptions!$B$11,1,0))*MIN(15/26*Census!$D46*(1+Assumptions!$B$9)^V$5*(INT((Census!$F46+V$5))+IF((Census!$F46+V$5)-INT((Census!$F46+V$5))&gt;0.5,1,0)),Assumptions!$B$10))</f>
        <v>6666.3462237886451</v>
      </c>
      <c r="W46" s="30">
        <f>IF(W$5&gt;$B46,0,INDEX(Decrements!$G$6:$G$58,Census!$G46+W$5-18)/INDEX(Decrements!$G$6:$G$58,Census!$G46-17)*(INDEX(Decrements!$D$6:$D$58,Census!$G46+W$5-18)+IF(W$5=$B46,INDEX(Decrements!$F$6:$F$58,Census!$G46+W$5-18),0)+INDEX(Decrements!$E$6:$E$58,Census!$G46+W$5-18)*IF((Census!$F46+W$5)&gt;=Assumptions!$B$11,1,0))*MIN(15/26*Census!$D46*(1+Assumptions!$B$9)^W$5*(INT((Census!$F46+W$5))+IF((Census!$F46+W$5)-INT((Census!$F46+W$5))&gt;0.5,1,0)),Assumptions!$B$10))</f>
        <v>7432.9206886547981</v>
      </c>
      <c r="X46" s="30">
        <f>IF(X$5&gt;$B46,0,INDEX(Decrements!$G$6:$G$58,Census!$G46+X$5-18)/INDEX(Decrements!$G$6:$G$58,Census!$G46-17)*(INDEX(Decrements!$D$6:$D$58,Census!$G46+X$5-18)+IF(X$5=$B46,INDEX(Decrements!$F$6:$F$58,Census!$G46+X$5-18),0)+INDEX(Decrements!$E$6:$E$58,Census!$G46+X$5-18)*IF((Census!$F46+X$5)&gt;=Assumptions!$B$11,1,0))*MIN(15/26*Census!$D46*(1+Assumptions!$B$9)^X$5*(INT((Census!$F46+X$5))+IF((Census!$F46+X$5)-INT((Census!$F46+X$5))&gt;0.5,1,0)),Assumptions!$B$10))</f>
        <v>8277.5621560602831</v>
      </c>
      <c r="Y46" s="30">
        <f>IF(Y$5&gt;$B46,0,INDEX(Decrements!$G$6:$G$58,Census!$G46+Y$5-18)/INDEX(Decrements!$G$6:$G$58,Census!$G46-17)*(INDEX(Decrements!$D$6:$D$58,Census!$G46+Y$5-18)+IF(Y$5=$B46,INDEX(Decrements!$F$6:$F$58,Census!$G46+Y$5-18),0)+INDEX(Decrements!$E$6:$E$58,Census!$G46+Y$5-18)*IF((Census!$F46+Y$5)&gt;=Assumptions!$B$11,1,0))*MIN(15/26*Census!$D46*(1+Assumptions!$B$9)^Y$5*(INT((Census!$F46+Y$5))+IF((Census!$F46+Y$5)-INT((Census!$F46+Y$5))&gt;0.5,1,0)),Assumptions!$B$10))</f>
        <v>9208.7977667860177</v>
      </c>
      <c r="Z46" s="30">
        <f>IF(Z$5&gt;$B46,0,INDEX(Decrements!$G$6:$G$58,Census!$G46+Z$5-18)/INDEX(Decrements!$G$6:$G$58,Census!$G46-17)*(INDEX(Decrements!$D$6:$D$58,Census!$G46+Z$5-18)+IF(Z$5=$B46,INDEX(Decrements!$F$6:$F$58,Census!$G46+Z$5-18),0)+INDEX(Decrements!$E$6:$E$58,Census!$G46+Z$5-18)*IF((Census!$F46+Z$5)&gt;=Assumptions!$B$11,1,0))*MIN(15/26*Census!$D46*(1+Assumptions!$B$9)^Z$5*(INT((Census!$F46+Z$5))+IF((Census!$F46+Z$5)-INT((Census!$F46+Z$5))&gt;0.5,1,0)),Assumptions!$B$10))</f>
        <v>10236.21682557279</v>
      </c>
      <c r="AA46" s="30">
        <f>IF(AA$5&gt;$B46,0,INDEX(Decrements!$G$6:$G$58,Census!$G46+AA$5-18)/INDEX(Decrements!$G$6:$G$58,Census!$G46-17)*(INDEX(Decrements!$D$6:$D$58,Census!$G46+AA$5-18)+IF(AA$5=$B46,INDEX(Decrements!$F$6:$F$58,Census!$G46+AA$5-18),0)+INDEX(Decrements!$E$6:$E$58,Census!$G46+AA$5-18)*IF((Census!$F46+AA$5)&gt;=Assumptions!$B$11,1,0))*MIN(15/26*Census!$D46*(1+Assumptions!$B$9)^AA$5*(INT((Census!$F46+AA$5))+IF((Census!$F46+AA$5)-INT((Census!$F46+AA$5))&gt;0.5,1,0)),Assumptions!$B$10))</f>
        <v>6706.088561050241</v>
      </c>
      <c r="AB46" s="30">
        <f>IF(AB$5&gt;$B46,0,INDEX(Decrements!$G$6:$G$58,Census!$G46+AB$5-18)/INDEX(Decrements!$G$6:$G$58,Census!$G46-17)*(INDEX(Decrements!$D$6:$D$58,Census!$G46+AB$5-18)+IF(AB$5=$B46,INDEX(Decrements!$F$6:$F$58,Census!$G46+AB$5-18),0)+INDEX(Decrements!$E$6:$E$58,Census!$G46+AB$5-18)*IF((Census!$F46+AB$5)&gt;=Assumptions!$B$11,1,0))*MIN(15/26*Census!$D46*(1+Assumptions!$B$9)^AB$5*(INT((Census!$F46+AB$5))+IF((Census!$F46+AB$5)-INT((Census!$F46+AB$5))&gt;0.5,1,0)),Assumptions!$B$10))</f>
        <v>6881.6639747094532</v>
      </c>
      <c r="AC46" s="30">
        <f>IF(AC$5&gt;$B46,0,INDEX(Decrements!$G$6:$G$58,Census!$G46+AC$5-18)/INDEX(Decrements!$G$6:$G$58,Census!$G46-17)*(INDEX(Decrements!$D$6:$D$58,Census!$G46+AC$5-18)+IF(AC$5=$B46,INDEX(Decrements!$F$6:$F$58,Census!$G46+AC$5-18),0)+INDEX(Decrements!$E$6:$E$58,Census!$G46+AC$5-18)*IF((Census!$F46+AC$5)&gt;=Assumptions!$B$11,1,0))*MIN(15/26*Census!$D46*(1+Assumptions!$B$9)^AC$5*(INT((Census!$F46+AC$5))+IF((Census!$F46+AC$5)-INT((Census!$F46+AC$5))&gt;0.5,1,0)),Assumptions!$B$10))</f>
        <v>6978.6868065543758</v>
      </c>
      <c r="AD46" s="30">
        <f>IF(AD$5&gt;$B46,0,INDEX(Decrements!$G$6:$G$58,Census!$G46+AD$5-18)/INDEX(Decrements!$G$6:$G$58,Census!$G46-17)*(INDEX(Decrements!$D$6:$D$58,Census!$G46+AD$5-18)+IF(AD$5=$B46,INDEX(Decrements!$F$6:$F$58,Census!$G46+AD$5-18),0)+INDEX(Decrements!$E$6:$E$58,Census!$G46+AD$5-18)*IF((Census!$F46+AD$5)&gt;=Assumptions!$B$11,1,0))*MIN(15/26*Census!$D46*(1+Assumptions!$B$9)^AD$5*(INT((Census!$F46+AD$5))+IF((Census!$F46+AD$5)-INT((Census!$F46+AD$5))&gt;0.5,1,0)),Assumptions!$B$10))</f>
        <v>7087.7063039499853</v>
      </c>
      <c r="AE46" s="30">
        <f>IF(AE$5&gt;$B46,0,INDEX(Decrements!$G$6:$G$58,Census!$G46+AE$5-18)/INDEX(Decrements!$G$6:$G$58,Census!$G46-17)*(INDEX(Decrements!$D$6:$D$58,Census!$G46+AE$5-18)+IF(AE$5=$B46,INDEX(Decrements!$F$6:$F$58,Census!$G46+AE$5-18),0)+INDEX(Decrements!$E$6:$E$58,Census!$G46+AE$5-18)*IF((Census!$F46+AE$5)&gt;=Assumptions!$B$11,1,0))*MIN(15/26*Census!$D46*(1+Assumptions!$B$9)^AE$5*(INT((Census!$F46+AE$5))+IF((Census!$F46+AE$5)-INT((Census!$F46+AE$5))&gt;0.5,1,0)),Assumptions!$B$10))</f>
        <v>447029.76204775361</v>
      </c>
      <c r="AF46" s="30">
        <f>IF(AF$5&gt;$B46,0,INDEX(Decrements!$G$6:$G$58,Census!$G46+AF$5-18)/INDEX(Decrements!$G$6:$G$58,Census!$G46-17)*(INDEX(Decrements!$D$6:$D$58,Census!$G46+AF$5-18)+IF(AF$5=$B46,INDEX(Decrements!$F$6:$F$58,Census!$G46+AF$5-18),0)+INDEX(Decrements!$E$6:$E$58,Census!$G46+AF$5-18)*IF((Census!$F46+AF$5)&gt;=Assumptions!$B$11,1,0))*MIN(15/26*Census!$D46*(1+Assumptions!$B$9)^AF$5*(INT((Census!$F46+AF$5))+IF((Census!$F46+AF$5)-INT((Census!$F46+AF$5))&gt;0.5,1,0)),Assumptions!$B$10))</f>
        <v>0</v>
      </c>
      <c r="AG46" s="30">
        <f>IF(AG$5&gt;$B46,0,INDEX(Decrements!$G$6:$G$58,Census!$G46+AG$5-18)/INDEX(Decrements!$G$6:$G$58,Census!$G46-17)*(INDEX(Decrements!$D$6:$D$58,Census!$G46+AG$5-18)+IF(AG$5=$B46,INDEX(Decrements!$F$6:$F$58,Census!$G46+AG$5-18),0)+INDEX(Decrements!$E$6:$E$58,Census!$G46+AG$5-18)*IF((Census!$F46+AG$5)&gt;=Assumptions!$B$11,1,0))*MIN(15/26*Census!$D46*(1+Assumptions!$B$9)^AG$5*(INT((Census!$F46+AG$5))+IF((Census!$F46+AG$5)-INT((Census!$F46+AG$5))&gt;0.5,1,0)),Assumptions!$B$10))</f>
        <v>0</v>
      </c>
      <c r="AH46" s="30">
        <f>IF(AH$5&gt;$B46,0,INDEX(Decrements!$G$6:$G$58,Census!$G46+AH$5-18)/INDEX(Decrements!$G$6:$G$58,Census!$G46-17)*(INDEX(Decrements!$D$6:$D$58,Census!$G46+AH$5-18)+IF(AH$5=$B46,INDEX(Decrements!$F$6:$F$58,Census!$G46+AH$5-18),0)+INDEX(Decrements!$E$6:$E$58,Census!$G46+AH$5-18)*IF((Census!$F46+AH$5)&gt;=Assumptions!$B$11,1,0))*MIN(15/26*Census!$D46*(1+Assumptions!$B$9)^AH$5*(INT((Census!$F46+AH$5))+IF((Census!$F46+AH$5)-INT((Census!$F46+AH$5))&gt;0.5,1,0)),Assumptions!$B$10))</f>
        <v>0</v>
      </c>
      <c r="AI46" s="30">
        <f>IF(AI$5&gt;$B46,0,INDEX(Decrements!$G$6:$G$58,Census!$G46+AI$5-18)/INDEX(Decrements!$G$6:$G$58,Census!$G46-17)*(INDEX(Decrements!$D$6:$D$58,Census!$G46+AI$5-18)+IF(AI$5=$B46,INDEX(Decrements!$F$6:$F$58,Census!$G46+AI$5-18),0)+INDEX(Decrements!$E$6:$E$58,Census!$G46+AI$5-18)*IF((Census!$F46+AI$5)&gt;=Assumptions!$B$11,1,0))*MIN(15/26*Census!$D46*(1+Assumptions!$B$9)^AI$5*(INT((Census!$F46+AI$5))+IF((Census!$F46+AI$5)-INT((Census!$F46+AI$5))&gt;0.5,1,0)),Assumptions!$B$10))</f>
        <v>0</v>
      </c>
      <c r="AJ46" s="30">
        <f>IF(AJ$5&gt;$B46,0,INDEX(Decrements!$G$6:$G$58,Census!$G46+AJ$5-18)/INDEX(Decrements!$G$6:$G$58,Census!$G46-17)*(INDEX(Decrements!$D$6:$D$58,Census!$G46+AJ$5-18)+IF(AJ$5=$B46,INDEX(Decrements!$F$6:$F$58,Census!$G46+AJ$5-18),0)+INDEX(Decrements!$E$6:$E$58,Census!$G46+AJ$5-18)*IF((Census!$F46+AJ$5)&gt;=Assumptions!$B$11,1,0))*MIN(15/26*Census!$D46*(1+Assumptions!$B$9)^AJ$5*(INT((Census!$F46+AJ$5))+IF((Census!$F46+AJ$5)-INT((Census!$F46+AJ$5))&gt;0.5,1,0)),Assumptions!$B$10))</f>
        <v>0</v>
      </c>
      <c r="AK46" s="30">
        <f>IF(AK$5&gt;$B46,0,INDEX(Decrements!$G$6:$G$58,Census!$G46+AK$5-18)/INDEX(Decrements!$G$6:$G$58,Census!$G46-17)*(INDEX(Decrements!$D$6:$D$58,Census!$G46+AK$5-18)+IF(AK$5=$B46,INDEX(Decrements!$F$6:$F$58,Census!$G46+AK$5-18),0)+INDEX(Decrements!$E$6:$E$58,Census!$G46+AK$5-18)*IF((Census!$F46+AK$5)&gt;=Assumptions!$B$11,1,0))*MIN(15/26*Census!$D46*(1+Assumptions!$B$9)^AK$5*(INT((Census!$F46+AK$5))+IF((Census!$F46+AK$5)-INT((Census!$F46+AK$5))&gt;0.5,1,0)),Assumptions!$B$10))</f>
        <v>0</v>
      </c>
      <c r="AL46" s="30">
        <f>IF(AL$5&gt;$B46,0,INDEX(Decrements!$G$6:$G$58,Census!$G46+AL$5-18)/INDEX(Decrements!$G$6:$G$58,Census!$G46-17)*(INDEX(Decrements!$D$6:$D$58,Census!$G46+AL$5-18)+IF(AL$5=$B46,INDEX(Decrements!$F$6:$F$58,Census!$G46+AL$5-18),0)+INDEX(Decrements!$E$6:$E$58,Census!$G46+AL$5-18)*IF((Census!$F46+AL$5)&gt;=Assumptions!$B$11,1,0))*MIN(15/26*Census!$D46*(1+Assumptions!$B$9)^AL$5*(INT((Census!$F46+AL$5))+IF((Census!$F46+AL$5)-INT((Census!$F46+AL$5))&gt;0.5,1,0)),Assumptions!$B$10))</f>
        <v>0</v>
      </c>
      <c r="AM46" s="30">
        <f>IF(AM$5&gt;$B46,0,INDEX(Decrements!$G$6:$G$58,Census!$G46+AM$5-18)/INDEX(Decrements!$G$6:$G$58,Census!$G46-17)*(INDEX(Decrements!$D$6:$D$58,Census!$G46+AM$5-18)+IF(AM$5=$B46,INDEX(Decrements!$F$6:$F$58,Census!$G46+AM$5-18),0)+INDEX(Decrements!$E$6:$E$58,Census!$G46+AM$5-18)*IF((Census!$F46+AM$5)&gt;=Assumptions!$B$11,1,0))*MIN(15/26*Census!$D46*(1+Assumptions!$B$9)^AM$5*(INT((Census!$F46+AM$5))+IF((Census!$F46+AM$5)-INT((Census!$F46+AM$5))&gt;0.5,1,0)),Assumptions!$B$10))</f>
        <v>0</v>
      </c>
      <c r="AN46" s="30">
        <f>IF(AN$5&gt;$B46,0,INDEX(Decrements!$G$6:$G$58,Census!$G46+AN$5-18)/INDEX(Decrements!$G$6:$G$58,Census!$G46-17)*(INDEX(Decrements!$D$6:$D$58,Census!$G46+AN$5-18)+IF(AN$5=$B46,INDEX(Decrements!$F$6:$F$58,Census!$G46+AN$5-18),0)+INDEX(Decrements!$E$6:$E$58,Census!$G46+AN$5-18)*IF((Census!$F46+AN$5)&gt;=Assumptions!$B$11,1,0))*MIN(15/26*Census!$D46*(1+Assumptions!$B$9)^AN$5*(INT((Census!$F46+AN$5))+IF((Census!$F46+AN$5)-INT((Census!$F46+AN$5))&gt;0.5,1,0)),Assumptions!$B$10))</f>
        <v>0</v>
      </c>
      <c r="AO46" s="30">
        <f>IF(AO$5&gt;$B46,0,INDEX(Decrements!$G$6:$G$58,Census!$G46+AO$5-18)/INDEX(Decrements!$G$6:$G$58,Census!$G46-17)*(INDEX(Decrements!$D$6:$D$58,Census!$G46+AO$5-18)+IF(AO$5=$B46,INDEX(Decrements!$F$6:$F$58,Census!$G46+AO$5-18),0)+INDEX(Decrements!$E$6:$E$58,Census!$G46+AO$5-18)*IF((Census!$F46+AO$5)&gt;=Assumptions!$B$11,1,0))*MIN(15/26*Census!$D46*(1+Assumptions!$B$9)^AO$5*(INT((Census!$F46+AO$5))+IF((Census!$F46+AO$5)-INT((Census!$F46+AO$5))&gt;0.5,1,0)),Assumptions!$B$10))</f>
        <v>0</v>
      </c>
      <c r="AP46" s="30">
        <f>IF(AP$5&gt;$B46,0,INDEX(Decrements!$G$6:$G$58,Census!$G46+AP$5-18)/INDEX(Decrements!$G$6:$G$58,Census!$G46-17)*(INDEX(Decrements!$D$6:$D$58,Census!$G46+AP$5-18)+IF(AP$5=$B46,INDEX(Decrements!$F$6:$F$58,Census!$G46+AP$5-18),0)+INDEX(Decrements!$E$6:$E$58,Census!$G46+AP$5-18)*IF((Census!$F46+AP$5)&gt;=Assumptions!$B$11,1,0))*MIN(15/26*Census!$D46*(1+Assumptions!$B$9)^AP$5*(INT((Census!$F46+AP$5))+IF((Census!$F46+AP$5)-INT((Census!$F46+AP$5))&gt;0.5,1,0)),Assumptions!$B$10))</f>
        <v>0</v>
      </c>
      <c r="AQ46" s="30">
        <f>IF(AQ$5&gt;$B46,0,INDEX(Decrements!$G$6:$G$58,Census!$G46+AQ$5-18)/INDEX(Decrements!$G$6:$G$58,Census!$G46-17)*(INDEX(Decrements!$D$6:$D$58,Census!$G46+AQ$5-18)+IF(AQ$5=$B46,INDEX(Decrements!$F$6:$F$58,Census!$G46+AQ$5-18),0)+INDEX(Decrements!$E$6:$E$58,Census!$G46+AQ$5-18)*IF((Census!$F46+AQ$5)&gt;=Assumptions!$B$11,1,0))*MIN(15/26*Census!$D46*(1+Assumptions!$B$9)^AQ$5*(INT((Census!$F46+AQ$5))+IF((Census!$F46+AQ$5)-INT((Census!$F46+AQ$5))&gt;0.5,1,0)),Assumptions!$B$10))</f>
        <v>0</v>
      </c>
      <c r="AR46" s="30">
        <f>IF(AR$5&gt;$B46,0,INDEX(Decrements!$G$6:$G$58,Census!$G46+AR$5-18)/INDEX(Decrements!$G$6:$G$58,Census!$G46-17)*(INDEX(Decrements!$D$6:$D$58,Census!$G46+AR$5-18)+IF(AR$5=$B46,INDEX(Decrements!$F$6:$F$58,Census!$G46+AR$5-18),0)+INDEX(Decrements!$E$6:$E$58,Census!$G46+AR$5-18)*IF((Census!$F46+AR$5)&gt;=Assumptions!$B$11,1,0))*MIN(15/26*Census!$D46*(1+Assumptions!$B$9)^AR$5*(INT((Census!$F46+AR$5))+IF((Census!$F46+AR$5)-INT((Census!$F46+AR$5))&gt;0.5,1,0)),Assumptions!$B$10))</f>
        <v>0</v>
      </c>
      <c r="AS46" s="30">
        <f>IF(AS$5&gt;$B46,0,INDEX(Decrements!$G$6:$G$58,Census!$G46+AS$5-18)/INDEX(Decrements!$G$6:$G$58,Census!$G46-17)*(INDEX(Decrements!$D$6:$D$58,Census!$G46+AS$5-18)+IF(AS$5=$B46,INDEX(Decrements!$F$6:$F$58,Census!$G46+AS$5-18),0)+INDEX(Decrements!$E$6:$E$58,Census!$G46+AS$5-18)*IF((Census!$F46+AS$5)&gt;=Assumptions!$B$11,1,0))*MIN(15/26*Census!$D46*(1+Assumptions!$B$9)^AS$5*(INT((Census!$F46+AS$5))+IF((Census!$F46+AS$5)-INT((Census!$F46+AS$5))&gt;0.5,1,0)),Assumptions!$B$10))</f>
        <v>0</v>
      </c>
      <c r="AT46" s="30">
        <f>IF(AT$5&gt;$B46,0,INDEX(Decrements!$G$6:$G$58,Census!$G46+AT$5-18)/INDEX(Decrements!$G$6:$G$58,Census!$G46-17)*(INDEX(Decrements!$D$6:$D$58,Census!$G46+AT$5-18)+IF(AT$5=$B46,INDEX(Decrements!$F$6:$F$58,Census!$G46+AT$5-18),0)+INDEX(Decrements!$E$6:$E$58,Census!$G46+AT$5-18)*IF((Census!$F46+AT$5)&gt;=Assumptions!$B$11,1,0))*MIN(15/26*Census!$D46*(1+Assumptions!$B$9)^AT$5*(INT((Census!$F46+AT$5))+IF((Census!$F46+AT$5)-INT((Census!$F46+AT$5))&gt;0.5,1,0)),Assumptions!$B$10))</f>
        <v>0</v>
      </c>
      <c r="AU46" s="30">
        <f>IF(AU$5&gt;$B46,0,INDEX(Decrements!$G$6:$G$58,Census!$G46+AU$5-18)/INDEX(Decrements!$G$6:$G$58,Census!$G46-17)*(INDEX(Decrements!$D$6:$D$58,Census!$G46+AU$5-18)+IF(AU$5=$B46,INDEX(Decrements!$F$6:$F$58,Census!$G46+AU$5-18),0)+INDEX(Decrements!$E$6:$E$58,Census!$G46+AU$5-18)*IF((Census!$F46+AU$5)&gt;=Assumptions!$B$11,1,0))*MIN(15/26*Census!$D46*(1+Assumptions!$B$9)^AU$5*(INT((Census!$F46+AU$5))+IF((Census!$F46+AU$5)-INT((Census!$F46+AU$5))&gt;0.5,1,0)),Assumptions!$B$10))</f>
        <v>0</v>
      </c>
    </row>
    <row r="47" spans="1:47" x14ac:dyDescent="0.3">
      <c r="A47" s="10" t="str">
        <f>Census!A47</f>
        <v>E042</v>
      </c>
      <c r="B47" s="29">
        <f>Census!H47</f>
        <v>8</v>
      </c>
      <c r="C47" s="30">
        <f>IF(C$5&gt;$B47,0,INDEX(Decrements!$G$6:$G$58,Census!$G47+C$5-18)/INDEX(Decrements!$G$6:$G$58,Census!$G47-17)*(INDEX(Decrements!$D$6:$D$58,Census!$G47+C$5-18)+IF(C$5=$B47,INDEX(Decrements!$F$6:$F$58,Census!$G47+C$5-18),0)+INDEX(Decrements!$E$6:$E$58,Census!$G47+C$5-18)*IF((Census!$F47+C$5)&gt;=Assumptions!$B$11,1,0))*MIN(15/26*Census!$D47*(1+Assumptions!$B$9)^C$5*(INT((Census!$F47+C$5))+IF((Census!$F47+C$5)-INT((Census!$F47+C$5))&gt;0.5,1,0)),Assumptions!$B$10))</f>
        <v>46614.877713219343</v>
      </c>
      <c r="D47" s="30">
        <f>IF(D$5&gt;$B47,0,INDEX(Decrements!$G$6:$G$58,Census!$G47+D$5-18)/INDEX(Decrements!$G$6:$G$58,Census!$G47-17)*(INDEX(Decrements!$D$6:$D$58,Census!$G47+D$5-18)+IF(D$5=$B47,INDEX(Decrements!$F$6:$F$58,Census!$G47+D$5-18),0)+INDEX(Decrements!$E$6:$E$58,Census!$G47+D$5-18)*IF((Census!$F47+D$5)&gt;=Assumptions!$B$11,1,0))*MIN(15/26*Census!$D47*(1+Assumptions!$B$9)^D$5*(INT((Census!$F47+D$5))+IF((Census!$F47+D$5)-INT((Census!$F47+D$5))&gt;0.5,1,0)),Assumptions!$B$10))</f>
        <v>46096.984025151454</v>
      </c>
      <c r="E47" s="30">
        <f>IF(E$5&gt;$B47,0,INDEX(Decrements!$G$6:$G$58,Census!$G47+E$5-18)/INDEX(Decrements!$G$6:$G$58,Census!$G47-17)*(INDEX(Decrements!$D$6:$D$58,Census!$G47+E$5-18)+IF(E$5=$B47,INDEX(Decrements!$F$6:$F$58,Census!$G47+E$5-18),0)+INDEX(Decrements!$E$6:$E$58,Census!$G47+E$5-18)*IF((Census!$F47+E$5)&gt;=Assumptions!$B$11,1,0))*MIN(15/26*Census!$D47*(1+Assumptions!$B$9)^E$5*(INT((Census!$F47+E$5))+IF((Census!$F47+E$5)-INT((Census!$F47+E$5))&gt;0.5,1,0)),Assumptions!$B$10))</f>
        <v>45619.650957191101</v>
      </c>
      <c r="F47" s="30">
        <f>IF(F$5&gt;$B47,0,INDEX(Decrements!$G$6:$G$58,Census!$G47+F$5-18)/INDEX(Decrements!$G$6:$G$58,Census!$G47-17)*(INDEX(Decrements!$D$6:$D$58,Census!$G47+F$5-18)+IF(F$5=$B47,INDEX(Decrements!$F$6:$F$58,Census!$G47+F$5-18),0)+INDEX(Decrements!$E$6:$E$58,Census!$G47+F$5-18)*IF((Census!$F47+F$5)&gt;=Assumptions!$B$11,1,0))*MIN(15/26*Census!$D47*(1+Assumptions!$B$9)^F$5*(INT((Census!$F47+F$5))+IF((Census!$F47+F$5)-INT((Census!$F47+F$5))&gt;0.5,1,0)),Assumptions!$B$10))</f>
        <v>26648.182518169011</v>
      </c>
      <c r="G47" s="30">
        <f>IF(G$5&gt;$B47,0,INDEX(Decrements!$G$6:$G$58,Census!$G47+G$5-18)/INDEX(Decrements!$G$6:$G$58,Census!$G47-17)*(INDEX(Decrements!$D$6:$D$58,Census!$G47+G$5-18)+IF(G$5=$B47,INDEX(Decrements!$F$6:$F$58,Census!$G47+G$5-18),0)+INDEX(Decrements!$E$6:$E$58,Census!$G47+G$5-18)*IF((Census!$F47+G$5)&gt;=Assumptions!$B$11,1,0))*MIN(15/26*Census!$D47*(1+Assumptions!$B$9)^G$5*(INT((Census!$F47+G$5))+IF((Census!$F47+G$5)-INT((Census!$F47+G$5))&gt;0.5,1,0)),Assumptions!$B$10))</f>
        <v>26984.170206408889</v>
      </c>
      <c r="H47" s="30">
        <f>IF(H$5&gt;$B47,0,INDEX(Decrements!$G$6:$G$58,Census!$G47+H$5-18)/INDEX(Decrements!$G$6:$G$58,Census!$G47-17)*(INDEX(Decrements!$D$6:$D$58,Census!$G47+H$5-18)+IF(H$5=$B47,INDEX(Decrements!$F$6:$F$58,Census!$G47+H$5-18),0)+INDEX(Decrements!$E$6:$E$58,Census!$G47+H$5-18)*IF((Census!$F47+H$5)&gt;=Assumptions!$B$11,1,0))*MIN(15/26*Census!$D47*(1+Assumptions!$B$9)^H$5*(INT((Census!$F47+H$5))+IF((Census!$F47+H$5)-INT((Census!$F47+H$5))&gt;0.5,1,0)),Assumptions!$B$10))</f>
        <v>27364.613165849045</v>
      </c>
      <c r="I47" s="30">
        <f>IF(I$5&gt;$B47,0,INDEX(Decrements!$G$6:$G$58,Census!$G47+I$5-18)/INDEX(Decrements!$G$6:$G$58,Census!$G47-17)*(INDEX(Decrements!$D$6:$D$58,Census!$G47+I$5-18)+IF(I$5=$B47,INDEX(Decrements!$F$6:$F$58,Census!$G47+I$5-18),0)+INDEX(Decrements!$E$6:$E$58,Census!$G47+I$5-18)*IF((Census!$F47+I$5)&gt;=Assumptions!$B$11,1,0))*MIN(15/26*Census!$D47*(1+Assumptions!$B$9)^I$5*(INT((Census!$F47+I$5))+IF((Census!$F47+I$5)-INT((Census!$F47+I$5))&gt;0.5,1,0)),Assumptions!$B$10))</f>
        <v>27792.097083162003</v>
      </c>
      <c r="J47" s="30">
        <f>IF(J$5&gt;$B47,0,INDEX(Decrements!$G$6:$G$58,Census!$G47+J$5-18)/INDEX(Decrements!$G$6:$G$58,Census!$G47-17)*(INDEX(Decrements!$D$6:$D$58,Census!$G47+J$5-18)+IF(J$5=$B47,INDEX(Decrements!$F$6:$F$58,Census!$G47+J$5-18),0)+INDEX(Decrements!$E$6:$E$58,Census!$G47+J$5-18)*IF((Census!$F47+J$5)&gt;=Assumptions!$B$11,1,0))*MIN(15/26*Census!$D47*(1+Assumptions!$B$9)^J$5*(INT((Census!$F47+J$5))+IF((Census!$F47+J$5)-INT((Census!$F47+J$5))&gt;0.5,1,0)),Assumptions!$B$10))</f>
        <v>1752879.424330849</v>
      </c>
      <c r="K47" s="30">
        <f>IF(K$5&gt;$B47,0,INDEX(Decrements!$G$6:$G$58,Census!$G47+K$5-18)/INDEX(Decrements!$G$6:$G$58,Census!$G47-17)*(INDEX(Decrements!$D$6:$D$58,Census!$G47+K$5-18)+IF(K$5=$B47,INDEX(Decrements!$F$6:$F$58,Census!$G47+K$5-18),0)+INDEX(Decrements!$E$6:$E$58,Census!$G47+K$5-18)*IF((Census!$F47+K$5)&gt;=Assumptions!$B$11,1,0))*MIN(15/26*Census!$D47*(1+Assumptions!$B$9)^K$5*(INT((Census!$F47+K$5))+IF((Census!$F47+K$5)-INT((Census!$F47+K$5))&gt;0.5,1,0)),Assumptions!$B$10))</f>
        <v>0</v>
      </c>
      <c r="L47" s="30">
        <f>IF(L$5&gt;$B47,0,INDEX(Decrements!$G$6:$G$58,Census!$G47+L$5-18)/INDEX(Decrements!$G$6:$G$58,Census!$G47-17)*(INDEX(Decrements!$D$6:$D$58,Census!$G47+L$5-18)+IF(L$5=$B47,INDEX(Decrements!$F$6:$F$58,Census!$G47+L$5-18),0)+INDEX(Decrements!$E$6:$E$58,Census!$G47+L$5-18)*IF((Census!$F47+L$5)&gt;=Assumptions!$B$11,1,0))*MIN(15/26*Census!$D47*(1+Assumptions!$B$9)^L$5*(INT((Census!$F47+L$5))+IF((Census!$F47+L$5)-INT((Census!$F47+L$5))&gt;0.5,1,0)),Assumptions!$B$10))</f>
        <v>0</v>
      </c>
      <c r="M47" s="30">
        <f>IF(M$5&gt;$B47,0,INDEX(Decrements!$G$6:$G$58,Census!$G47+M$5-18)/INDEX(Decrements!$G$6:$G$58,Census!$G47-17)*(INDEX(Decrements!$D$6:$D$58,Census!$G47+M$5-18)+IF(M$5=$B47,INDEX(Decrements!$F$6:$F$58,Census!$G47+M$5-18),0)+INDEX(Decrements!$E$6:$E$58,Census!$G47+M$5-18)*IF((Census!$F47+M$5)&gt;=Assumptions!$B$11,1,0))*MIN(15/26*Census!$D47*(1+Assumptions!$B$9)^M$5*(INT((Census!$F47+M$5))+IF((Census!$F47+M$5)-INT((Census!$F47+M$5))&gt;0.5,1,0)),Assumptions!$B$10))</f>
        <v>0</v>
      </c>
      <c r="N47" s="30">
        <f>IF(N$5&gt;$B47,0,INDEX(Decrements!$G$6:$G$58,Census!$G47+N$5-18)/INDEX(Decrements!$G$6:$G$58,Census!$G47-17)*(INDEX(Decrements!$D$6:$D$58,Census!$G47+N$5-18)+IF(N$5=$B47,INDEX(Decrements!$F$6:$F$58,Census!$G47+N$5-18),0)+INDEX(Decrements!$E$6:$E$58,Census!$G47+N$5-18)*IF((Census!$F47+N$5)&gt;=Assumptions!$B$11,1,0))*MIN(15/26*Census!$D47*(1+Assumptions!$B$9)^N$5*(INT((Census!$F47+N$5))+IF((Census!$F47+N$5)-INT((Census!$F47+N$5))&gt;0.5,1,0)),Assumptions!$B$10))</f>
        <v>0</v>
      </c>
      <c r="O47" s="30">
        <f>IF(O$5&gt;$B47,0,INDEX(Decrements!$G$6:$G$58,Census!$G47+O$5-18)/INDEX(Decrements!$G$6:$G$58,Census!$G47-17)*(INDEX(Decrements!$D$6:$D$58,Census!$G47+O$5-18)+IF(O$5=$B47,INDEX(Decrements!$F$6:$F$58,Census!$G47+O$5-18),0)+INDEX(Decrements!$E$6:$E$58,Census!$G47+O$5-18)*IF((Census!$F47+O$5)&gt;=Assumptions!$B$11,1,0))*MIN(15/26*Census!$D47*(1+Assumptions!$B$9)^O$5*(INT((Census!$F47+O$5))+IF((Census!$F47+O$5)-INT((Census!$F47+O$5))&gt;0.5,1,0)),Assumptions!$B$10))</f>
        <v>0</v>
      </c>
      <c r="P47" s="30">
        <f>IF(P$5&gt;$B47,0,INDEX(Decrements!$G$6:$G$58,Census!$G47+P$5-18)/INDEX(Decrements!$G$6:$G$58,Census!$G47-17)*(INDEX(Decrements!$D$6:$D$58,Census!$G47+P$5-18)+IF(P$5=$B47,INDEX(Decrements!$F$6:$F$58,Census!$G47+P$5-18),0)+INDEX(Decrements!$E$6:$E$58,Census!$G47+P$5-18)*IF((Census!$F47+P$5)&gt;=Assumptions!$B$11,1,0))*MIN(15/26*Census!$D47*(1+Assumptions!$B$9)^P$5*(INT((Census!$F47+P$5))+IF((Census!$F47+P$5)-INT((Census!$F47+P$5))&gt;0.5,1,0)),Assumptions!$B$10))</f>
        <v>0</v>
      </c>
      <c r="Q47" s="30">
        <f>IF(Q$5&gt;$B47,0,INDEX(Decrements!$G$6:$G$58,Census!$G47+Q$5-18)/INDEX(Decrements!$G$6:$G$58,Census!$G47-17)*(INDEX(Decrements!$D$6:$D$58,Census!$G47+Q$5-18)+IF(Q$5=$B47,INDEX(Decrements!$F$6:$F$58,Census!$G47+Q$5-18),0)+INDEX(Decrements!$E$6:$E$58,Census!$G47+Q$5-18)*IF((Census!$F47+Q$5)&gt;=Assumptions!$B$11,1,0))*MIN(15/26*Census!$D47*(1+Assumptions!$B$9)^Q$5*(INT((Census!$F47+Q$5))+IF((Census!$F47+Q$5)-INT((Census!$F47+Q$5))&gt;0.5,1,0)),Assumptions!$B$10))</f>
        <v>0</v>
      </c>
      <c r="R47" s="30">
        <f>IF(R$5&gt;$B47,0,INDEX(Decrements!$G$6:$G$58,Census!$G47+R$5-18)/INDEX(Decrements!$G$6:$G$58,Census!$G47-17)*(INDEX(Decrements!$D$6:$D$58,Census!$G47+R$5-18)+IF(R$5=$B47,INDEX(Decrements!$F$6:$F$58,Census!$G47+R$5-18),0)+INDEX(Decrements!$E$6:$E$58,Census!$G47+R$5-18)*IF((Census!$F47+R$5)&gt;=Assumptions!$B$11,1,0))*MIN(15/26*Census!$D47*(1+Assumptions!$B$9)^R$5*(INT((Census!$F47+R$5))+IF((Census!$F47+R$5)-INT((Census!$F47+R$5))&gt;0.5,1,0)),Assumptions!$B$10))</f>
        <v>0</v>
      </c>
      <c r="S47" s="30">
        <f>IF(S$5&gt;$B47,0,INDEX(Decrements!$G$6:$G$58,Census!$G47+S$5-18)/INDEX(Decrements!$G$6:$G$58,Census!$G47-17)*(INDEX(Decrements!$D$6:$D$58,Census!$G47+S$5-18)+IF(S$5=$B47,INDEX(Decrements!$F$6:$F$58,Census!$G47+S$5-18),0)+INDEX(Decrements!$E$6:$E$58,Census!$G47+S$5-18)*IF((Census!$F47+S$5)&gt;=Assumptions!$B$11,1,0))*MIN(15/26*Census!$D47*(1+Assumptions!$B$9)^S$5*(INT((Census!$F47+S$5))+IF((Census!$F47+S$5)-INT((Census!$F47+S$5))&gt;0.5,1,0)),Assumptions!$B$10))</f>
        <v>0</v>
      </c>
      <c r="T47" s="30">
        <f>IF(T$5&gt;$B47,0,INDEX(Decrements!$G$6:$G$58,Census!$G47+T$5-18)/INDEX(Decrements!$G$6:$G$58,Census!$G47-17)*(INDEX(Decrements!$D$6:$D$58,Census!$G47+T$5-18)+IF(T$5=$B47,INDEX(Decrements!$F$6:$F$58,Census!$G47+T$5-18),0)+INDEX(Decrements!$E$6:$E$58,Census!$G47+T$5-18)*IF((Census!$F47+T$5)&gt;=Assumptions!$B$11,1,0))*MIN(15/26*Census!$D47*(1+Assumptions!$B$9)^T$5*(INT((Census!$F47+T$5))+IF((Census!$F47+T$5)-INT((Census!$F47+T$5))&gt;0.5,1,0)),Assumptions!$B$10))</f>
        <v>0</v>
      </c>
      <c r="U47" s="30">
        <f>IF(U$5&gt;$B47,0,INDEX(Decrements!$G$6:$G$58,Census!$G47+U$5-18)/INDEX(Decrements!$G$6:$G$58,Census!$G47-17)*(INDEX(Decrements!$D$6:$D$58,Census!$G47+U$5-18)+IF(U$5=$B47,INDEX(Decrements!$F$6:$F$58,Census!$G47+U$5-18),0)+INDEX(Decrements!$E$6:$E$58,Census!$G47+U$5-18)*IF((Census!$F47+U$5)&gt;=Assumptions!$B$11,1,0))*MIN(15/26*Census!$D47*(1+Assumptions!$B$9)^U$5*(INT((Census!$F47+U$5))+IF((Census!$F47+U$5)-INT((Census!$F47+U$5))&gt;0.5,1,0)),Assumptions!$B$10))</f>
        <v>0</v>
      </c>
      <c r="V47" s="30">
        <f>IF(V$5&gt;$B47,0,INDEX(Decrements!$G$6:$G$58,Census!$G47+V$5-18)/INDEX(Decrements!$G$6:$G$58,Census!$G47-17)*(INDEX(Decrements!$D$6:$D$58,Census!$G47+V$5-18)+IF(V$5=$B47,INDEX(Decrements!$F$6:$F$58,Census!$G47+V$5-18),0)+INDEX(Decrements!$E$6:$E$58,Census!$G47+V$5-18)*IF((Census!$F47+V$5)&gt;=Assumptions!$B$11,1,0))*MIN(15/26*Census!$D47*(1+Assumptions!$B$9)^V$5*(INT((Census!$F47+V$5))+IF((Census!$F47+V$5)-INT((Census!$F47+V$5))&gt;0.5,1,0)),Assumptions!$B$10))</f>
        <v>0</v>
      </c>
      <c r="W47" s="30">
        <f>IF(W$5&gt;$B47,0,INDEX(Decrements!$G$6:$G$58,Census!$G47+W$5-18)/INDEX(Decrements!$G$6:$G$58,Census!$G47-17)*(INDEX(Decrements!$D$6:$D$58,Census!$G47+W$5-18)+IF(W$5=$B47,INDEX(Decrements!$F$6:$F$58,Census!$G47+W$5-18),0)+INDEX(Decrements!$E$6:$E$58,Census!$G47+W$5-18)*IF((Census!$F47+W$5)&gt;=Assumptions!$B$11,1,0))*MIN(15/26*Census!$D47*(1+Assumptions!$B$9)^W$5*(INT((Census!$F47+W$5))+IF((Census!$F47+W$5)-INT((Census!$F47+W$5))&gt;0.5,1,0)),Assumptions!$B$10))</f>
        <v>0</v>
      </c>
      <c r="X47" s="30">
        <f>IF(X$5&gt;$B47,0,INDEX(Decrements!$G$6:$G$58,Census!$G47+X$5-18)/INDEX(Decrements!$G$6:$G$58,Census!$G47-17)*(INDEX(Decrements!$D$6:$D$58,Census!$G47+X$5-18)+IF(X$5=$B47,INDEX(Decrements!$F$6:$F$58,Census!$G47+X$5-18),0)+INDEX(Decrements!$E$6:$E$58,Census!$G47+X$5-18)*IF((Census!$F47+X$5)&gt;=Assumptions!$B$11,1,0))*MIN(15/26*Census!$D47*(1+Assumptions!$B$9)^X$5*(INT((Census!$F47+X$5))+IF((Census!$F47+X$5)-INT((Census!$F47+X$5))&gt;0.5,1,0)),Assumptions!$B$10))</f>
        <v>0</v>
      </c>
      <c r="Y47" s="30">
        <f>IF(Y$5&gt;$B47,0,INDEX(Decrements!$G$6:$G$58,Census!$G47+Y$5-18)/INDEX(Decrements!$G$6:$G$58,Census!$G47-17)*(INDEX(Decrements!$D$6:$D$58,Census!$G47+Y$5-18)+IF(Y$5=$B47,INDEX(Decrements!$F$6:$F$58,Census!$G47+Y$5-18),0)+INDEX(Decrements!$E$6:$E$58,Census!$G47+Y$5-18)*IF((Census!$F47+Y$5)&gt;=Assumptions!$B$11,1,0))*MIN(15/26*Census!$D47*(1+Assumptions!$B$9)^Y$5*(INT((Census!$F47+Y$5))+IF((Census!$F47+Y$5)-INT((Census!$F47+Y$5))&gt;0.5,1,0)),Assumptions!$B$10))</f>
        <v>0</v>
      </c>
      <c r="Z47" s="30">
        <f>IF(Z$5&gt;$B47,0,INDEX(Decrements!$G$6:$G$58,Census!$G47+Z$5-18)/INDEX(Decrements!$G$6:$G$58,Census!$G47-17)*(INDEX(Decrements!$D$6:$D$58,Census!$G47+Z$5-18)+IF(Z$5=$B47,INDEX(Decrements!$F$6:$F$58,Census!$G47+Z$5-18),0)+INDEX(Decrements!$E$6:$E$58,Census!$G47+Z$5-18)*IF((Census!$F47+Z$5)&gt;=Assumptions!$B$11,1,0))*MIN(15/26*Census!$D47*(1+Assumptions!$B$9)^Z$5*(INT((Census!$F47+Z$5))+IF((Census!$F47+Z$5)-INT((Census!$F47+Z$5))&gt;0.5,1,0)),Assumptions!$B$10))</f>
        <v>0</v>
      </c>
      <c r="AA47" s="30">
        <f>IF(AA$5&gt;$B47,0,INDEX(Decrements!$G$6:$G$58,Census!$G47+AA$5-18)/INDEX(Decrements!$G$6:$G$58,Census!$G47-17)*(INDEX(Decrements!$D$6:$D$58,Census!$G47+AA$5-18)+IF(AA$5=$B47,INDEX(Decrements!$F$6:$F$58,Census!$G47+AA$5-18),0)+INDEX(Decrements!$E$6:$E$58,Census!$G47+AA$5-18)*IF((Census!$F47+AA$5)&gt;=Assumptions!$B$11,1,0))*MIN(15/26*Census!$D47*(1+Assumptions!$B$9)^AA$5*(INT((Census!$F47+AA$5))+IF((Census!$F47+AA$5)-INT((Census!$F47+AA$5))&gt;0.5,1,0)),Assumptions!$B$10))</f>
        <v>0</v>
      </c>
      <c r="AB47" s="30">
        <f>IF(AB$5&gt;$B47,0,INDEX(Decrements!$G$6:$G$58,Census!$G47+AB$5-18)/INDEX(Decrements!$G$6:$G$58,Census!$G47-17)*(INDEX(Decrements!$D$6:$D$58,Census!$G47+AB$5-18)+IF(AB$5=$B47,INDEX(Decrements!$F$6:$F$58,Census!$G47+AB$5-18),0)+INDEX(Decrements!$E$6:$E$58,Census!$G47+AB$5-18)*IF((Census!$F47+AB$5)&gt;=Assumptions!$B$11,1,0))*MIN(15/26*Census!$D47*(1+Assumptions!$B$9)^AB$5*(INT((Census!$F47+AB$5))+IF((Census!$F47+AB$5)-INT((Census!$F47+AB$5))&gt;0.5,1,0)),Assumptions!$B$10))</f>
        <v>0</v>
      </c>
      <c r="AC47" s="30">
        <f>IF(AC$5&gt;$B47,0,INDEX(Decrements!$G$6:$G$58,Census!$G47+AC$5-18)/INDEX(Decrements!$G$6:$G$58,Census!$G47-17)*(INDEX(Decrements!$D$6:$D$58,Census!$G47+AC$5-18)+IF(AC$5=$B47,INDEX(Decrements!$F$6:$F$58,Census!$G47+AC$5-18),0)+INDEX(Decrements!$E$6:$E$58,Census!$G47+AC$5-18)*IF((Census!$F47+AC$5)&gt;=Assumptions!$B$11,1,0))*MIN(15/26*Census!$D47*(1+Assumptions!$B$9)^AC$5*(INT((Census!$F47+AC$5))+IF((Census!$F47+AC$5)-INT((Census!$F47+AC$5))&gt;0.5,1,0)),Assumptions!$B$10))</f>
        <v>0</v>
      </c>
      <c r="AD47" s="30">
        <f>IF(AD$5&gt;$B47,0,INDEX(Decrements!$G$6:$G$58,Census!$G47+AD$5-18)/INDEX(Decrements!$G$6:$G$58,Census!$G47-17)*(INDEX(Decrements!$D$6:$D$58,Census!$G47+AD$5-18)+IF(AD$5=$B47,INDEX(Decrements!$F$6:$F$58,Census!$G47+AD$5-18),0)+INDEX(Decrements!$E$6:$E$58,Census!$G47+AD$5-18)*IF((Census!$F47+AD$5)&gt;=Assumptions!$B$11,1,0))*MIN(15/26*Census!$D47*(1+Assumptions!$B$9)^AD$5*(INT((Census!$F47+AD$5))+IF((Census!$F47+AD$5)-INT((Census!$F47+AD$5))&gt;0.5,1,0)),Assumptions!$B$10))</f>
        <v>0</v>
      </c>
      <c r="AE47" s="30">
        <f>IF(AE$5&gt;$B47,0,INDEX(Decrements!$G$6:$G$58,Census!$G47+AE$5-18)/INDEX(Decrements!$G$6:$G$58,Census!$G47-17)*(INDEX(Decrements!$D$6:$D$58,Census!$G47+AE$5-18)+IF(AE$5=$B47,INDEX(Decrements!$F$6:$F$58,Census!$G47+AE$5-18),0)+INDEX(Decrements!$E$6:$E$58,Census!$G47+AE$5-18)*IF((Census!$F47+AE$5)&gt;=Assumptions!$B$11,1,0))*MIN(15/26*Census!$D47*(1+Assumptions!$B$9)^AE$5*(INT((Census!$F47+AE$5))+IF((Census!$F47+AE$5)-INT((Census!$F47+AE$5))&gt;0.5,1,0)),Assumptions!$B$10))</f>
        <v>0</v>
      </c>
      <c r="AF47" s="30">
        <f>IF(AF$5&gt;$B47,0,INDEX(Decrements!$G$6:$G$58,Census!$G47+AF$5-18)/INDEX(Decrements!$G$6:$G$58,Census!$G47-17)*(INDEX(Decrements!$D$6:$D$58,Census!$G47+AF$5-18)+IF(AF$5=$B47,INDEX(Decrements!$F$6:$F$58,Census!$G47+AF$5-18),0)+INDEX(Decrements!$E$6:$E$58,Census!$G47+AF$5-18)*IF((Census!$F47+AF$5)&gt;=Assumptions!$B$11,1,0))*MIN(15/26*Census!$D47*(1+Assumptions!$B$9)^AF$5*(INT((Census!$F47+AF$5))+IF((Census!$F47+AF$5)-INT((Census!$F47+AF$5))&gt;0.5,1,0)),Assumptions!$B$10))</f>
        <v>0</v>
      </c>
      <c r="AG47" s="30">
        <f>IF(AG$5&gt;$B47,0,INDEX(Decrements!$G$6:$G$58,Census!$G47+AG$5-18)/INDEX(Decrements!$G$6:$G$58,Census!$G47-17)*(INDEX(Decrements!$D$6:$D$58,Census!$G47+AG$5-18)+IF(AG$5=$B47,INDEX(Decrements!$F$6:$F$58,Census!$G47+AG$5-18),0)+INDEX(Decrements!$E$6:$E$58,Census!$G47+AG$5-18)*IF((Census!$F47+AG$5)&gt;=Assumptions!$B$11,1,0))*MIN(15/26*Census!$D47*(1+Assumptions!$B$9)^AG$5*(INT((Census!$F47+AG$5))+IF((Census!$F47+AG$5)-INT((Census!$F47+AG$5))&gt;0.5,1,0)),Assumptions!$B$10))</f>
        <v>0</v>
      </c>
      <c r="AH47" s="30">
        <f>IF(AH$5&gt;$B47,0,INDEX(Decrements!$G$6:$G$58,Census!$G47+AH$5-18)/INDEX(Decrements!$G$6:$G$58,Census!$G47-17)*(INDEX(Decrements!$D$6:$D$58,Census!$G47+AH$5-18)+IF(AH$5=$B47,INDEX(Decrements!$F$6:$F$58,Census!$G47+AH$5-18),0)+INDEX(Decrements!$E$6:$E$58,Census!$G47+AH$5-18)*IF((Census!$F47+AH$5)&gt;=Assumptions!$B$11,1,0))*MIN(15/26*Census!$D47*(1+Assumptions!$B$9)^AH$5*(INT((Census!$F47+AH$5))+IF((Census!$F47+AH$5)-INT((Census!$F47+AH$5))&gt;0.5,1,0)),Assumptions!$B$10))</f>
        <v>0</v>
      </c>
      <c r="AI47" s="30">
        <f>IF(AI$5&gt;$B47,0,INDEX(Decrements!$G$6:$G$58,Census!$G47+AI$5-18)/INDEX(Decrements!$G$6:$G$58,Census!$G47-17)*(INDEX(Decrements!$D$6:$D$58,Census!$G47+AI$5-18)+IF(AI$5=$B47,INDEX(Decrements!$F$6:$F$58,Census!$G47+AI$5-18),0)+INDEX(Decrements!$E$6:$E$58,Census!$G47+AI$5-18)*IF((Census!$F47+AI$5)&gt;=Assumptions!$B$11,1,0))*MIN(15/26*Census!$D47*(1+Assumptions!$B$9)^AI$5*(INT((Census!$F47+AI$5))+IF((Census!$F47+AI$5)-INT((Census!$F47+AI$5))&gt;0.5,1,0)),Assumptions!$B$10))</f>
        <v>0</v>
      </c>
      <c r="AJ47" s="30">
        <f>IF(AJ$5&gt;$B47,0,INDEX(Decrements!$G$6:$G$58,Census!$G47+AJ$5-18)/INDEX(Decrements!$G$6:$G$58,Census!$G47-17)*(INDEX(Decrements!$D$6:$D$58,Census!$G47+AJ$5-18)+IF(AJ$5=$B47,INDEX(Decrements!$F$6:$F$58,Census!$G47+AJ$5-18),0)+INDEX(Decrements!$E$6:$E$58,Census!$G47+AJ$5-18)*IF((Census!$F47+AJ$5)&gt;=Assumptions!$B$11,1,0))*MIN(15/26*Census!$D47*(1+Assumptions!$B$9)^AJ$5*(INT((Census!$F47+AJ$5))+IF((Census!$F47+AJ$5)-INT((Census!$F47+AJ$5))&gt;0.5,1,0)),Assumptions!$B$10))</f>
        <v>0</v>
      </c>
      <c r="AK47" s="30">
        <f>IF(AK$5&gt;$B47,0,INDEX(Decrements!$G$6:$G$58,Census!$G47+AK$5-18)/INDEX(Decrements!$G$6:$G$58,Census!$G47-17)*(INDEX(Decrements!$D$6:$D$58,Census!$G47+AK$5-18)+IF(AK$5=$B47,INDEX(Decrements!$F$6:$F$58,Census!$G47+AK$5-18),0)+INDEX(Decrements!$E$6:$E$58,Census!$G47+AK$5-18)*IF((Census!$F47+AK$5)&gt;=Assumptions!$B$11,1,0))*MIN(15/26*Census!$D47*(1+Assumptions!$B$9)^AK$5*(INT((Census!$F47+AK$5))+IF((Census!$F47+AK$5)-INT((Census!$F47+AK$5))&gt;0.5,1,0)),Assumptions!$B$10))</f>
        <v>0</v>
      </c>
      <c r="AL47" s="30">
        <f>IF(AL$5&gt;$B47,0,INDEX(Decrements!$G$6:$G$58,Census!$G47+AL$5-18)/INDEX(Decrements!$G$6:$G$58,Census!$G47-17)*(INDEX(Decrements!$D$6:$D$58,Census!$G47+AL$5-18)+IF(AL$5=$B47,INDEX(Decrements!$F$6:$F$58,Census!$G47+AL$5-18),0)+INDEX(Decrements!$E$6:$E$58,Census!$G47+AL$5-18)*IF((Census!$F47+AL$5)&gt;=Assumptions!$B$11,1,0))*MIN(15/26*Census!$D47*(1+Assumptions!$B$9)^AL$5*(INT((Census!$F47+AL$5))+IF((Census!$F47+AL$5)-INT((Census!$F47+AL$5))&gt;0.5,1,0)),Assumptions!$B$10))</f>
        <v>0</v>
      </c>
      <c r="AM47" s="30">
        <f>IF(AM$5&gt;$B47,0,INDEX(Decrements!$G$6:$G$58,Census!$G47+AM$5-18)/INDEX(Decrements!$G$6:$G$58,Census!$G47-17)*(INDEX(Decrements!$D$6:$D$58,Census!$G47+AM$5-18)+IF(AM$5=$B47,INDEX(Decrements!$F$6:$F$58,Census!$G47+AM$5-18),0)+INDEX(Decrements!$E$6:$E$58,Census!$G47+AM$5-18)*IF((Census!$F47+AM$5)&gt;=Assumptions!$B$11,1,0))*MIN(15/26*Census!$D47*(1+Assumptions!$B$9)^AM$5*(INT((Census!$F47+AM$5))+IF((Census!$F47+AM$5)-INT((Census!$F47+AM$5))&gt;0.5,1,0)),Assumptions!$B$10))</f>
        <v>0</v>
      </c>
      <c r="AN47" s="30">
        <f>IF(AN$5&gt;$B47,0,INDEX(Decrements!$G$6:$G$58,Census!$G47+AN$5-18)/INDEX(Decrements!$G$6:$G$58,Census!$G47-17)*(INDEX(Decrements!$D$6:$D$58,Census!$G47+AN$5-18)+IF(AN$5=$B47,INDEX(Decrements!$F$6:$F$58,Census!$G47+AN$5-18),0)+INDEX(Decrements!$E$6:$E$58,Census!$G47+AN$5-18)*IF((Census!$F47+AN$5)&gt;=Assumptions!$B$11,1,0))*MIN(15/26*Census!$D47*(1+Assumptions!$B$9)^AN$5*(INT((Census!$F47+AN$5))+IF((Census!$F47+AN$5)-INT((Census!$F47+AN$5))&gt;0.5,1,0)),Assumptions!$B$10))</f>
        <v>0</v>
      </c>
      <c r="AO47" s="30">
        <f>IF(AO$5&gt;$B47,0,INDEX(Decrements!$G$6:$G$58,Census!$G47+AO$5-18)/INDEX(Decrements!$G$6:$G$58,Census!$G47-17)*(INDEX(Decrements!$D$6:$D$58,Census!$G47+AO$5-18)+IF(AO$5=$B47,INDEX(Decrements!$F$6:$F$58,Census!$G47+AO$5-18),0)+INDEX(Decrements!$E$6:$E$58,Census!$G47+AO$5-18)*IF((Census!$F47+AO$5)&gt;=Assumptions!$B$11,1,0))*MIN(15/26*Census!$D47*(1+Assumptions!$B$9)^AO$5*(INT((Census!$F47+AO$5))+IF((Census!$F47+AO$5)-INT((Census!$F47+AO$5))&gt;0.5,1,0)),Assumptions!$B$10))</f>
        <v>0</v>
      </c>
      <c r="AP47" s="30">
        <f>IF(AP$5&gt;$B47,0,INDEX(Decrements!$G$6:$G$58,Census!$G47+AP$5-18)/INDEX(Decrements!$G$6:$G$58,Census!$G47-17)*(INDEX(Decrements!$D$6:$D$58,Census!$G47+AP$5-18)+IF(AP$5=$B47,INDEX(Decrements!$F$6:$F$58,Census!$G47+AP$5-18),0)+INDEX(Decrements!$E$6:$E$58,Census!$G47+AP$5-18)*IF((Census!$F47+AP$5)&gt;=Assumptions!$B$11,1,0))*MIN(15/26*Census!$D47*(1+Assumptions!$B$9)^AP$5*(INT((Census!$F47+AP$5))+IF((Census!$F47+AP$5)-INT((Census!$F47+AP$5))&gt;0.5,1,0)),Assumptions!$B$10))</f>
        <v>0</v>
      </c>
      <c r="AQ47" s="30">
        <f>IF(AQ$5&gt;$B47,0,INDEX(Decrements!$G$6:$G$58,Census!$G47+AQ$5-18)/INDEX(Decrements!$G$6:$G$58,Census!$G47-17)*(INDEX(Decrements!$D$6:$D$58,Census!$G47+AQ$5-18)+IF(AQ$5=$B47,INDEX(Decrements!$F$6:$F$58,Census!$G47+AQ$5-18),0)+INDEX(Decrements!$E$6:$E$58,Census!$G47+AQ$5-18)*IF((Census!$F47+AQ$5)&gt;=Assumptions!$B$11,1,0))*MIN(15/26*Census!$D47*(1+Assumptions!$B$9)^AQ$5*(INT((Census!$F47+AQ$5))+IF((Census!$F47+AQ$5)-INT((Census!$F47+AQ$5))&gt;0.5,1,0)),Assumptions!$B$10))</f>
        <v>0</v>
      </c>
      <c r="AR47" s="30">
        <f>IF(AR$5&gt;$B47,0,INDEX(Decrements!$G$6:$G$58,Census!$G47+AR$5-18)/INDEX(Decrements!$G$6:$G$58,Census!$G47-17)*(INDEX(Decrements!$D$6:$D$58,Census!$G47+AR$5-18)+IF(AR$5=$B47,INDEX(Decrements!$F$6:$F$58,Census!$G47+AR$5-18),0)+INDEX(Decrements!$E$6:$E$58,Census!$G47+AR$5-18)*IF((Census!$F47+AR$5)&gt;=Assumptions!$B$11,1,0))*MIN(15/26*Census!$D47*(1+Assumptions!$B$9)^AR$5*(INT((Census!$F47+AR$5))+IF((Census!$F47+AR$5)-INT((Census!$F47+AR$5))&gt;0.5,1,0)),Assumptions!$B$10))</f>
        <v>0</v>
      </c>
      <c r="AS47" s="30">
        <f>IF(AS$5&gt;$B47,0,INDEX(Decrements!$G$6:$G$58,Census!$G47+AS$5-18)/INDEX(Decrements!$G$6:$G$58,Census!$G47-17)*(INDEX(Decrements!$D$6:$D$58,Census!$G47+AS$5-18)+IF(AS$5=$B47,INDEX(Decrements!$F$6:$F$58,Census!$G47+AS$5-18),0)+INDEX(Decrements!$E$6:$E$58,Census!$G47+AS$5-18)*IF((Census!$F47+AS$5)&gt;=Assumptions!$B$11,1,0))*MIN(15/26*Census!$D47*(1+Assumptions!$B$9)^AS$5*(INT((Census!$F47+AS$5))+IF((Census!$F47+AS$5)-INT((Census!$F47+AS$5))&gt;0.5,1,0)),Assumptions!$B$10))</f>
        <v>0</v>
      </c>
      <c r="AT47" s="30">
        <f>IF(AT$5&gt;$B47,0,INDEX(Decrements!$G$6:$G$58,Census!$G47+AT$5-18)/INDEX(Decrements!$G$6:$G$58,Census!$G47-17)*(INDEX(Decrements!$D$6:$D$58,Census!$G47+AT$5-18)+IF(AT$5=$B47,INDEX(Decrements!$F$6:$F$58,Census!$G47+AT$5-18),0)+INDEX(Decrements!$E$6:$E$58,Census!$G47+AT$5-18)*IF((Census!$F47+AT$5)&gt;=Assumptions!$B$11,1,0))*MIN(15/26*Census!$D47*(1+Assumptions!$B$9)^AT$5*(INT((Census!$F47+AT$5))+IF((Census!$F47+AT$5)-INT((Census!$F47+AT$5))&gt;0.5,1,0)),Assumptions!$B$10))</f>
        <v>0</v>
      </c>
      <c r="AU47" s="30">
        <f>IF(AU$5&gt;$B47,0,INDEX(Decrements!$G$6:$G$58,Census!$G47+AU$5-18)/INDEX(Decrements!$G$6:$G$58,Census!$G47-17)*(INDEX(Decrements!$D$6:$D$58,Census!$G47+AU$5-18)+IF(AU$5=$B47,INDEX(Decrements!$F$6:$F$58,Census!$G47+AU$5-18),0)+INDEX(Decrements!$E$6:$E$58,Census!$G47+AU$5-18)*IF((Census!$F47+AU$5)&gt;=Assumptions!$B$11,1,0))*MIN(15/26*Census!$D47*(1+Assumptions!$B$9)^AU$5*(INT((Census!$F47+AU$5))+IF((Census!$F47+AU$5)-INT((Census!$F47+AU$5))&gt;0.5,1,0)),Assumptions!$B$10))</f>
        <v>0</v>
      </c>
    </row>
    <row r="48" spans="1:47" x14ac:dyDescent="0.3">
      <c r="A48" s="10" t="str">
        <f>Census!A48</f>
        <v>E043</v>
      </c>
      <c r="B48" s="29">
        <f>Census!H48</f>
        <v>30</v>
      </c>
      <c r="C48" s="30">
        <f>IF(C$5&gt;$B48,0,INDEX(Decrements!$G$6:$G$58,Census!$G48+C$5-18)/INDEX(Decrements!$G$6:$G$58,Census!$G48-17)*(INDEX(Decrements!$D$6:$D$58,Census!$G48+C$5-18)+IF(C$5=$B48,INDEX(Decrements!$F$6:$F$58,Census!$G48+C$5-18),0)+INDEX(Decrements!$E$6:$E$58,Census!$G48+C$5-18)*IF((Census!$F48+C$5)&gt;=Assumptions!$B$11,1,0))*MIN(15/26*Census!$D48*(1+Assumptions!$B$9)^C$5*(INT((Census!$F48+C$5))+IF((Census!$F48+C$5)-INT((Census!$F48+C$5))&gt;0.5,1,0)),Assumptions!$B$10))</f>
        <v>18102.830597129472</v>
      </c>
      <c r="D48" s="30">
        <f>IF(D$5&gt;$B48,0,INDEX(Decrements!$G$6:$G$58,Census!$G48+D$5-18)/INDEX(Decrements!$G$6:$G$58,Census!$G48-17)*(INDEX(Decrements!$D$6:$D$58,Census!$G48+D$5-18)+IF(D$5=$B48,INDEX(Decrements!$F$6:$F$58,Census!$G48+D$5-18),0)+INDEX(Decrements!$E$6:$E$58,Census!$G48+D$5-18)*IF((Census!$F48+D$5)&gt;=Assumptions!$B$11,1,0))*MIN(15/26*Census!$D48*(1+Assumptions!$B$9)^D$5*(INT((Census!$F48+D$5))+IF((Census!$F48+D$5)-INT((Census!$F48+D$5))&gt;0.5,1,0)),Assumptions!$B$10))</f>
        <v>19876.833903949118</v>
      </c>
      <c r="E48" s="30">
        <f>IF(E$5&gt;$B48,0,INDEX(Decrements!$G$6:$G$58,Census!$G48+E$5-18)/INDEX(Decrements!$G$6:$G$58,Census!$G48-17)*(INDEX(Decrements!$D$6:$D$58,Census!$G48+E$5-18)+IF(E$5=$B48,INDEX(Decrements!$F$6:$F$58,Census!$G48+E$5-18),0)+INDEX(Decrements!$E$6:$E$58,Census!$G48+E$5-18)*IF((Census!$F48+E$5)&gt;=Assumptions!$B$11,1,0))*MIN(15/26*Census!$D48*(1+Assumptions!$B$9)^E$5*(INT((Census!$F48+E$5))+IF((Census!$F48+E$5)-INT((Census!$F48+E$5))&gt;0.5,1,0)),Assumptions!$B$10))</f>
        <v>21483.514514004124</v>
      </c>
      <c r="F48" s="30">
        <f>IF(F$5&gt;$B48,0,INDEX(Decrements!$G$6:$G$58,Census!$G48+F$5-18)/INDEX(Decrements!$G$6:$G$58,Census!$G48-17)*(INDEX(Decrements!$D$6:$D$58,Census!$G48+F$5-18)+IF(F$5=$B48,INDEX(Decrements!$F$6:$F$58,Census!$G48+F$5-18),0)+INDEX(Decrements!$E$6:$E$58,Census!$G48+F$5-18)*IF((Census!$F48+F$5)&gt;=Assumptions!$B$11,1,0))*MIN(15/26*Census!$D48*(1+Assumptions!$B$9)^F$5*(INT((Census!$F48+F$5))+IF((Census!$F48+F$5)-INT((Census!$F48+F$5))&gt;0.5,1,0)),Assumptions!$B$10))</f>
        <v>22933.213546249081</v>
      </c>
      <c r="G48" s="30">
        <f>IF(G$5&gt;$B48,0,INDEX(Decrements!$G$6:$G$58,Census!$G48+G$5-18)/INDEX(Decrements!$G$6:$G$58,Census!$G48-17)*(INDEX(Decrements!$D$6:$D$58,Census!$G48+G$5-18)+IF(G$5=$B48,INDEX(Decrements!$F$6:$F$58,Census!$G48+G$5-18),0)+INDEX(Decrements!$E$6:$E$58,Census!$G48+G$5-18)*IF((Census!$F48+G$5)&gt;=Assumptions!$B$11,1,0))*MIN(15/26*Census!$D48*(1+Assumptions!$B$9)^G$5*(INT((Census!$F48+G$5))+IF((Census!$F48+G$5)-INT((Census!$F48+G$5))&gt;0.5,1,0)),Assumptions!$B$10))</f>
        <v>24235.714559292159</v>
      </c>
      <c r="H48" s="30">
        <f>IF(H$5&gt;$B48,0,INDEX(Decrements!$G$6:$G$58,Census!$G48+H$5-18)/INDEX(Decrements!$G$6:$G$58,Census!$G48-17)*(INDEX(Decrements!$D$6:$D$58,Census!$G48+H$5-18)+IF(H$5=$B48,INDEX(Decrements!$F$6:$F$58,Census!$G48+H$5-18),0)+INDEX(Decrements!$E$6:$E$58,Census!$G48+H$5-18)*IF((Census!$F48+H$5)&gt;=Assumptions!$B$11,1,0))*MIN(15/26*Census!$D48*(1+Assumptions!$B$9)^H$5*(INT((Census!$F48+H$5))+IF((Census!$F48+H$5)-INT((Census!$F48+H$5))&gt;0.5,1,0)),Assumptions!$B$10))</f>
        <v>18534.726436427973</v>
      </c>
      <c r="I48" s="30">
        <f>IF(I$5&gt;$B48,0,INDEX(Decrements!$G$6:$G$58,Census!$G48+I$5-18)/INDEX(Decrements!$G$6:$G$58,Census!$G48-17)*(INDEX(Decrements!$D$6:$D$58,Census!$G48+I$5-18)+IF(I$5=$B48,INDEX(Decrements!$F$6:$F$58,Census!$G48+I$5-18),0)+INDEX(Decrements!$E$6:$E$58,Census!$G48+I$5-18)*IF((Census!$F48+I$5)&gt;=Assumptions!$B$11,1,0))*MIN(15/26*Census!$D48*(1+Assumptions!$B$9)^I$5*(INT((Census!$F48+I$5))+IF((Census!$F48+I$5)-INT((Census!$F48+I$5))&gt;0.5,1,0)),Assumptions!$B$10))</f>
        <v>19944.394721749111</v>
      </c>
      <c r="J48" s="30">
        <f>IF(J$5&gt;$B48,0,INDEX(Decrements!$G$6:$G$58,Census!$G48+J$5-18)/INDEX(Decrements!$G$6:$G$58,Census!$G48-17)*(INDEX(Decrements!$D$6:$D$58,Census!$G48+J$5-18)+IF(J$5=$B48,INDEX(Decrements!$F$6:$F$58,Census!$G48+J$5-18),0)+INDEX(Decrements!$E$6:$E$58,Census!$G48+J$5-18)*IF((Census!$F48+J$5)&gt;=Assumptions!$B$11,1,0))*MIN(15/26*Census!$D48*(1+Assumptions!$B$9)^J$5*(INT((Census!$F48+J$5))+IF((Census!$F48+J$5)-INT((Census!$F48+J$5))&gt;0.5,1,0)),Assumptions!$B$10))</f>
        <v>21334.444756580226</v>
      </c>
      <c r="K48" s="30">
        <f>IF(K$5&gt;$B48,0,INDEX(Decrements!$G$6:$G$58,Census!$G48+K$5-18)/INDEX(Decrements!$G$6:$G$58,Census!$G48-17)*(INDEX(Decrements!$D$6:$D$58,Census!$G48+K$5-18)+IF(K$5=$B48,INDEX(Decrements!$F$6:$F$58,Census!$G48+K$5-18),0)+INDEX(Decrements!$E$6:$E$58,Census!$G48+K$5-18)*IF((Census!$F48+K$5)&gt;=Assumptions!$B$11,1,0))*MIN(15/26*Census!$D48*(1+Assumptions!$B$9)^K$5*(INT((Census!$F48+K$5))+IF((Census!$F48+K$5)-INT((Census!$F48+K$5))&gt;0.5,1,0)),Assumptions!$B$10))</f>
        <v>22705.123390812118</v>
      </c>
      <c r="L48" s="30">
        <f>IF(L$5&gt;$B48,0,INDEX(Decrements!$G$6:$G$58,Census!$G48+L$5-18)/INDEX(Decrements!$G$6:$G$58,Census!$G48-17)*(INDEX(Decrements!$D$6:$D$58,Census!$G48+L$5-18)+IF(L$5=$B48,INDEX(Decrements!$F$6:$F$58,Census!$G48+L$5-18),0)+INDEX(Decrements!$E$6:$E$58,Census!$G48+L$5-18)*IF((Census!$F48+L$5)&gt;=Assumptions!$B$11,1,0))*MIN(15/26*Census!$D48*(1+Assumptions!$B$9)^L$5*(INT((Census!$F48+L$5))+IF((Census!$F48+L$5)-INT((Census!$F48+L$5))&gt;0.5,1,0)),Assumptions!$B$10))</f>
        <v>24056.67909678123</v>
      </c>
      <c r="M48" s="30">
        <f>IF(M$5&gt;$B48,0,INDEX(Decrements!$G$6:$G$58,Census!$G48+M$5-18)/INDEX(Decrements!$G$6:$G$58,Census!$G48-17)*(INDEX(Decrements!$D$6:$D$58,Census!$G48+M$5-18)+IF(M$5=$B48,INDEX(Decrements!$F$6:$F$58,Census!$G48+M$5-18),0)+INDEX(Decrements!$E$6:$E$58,Census!$G48+M$5-18)*IF((Census!$F48+M$5)&gt;=Assumptions!$B$11,1,0))*MIN(15/26*Census!$D48*(1+Assumptions!$B$9)^M$5*(INT((Census!$F48+M$5))+IF((Census!$F48+M$5)-INT((Census!$F48+M$5))&gt;0.5,1,0)),Assumptions!$B$10))</f>
        <v>16026.425405807575</v>
      </c>
      <c r="N48" s="30">
        <f>IF(N$5&gt;$B48,0,INDEX(Decrements!$G$6:$G$58,Census!$G48+N$5-18)/INDEX(Decrements!$G$6:$G$58,Census!$G48-17)*(INDEX(Decrements!$D$6:$D$58,Census!$G48+N$5-18)+IF(N$5=$B48,INDEX(Decrements!$F$6:$F$58,Census!$G48+N$5-18),0)+INDEX(Decrements!$E$6:$E$58,Census!$G48+N$5-18)*IF((Census!$F48+N$5)&gt;=Assumptions!$B$11,1,0))*MIN(15/26*Census!$D48*(1+Assumptions!$B$9)^N$5*(INT((Census!$F48+N$5))+IF((Census!$F48+N$5)-INT((Census!$F48+N$5))&gt;0.5,1,0)),Assumptions!$B$10))</f>
        <v>17417.418599746721</v>
      </c>
      <c r="O48" s="30">
        <f>IF(O$5&gt;$B48,0,INDEX(Decrements!$G$6:$G$58,Census!$G48+O$5-18)/INDEX(Decrements!$G$6:$G$58,Census!$G48-17)*(INDEX(Decrements!$D$6:$D$58,Census!$G48+O$5-18)+IF(O$5=$B48,INDEX(Decrements!$F$6:$F$58,Census!$G48+O$5-18),0)+INDEX(Decrements!$E$6:$E$58,Census!$G48+O$5-18)*IF((Census!$F48+O$5)&gt;=Assumptions!$B$11,1,0))*MIN(15/26*Census!$D48*(1+Assumptions!$B$9)^O$5*(INT((Census!$F48+O$5))+IF((Census!$F48+O$5)-INT((Census!$F48+O$5))&gt;0.5,1,0)),Assumptions!$B$10))</f>
        <v>18872.167748392305</v>
      </c>
      <c r="P48" s="30">
        <f>IF(P$5&gt;$B48,0,INDEX(Decrements!$G$6:$G$58,Census!$G48+P$5-18)/INDEX(Decrements!$G$6:$G$58,Census!$G48-17)*(INDEX(Decrements!$D$6:$D$58,Census!$G48+P$5-18)+IF(P$5=$B48,INDEX(Decrements!$F$6:$F$58,Census!$G48+P$5-18),0)+INDEX(Decrements!$E$6:$E$58,Census!$G48+P$5-18)*IF((Census!$F48+P$5)&gt;=Assumptions!$B$11,1,0))*MIN(15/26*Census!$D48*(1+Assumptions!$B$9)^P$5*(INT((Census!$F48+P$5))+IF((Census!$F48+P$5)-INT((Census!$F48+P$5))&gt;0.5,1,0)),Assumptions!$B$10))</f>
        <v>20393.485189705272</v>
      </c>
      <c r="Q48" s="30">
        <f>IF(Q$5&gt;$B48,0,INDEX(Decrements!$G$6:$G$58,Census!$G48+Q$5-18)/INDEX(Decrements!$G$6:$G$58,Census!$G48-17)*(INDEX(Decrements!$D$6:$D$58,Census!$G48+Q$5-18)+IF(Q$5=$B48,INDEX(Decrements!$F$6:$F$58,Census!$G48+Q$5-18),0)+INDEX(Decrements!$E$6:$E$58,Census!$G48+Q$5-18)*IF((Census!$F48+Q$5)&gt;=Assumptions!$B$11,1,0))*MIN(15/26*Census!$D48*(1+Assumptions!$B$9)^Q$5*(INT((Census!$F48+Q$5))+IF((Census!$F48+Q$5)-INT((Census!$F48+Q$5))&gt;0.5,1,0)),Assumptions!$B$10))</f>
        <v>21984.349581561692</v>
      </c>
      <c r="R48" s="30">
        <f>IF(R$5&gt;$B48,0,INDEX(Decrements!$G$6:$G$58,Census!$G48+R$5-18)/INDEX(Decrements!$G$6:$G$58,Census!$G48-17)*(INDEX(Decrements!$D$6:$D$58,Census!$G48+R$5-18)+IF(R$5=$B48,INDEX(Decrements!$F$6:$F$58,Census!$G48+R$5-18),0)+INDEX(Decrements!$E$6:$E$58,Census!$G48+R$5-18)*IF((Census!$F48+R$5)&gt;=Assumptions!$B$11,1,0))*MIN(15/26*Census!$D48*(1+Assumptions!$B$9)^R$5*(INT((Census!$F48+R$5))+IF((Census!$F48+R$5)-INT((Census!$F48+R$5))&gt;0.5,1,0)),Assumptions!$B$10))</f>
        <v>14540.552675904493</v>
      </c>
      <c r="S48" s="30">
        <f>IF(S$5&gt;$B48,0,INDEX(Decrements!$G$6:$G$58,Census!$G48+S$5-18)/INDEX(Decrements!$G$6:$G$58,Census!$G48-17)*(INDEX(Decrements!$D$6:$D$58,Census!$G48+S$5-18)+IF(S$5=$B48,INDEX(Decrements!$F$6:$F$58,Census!$G48+S$5-18),0)+INDEX(Decrements!$E$6:$E$58,Census!$G48+S$5-18)*IF((Census!$F48+S$5)&gt;=Assumptions!$B$11,1,0))*MIN(15/26*Census!$D48*(1+Assumptions!$B$9)^S$5*(INT((Census!$F48+S$5))+IF((Census!$F48+S$5)-INT((Census!$F48+S$5))&gt;0.5,1,0)),Assumptions!$B$10))</f>
        <v>15968.224942977675</v>
      </c>
      <c r="T48" s="30">
        <f>IF(T$5&gt;$B48,0,INDEX(Decrements!$G$6:$G$58,Census!$G48+T$5-18)/INDEX(Decrements!$G$6:$G$58,Census!$G48-17)*(INDEX(Decrements!$D$6:$D$58,Census!$G48+T$5-18)+IF(T$5=$B48,INDEX(Decrements!$F$6:$F$58,Census!$G48+T$5-18),0)+INDEX(Decrements!$E$6:$E$58,Census!$G48+T$5-18)*IF((Census!$F48+T$5)&gt;=Assumptions!$B$11,1,0))*MIN(15/26*Census!$D48*(1+Assumptions!$B$9)^T$5*(INT((Census!$F48+T$5))+IF((Census!$F48+T$5)-INT((Census!$F48+T$5))&gt;0.5,1,0)),Assumptions!$B$10))</f>
        <v>16876.267442662167</v>
      </c>
      <c r="U48" s="30">
        <f>IF(U$5&gt;$B48,0,INDEX(Decrements!$G$6:$G$58,Census!$G48+U$5-18)/INDEX(Decrements!$G$6:$G$58,Census!$G48-17)*(INDEX(Decrements!$D$6:$D$58,Census!$G48+U$5-18)+IF(U$5=$B48,INDEX(Decrements!$F$6:$F$58,Census!$G48+U$5-18),0)+INDEX(Decrements!$E$6:$E$58,Census!$G48+U$5-18)*IF((Census!$F48+U$5)&gt;=Assumptions!$B$11,1,0))*MIN(15/26*Census!$D48*(1+Assumptions!$B$9)^U$5*(INT((Census!$F48+U$5))+IF((Census!$F48+U$5)-INT((Census!$F48+U$5))&gt;0.5,1,0)),Assumptions!$B$10))</f>
        <v>16424.078548851645</v>
      </c>
      <c r="V48" s="30">
        <f>IF(V$5&gt;$B48,0,INDEX(Decrements!$G$6:$G$58,Census!$G48+V$5-18)/INDEX(Decrements!$G$6:$G$58,Census!$G48-17)*(INDEX(Decrements!$D$6:$D$58,Census!$G48+V$5-18)+IF(V$5=$B48,INDEX(Decrements!$F$6:$F$58,Census!$G48+V$5-18),0)+INDEX(Decrements!$E$6:$E$58,Census!$G48+V$5-18)*IF((Census!$F48+V$5)&gt;=Assumptions!$B$11,1,0))*MIN(15/26*Census!$D48*(1+Assumptions!$B$9)^V$5*(INT((Census!$F48+V$5))+IF((Census!$F48+V$5)-INT((Census!$F48+V$5))&gt;0.5,1,0)),Assumptions!$B$10))</f>
        <v>15989.335540682634</v>
      </c>
      <c r="W48" s="30">
        <f>IF(W$5&gt;$B48,0,INDEX(Decrements!$G$6:$G$58,Census!$G48+W$5-18)/INDEX(Decrements!$G$6:$G$58,Census!$G48-17)*(INDEX(Decrements!$D$6:$D$58,Census!$G48+W$5-18)+IF(W$5=$B48,INDEX(Decrements!$F$6:$F$58,Census!$G48+W$5-18),0)+INDEX(Decrements!$E$6:$E$58,Census!$G48+W$5-18)*IF((Census!$F48+W$5)&gt;=Assumptions!$B$11,1,0))*MIN(15/26*Census!$D48*(1+Assumptions!$B$9)^W$5*(INT((Census!$F48+W$5))+IF((Census!$F48+W$5)-INT((Census!$F48+W$5))&gt;0.5,1,0)),Assumptions!$B$10))</f>
        <v>10833.971742778096</v>
      </c>
      <c r="X48" s="30">
        <f>IF(X$5&gt;$B48,0,INDEX(Decrements!$G$6:$G$58,Census!$G48+X$5-18)/INDEX(Decrements!$G$6:$G$58,Census!$G48-17)*(INDEX(Decrements!$D$6:$D$58,Census!$G48+X$5-18)+IF(X$5=$B48,INDEX(Decrements!$F$6:$F$58,Census!$G48+X$5-18),0)+INDEX(Decrements!$E$6:$E$58,Census!$G48+X$5-18)*IF((Census!$F48+X$5)&gt;=Assumptions!$B$11,1,0))*MIN(15/26*Census!$D48*(1+Assumptions!$B$9)^X$5*(INT((Census!$F48+X$5))+IF((Census!$F48+X$5)-INT((Census!$F48+X$5))&gt;0.5,1,0)),Assumptions!$B$10))</f>
        <v>10698.685501007501</v>
      </c>
      <c r="Y48" s="30">
        <f>IF(Y$5&gt;$B48,0,INDEX(Decrements!$G$6:$G$58,Census!$G48+Y$5-18)/INDEX(Decrements!$G$6:$G$58,Census!$G48-17)*(INDEX(Decrements!$D$6:$D$58,Census!$G48+Y$5-18)+IF(Y$5=$B48,INDEX(Decrements!$F$6:$F$58,Census!$G48+Y$5-18),0)+INDEX(Decrements!$E$6:$E$58,Census!$G48+Y$5-18)*IF((Census!$F48+Y$5)&gt;=Assumptions!$B$11,1,0))*MIN(15/26*Census!$D48*(1+Assumptions!$B$9)^Y$5*(INT((Census!$F48+Y$5))+IF((Census!$F48+Y$5)-INT((Census!$F48+Y$5))&gt;0.5,1,0)),Assumptions!$B$10))</f>
        <v>10572.220483260417</v>
      </c>
      <c r="Z48" s="30">
        <f>IF(Z$5&gt;$B48,0,INDEX(Decrements!$G$6:$G$58,Census!$G48+Z$5-18)/INDEX(Decrements!$G$6:$G$58,Census!$G48-17)*(INDEX(Decrements!$D$6:$D$58,Census!$G48+Z$5-18)+IF(Z$5=$B48,INDEX(Decrements!$F$6:$F$58,Census!$G48+Z$5-18),0)+INDEX(Decrements!$E$6:$E$58,Census!$G48+Z$5-18)*IF((Census!$F48+Z$5)&gt;=Assumptions!$B$11,1,0))*MIN(15/26*Census!$D48*(1+Assumptions!$B$9)^Z$5*(INT((Census!$F48+Z$5))+IF((Census!$F48+Z$5)-INT((Census!$F48+Z$5))&gt;0.5,1,0)),Assumptions!$B$10))</f>
        <v>10454.762570127461</v>
      </c>
      <c r="AA48" s="30">
        <f>IF(AA$5&gt;$B48,0,INDEX(Decrements!$G$6:$G$58,Census!$G48+AA$5-18)/INDEX(Decrements!$G$6:$G$58,Census!$G48-17)*(INDEX(Decrements!$D$6:$D$58,Census!$G48+AA$5-18)+IF(AA$5=$B48,INDEX(Decrements!$F$6:$F$58,Census!$G48+AA$5-18),0)+INDEX(Decrements!$E$6:$E$58,Census!$G48+AA$5-18)*IF((Census!$F48+AA$5)&gt;=Assumptions!$B$11,1,0))*MIN(15/26*Census!$D48*(1+Assumptions!$B$9)^AA$5*(INT((Census!$F48+AA$5))+IF((Census!$F48+AA$5)-INT((Census!$F48+AA$5))&gt;0.5,1,0)),Assumptions!$B$10))</f>
        <v>10346.503776240357</v>
      </c>
      <c r="AB48" s="30">
        <f>IF(AB$5&gt;$B48,0,INDEX(Decrements!$G$6:$G$58,Census!$G48+AB$5-18)/INDEX(Decrements!$G$6:$G$58,Census!$G48-17)*(INDEX(Decrements!$D$6:$D$58,Census!$G48+AB$5-18)+IF(AB$5=$B48,INDEX(Decrements!$F$6:$F$58,Census!$G48+AB$5-18),0)+INDEX(Decrements!$E$6:$E$58,Census!$G48+AB$5-18)*IF((Census!$F48+AB$5)&gt;=Assumptions!$B$11,1,0))*MIN(15/26*Census!$D48*(1+Assumptions!$B$9)^AB$5*(INT((Census!$F48+AB$5))+IF((Census!$F48+AB$5)-INT((Census!$F48+AB$5))&gt;0.5,1,0)),Assumptions!$B$10))</f>
        <v>6043.7884830137318</v>
      </c>
      <c r="AC48" s="30">
        <f>IF(AC$5&gt;$B48,0,INDEX(Decrements!$G$6:$G$58,Census!$G48+AC$5-18)/INDEX(Decrements!$G$6:$G$58,Census!$G48-17)*(INDEX(Decrements!$D$6:$D$58,Census!$G48+AC$5-18)+IF(AC$5=$B48,INDEX(Decrements!$F$6:$F$58,Census!$G48+AC$5-18),0)+INDEX(Decrements!$E$6:$E$58,Census!$G48+AC$5-18)*IF((Census!$F48+AC$5)&gt;=Assumptions!$B$11,1,0))*MIN(15/26*Census!$D48*(1+Assumptions!$B$9)^AC$5*(INT((Census!$F48+AC$5))+IF((Census!$F48+AC$5)-INT((Census!$F48+AC$5))&gt;0.5,1,0)),Assumptions!$B$10))</f>
        <v>6119.9902472141257</v>
      </c>
      <c r="AD48" s="30">
        <f>IF(AD$5&gt;$B48,0,INDEX(Decrements!$G$6:$G$58,Census!$G48+AD$5-18)/INDEX(Decrements!$G$6:$G$58,Census!$G48-17)*(INDEX(Decrements!$D$6:$D$58,Census!$G48+AD$5-18)+IF(AD$5=$B48,INDEX(Decrements!$F$6:$F$58,Census!$G48+AD$5-18),0)+INDEX(Decrements!$E$6:$E$58,Census!$G48+AD$5-18)*IF((Census!$F48+AD$5)&gt;=Assumptions!$B$11,1,0))*MIN(15/26*Census!$D48*(1+Assumptions!$B$9)^AD$5*(INT((Census!$F48+AD$5))+IF((Census!$F48+AD$5)-INT((Census!$F48+AD$5))&gt;0.5,1,0)),Assumptions!$B$10))</f>
        <v>6206.274434705726</v>
      </c>
      <c r="AE48" s="30">
        <f>IF(AE$5&gt;$B48,0,INDEX(Decrements!$G$6:$G$58,Census!$G48+AE$5-18)/INDEX(Decrements!$G$6:$G$58,Census!$G48-17)*(INDEX(Decrements!$D$6:$D$58,Census!$G48+AE$5-18)+IF(AE$5=$B48,INDEX(Decrements!$F$6:$F$58,Census!$G48+AE$5-18),0)+INDEX(Decrements!$E$6:$E$58,Census!$G48+AE$5-18)*IF((Census!$F48+AE$5)&gt;=Assumptions!$B$11,1,0))*MIN(15/26*Census!$D48*(1+Assumptions!$B$9)^AE$5*(INT((Census!$F48+AE$5))+IF((Census!$F48+AE$5)-INT((Census!$F48+AE$5))&gt;0.5,1,0)),Assumptions!$B$10))</f>
        <v>6303.2274773519975</v>
      </c>
      <c r="AF48" s="30">
        <f>IF(AF$5&gt;$B48,0,INDEX(Decrements!$G$6:$G$58,Census!$G48+AF$5-18)/INDEX(Decrements!$G$6:$G$58,Census!$G48-17)*(INDEX(Decrements!$D$6:$D$58,Census!$G48+AF$5-18)+IF(AF$5=$B48,INDEX(Decrements!$F$6:$F$58,Census!$G48+AF$5-18),0)+INDEX(Decrements!$E$6:$E$58,Census!$G48+AF$5-18)*IF((Census!$F48+AF$5)&gt;=Assumptions!$B$11,1,0))*MIN(15/26*Census!$D48*(1+Assumptions!$B$9)^AF$5*(INT((Census!$F48+AF$5))+IF((Census!$F48+AF$5)-INT((Census!$F48+AF$5))&gt;0.5,1,0)),Assumptions!$B$10))</f>
        <v>397551.78311539261</v>
      </c>
      <c r="AG48" s="30">
        <f>IF(AG$5&gt;$B48,0,INDEX(Decrements!$G$6:$G$58,Census!$G48+AG$5-18)/INDEX(Decrements!$G$6:$G$58,Census!$G48-17)*(INDEX(Decrements!$D$6:$D$58,Census!$G48+AG$5-18)+IF(AG$5=$B48,INDEX(Decrements!$F$6:$F$58,Census!$G48+AG$5-18),0)+INDEX(Decrements!$E$6:$E$58,Census!$G48+AG$5-18)*IF((Census!$F48+AG$5)&gt;=Assumptions!$B$11,1,0))*MIN(15/26*Census!$D48*(1+Assumptions!$B$9)^AG$5*(INT((Census!$F48+AG$5))+IF((Census!$F48+AG$5)-INT((Census!$F48+AG$5))&gt;0.5,1,0)),Assumptions!$B$10))</f>
        <v>0</v>
      </c>
      <c r="AH48" s="30">
        <f>IF(AH$5&gt;$B48,0,INDEX(Decrements!$G$6:$G$58,Census!$G48+AH$5-18)/INDEX(Decrements!$G$6:$G$58,Census!$G48-17)*(INDEX(Decrements!$D$6:$D$58,Census!$G48+AH$5-18)+IF(AH$5=$B48,INDEX(Decrements!$F$6:$F$58,Census!$G48+AH$5-18),0)+INDEX(Decrements!$E$6:$E$58,Census!$G48+AH$5-18)*IF((Census!$F48+AH$5)&gt;=Assumptions!$B$11,1,0))*MIN(15/26*Census!$D48*(1+Assumptions!$B$9)^AH$5*(INT((Census!$F48+AH$5))+IF((Census!$F48+AH$5)-INT((Census!$F48+AH$5))&gt;0.5,1,0)),Assumptions!$B$10))</f>
        <v>0</v>
      </c>
      <c r="AI48" s="30">
        <f>IF(AI$5&gt;$B48,0,INDEX(Decrements!$G$6:$G$58,Census!$G48+AI$5-18)/INDEX(Decrements!$G$6:$G$58,Census!$G48-17)*(INDEX(Decrements!$D$6:$D$58,Census!$G48+AI$5-18)+IF(AI$5=$B48,INDEX(Decrements!$F$6:$F$58,Census!$G48+AI$5-18),0)+INDEX(Decrements!$E$6:$E$58,Census!$G48+AI$5-18)*IF((Census!$F48+AI$5)&gt;=Assumptions!$B$11,1,0))*MIN(15/26*Census!$D48*(1+Assumptions!$B$9)^AI$5*(INT((Census!$F48+AI$5))+IF((Census!$F48+AI$5)-INT((Census!$F48+AI$5))&gt;0.5,1,0)),Assumptions!$B$10))</f>
        <v>0</v>
      </c>
      <c r="AJ48" s="30">
        <f>IF(AJ$5&gt;$B48,0,INDEX(Decrements!$G$6:$G$58,Census!$G48+AJ$5-18)/INDEX(Decrements!$G$6:$G$58,Census!$G48-17)*(INDEX(Decrements!$D$6:$D$58,Census!$G48+AJ$5-18)+IF(AJ$5=$B48,INDEX(Decrements!$F$6:$F$58,Census!$G48+AJ$5-18),0)+INDEX(Decrements!$E$6:$E$58,Census!$G48+AJ$5-18)*IF((Census!$F48+AJ$5)&gt;=Assumptions!$B$11,1,0))*MIN(15/26*Census!$D48*(1+Assumptions!$B$9)^AJ$5*(INT((Census!$F48+AJ$5))+IF((Census!$F48+AJ$5)-INT((Census!$F48+AJ$5))&gt;0.5,1,0)),Assumptions!$B$10))</f>
        <v>0</v>
      </c>
      <c r="AK48" s="30">
        <f>IF(AK$5&gt;$B48,0,INDEX(Decrements!$G$6:$G$58,Census!$G48+AK$5-18)/INDEX(Decrements!$G$6:$G$58,Census!$G48-17)*(INDEX(Decrements!$D$6:$D$58,Census!$G48+AK$5-18)+IF(AK$5=$B48,INDEX(Decrements!$F$6:$F$58,Census!$G48+AK$5-18),0)+INDEX(Decrements!$E$6:$E$58,Census!$G48+AK$5-18)*IF((Census!$F48+AK$5)&gt;=Assumptions!$B$11,1,0))*MIN(15/26*Census!$D48*(1+Assumptions!$B$9)^AK$5*(INT((Census!$F48+AK$5))+IF((Census!$F48+AK$5)-INT((Census!$F48+AK$5))&gt;0.5,1,0)),Assumptions!$B$10))</f>
        <v>0</v>
      </c>
      <c r="AL48" s="30">
        <f>IF(AL$5&gt;$B48,0,INDEX(Decrements!$G$6:$G$58,Census!$G48+AL$5-18)/INDEX(Decrements!$G$6:$G$58,Census!$G48-17)*(INDEX(Decrements!$D$6:$D$58,Census!$G48+AL$5-18)+IF(AL$5=$B48,INDEX(Decrements!$F$6:$F$58,Census!$G48+AL$5-18),0)+INDEX(Decrements!$E$6:$E$58,Census!$G48+AL$5-18)*IF((Census!$F48+AL$5)&gt;=Assumptions!$B$11,1,0))*MIN(15/26*Census!$D48*(1+Assumptions!$B$9)^AL$5*(INT((Census!$F48+AL$5))+IF((Census!$F48+AL$5)-INT((Census!$F48+AL$5))&gt;0.5,1,0)),Assumptions!$B$10))</f>
        <v>0</v>
      </c>
      <c r="AM48" s="30">
        <f>IF(AM$5&gt;$B48,0,INDEX(Decrements!$G$6:$G$58,Census!$G48+AM$5-18)/INDEX(Decrements!$G$6:$G$58,Census!$G48-17)*(INDEX(Decrements!$D$6:$D$58,Census!$G48+AM$5-18)+IF(AM$5=$B48,INDEX(Decrements!$F$6:$F$58,Census!$G48+AM$5-18),0)+INDEX(Decrements!$E$6:$E$58,Census!$G48+AM$5-18)*IF((Census!$F48+AM$5)&gt;=Assumptions!$B$11,1,0))*MIN(15/26*Census!$D48*(1+Assumptions!$B$9)^AM$5*(INT((Census!$F48+AM$5))+IF((Census!$F48+AM$5)-INT((Census!$F48+AM$5))&gt;0.5,1,0)),Assumptions!$B$10))</f>
        <v>0</v>
      </c>
      <c r="AN48" s="30">
        <f>IF(AN$5&gt;$B48,0,INDEX(Decrements!$G$6:$G$58,Census!$G48+AN$5-18)/INDEX(Decrements!$G$6:$G$58,Census!$G48-17)*(INDEX(Decrements!$D$6:$D$58,Census!$G48+AN$5-18)+IF(AN$5=$B48,INDEX(Decrements!$F$6:$F$58,Census!$G48+AN$5-18),0)+INDEX(Decrements!$E$6:$E$58,Census!$G48+AN$5-18)*IF((Census!$F48+AN$5)&gt;=Assumptions!$B$11,1,0))*MIN(15/26*Census!$D48*(1+Assumptions!$B$9)^AN$5*(INT((Census!$F48+AN$5))+IF((Census!$F48+AN$5)-INT((Census!$F48+AN$5))&gt;0.5,1,0)),Assumptions!$B$10))</f>
        <v>0</v>
      </c>
      <c r="AO48" s="30">
        <f>IF(AO$5&gt;$B48,0,INDEX(Decrements!$G$6:$G$58,Census!$G48+AO$5-18)/INDEX(Decrements!$G$6:$G$58,Census!$G48-17)*(INDEX(Decrements!$D$6:$D$58,Census!$G48+AO$5-18)+IF(AO$5=$B48,INDEX(Decrements!$F$6:$F$58,Census!$G48+AO$5-18),0)+INDEX(Decrements!$E$6:$E$58,Census!$G48+AO$5-18)*IF((Census!$F48+AO$5)&gt;=Assumptions!$B$11,1,0))*MIN(15/26*Census!$D48*(1+Assumptions!$B$9)^AO$5*(INT((Census!$F48+AO$5))+IF((Census!$F48+AO$5)-INT((Census!$F48+AO$5))&gt;0.5,1,0)),Assumptions!$B$10))</f>
        <v>0</v>
      </c>
      <c r="AP48" s="30">
        <f>IF(AP$5&gt;$B48,0,INDEX(Decrements!$G$6:$G$58,Census!$G48+AP$5-18)/INDEX(Decrements!$G$6:$G$58,Census!$G48-17)*(INDEX(Decrements!$D$6:$D$58,Census!$G48+AP$5-18)+IF(AP$5=$B48,INDEX(Decrements!$F$6:$F$58,Census!$G48+AP$5-18),0)+INDEX(Decrements!$E$6:$E$58,Census!$G48+AP$5-18)*IF((Census!$F48+AP$5)&gt;=Assumptions!$B$11,1,0))*MIN(15/26*Census!$D48*(1+Assumptions!$B$9)^AP$5*(INT((Census!$F48+AP$5))+IF((Census!$F48+AP$5)-INT((Census!$F48+AP$5))&gt;0.5,1,0)),Assumptions!$B$10))</f>
        <v>0</v>
      </c>
      <c r="AQ48" s="30">
        <f>IF(AQ$5&gt;$B48,0,INDEX(Decrements!$G$6:$G$58,Census!$G48+AQ$5-18)/INDEX(Decrements!$G$6:$G$58,Census!$G48-17)*(INDEX(Decrements!$D$6:$D$58,Census!$G48+AQ$5-18)+IF(AQ$5=$B48,INDEX(Decrements!$F$6:$F$58,Census!$G48+AQ$5-18),0)+INDEX(Decrements!$E$6:$E$58,Census!$G48+AQ$5-18)*IF((Census!$F48+AQ$5)&gt;=Assumptions!$B$11,1,0))*MIN(15/26*Census!$D48*(1+Assumptions!$B$9)^AQ$5*(INT((Census!$F48+AQ$5))+IF((Census!$F48+AQ$5)-INT((Census!$F48+AQ$5))&gt;0.5,1,0)),Assumptions!$B$10))</f>
        <v>0</v>
      </c>
      <c r="AR48" s="30">
        <f>IF(AR$5&gt;$B48,0,INDEX(Decrements!$G$6:$G$58,Census!$G48+AR$5-18)/INDEX(Decrements!$G$6:$G$58,Census!$G48-17)*(INDEX(Decrements!$D$6:$D$58,Census!$G48+AR$5-18)+IF(AR$5=$B48,INDEX(Decrements!$F$6:$F$58,Census!$G48+AR$5-18),0)+INDEX(Decrements!$E$6:$E$58,Census!$G48+AR$5-18)*IF((Census!$F48+AR$5)&gt;=Assumptions!$B$11,1,0))*MIN(15/26*Census!$D48*(1+Assumptions!$B$9)^AR$5*(INT((Census!$F48+AR$5))+IF((Census!$F48+AR$5)-INT((Census!$F48+AR$5))&gt;0.5,1,0)),Assumptions!$B$10))</f>
        <v>0</v>
      </c>
      <c r="AS48" s="30">
        <f>IF(AS$5&gt;$B48,0,INDEX(Decrements!$G$6:$G$58,Census!$G48+AS$5-18)/INDEX(Decrements!$G$6:$G$58,Census!$G48-17)*(INDEX(Decrements!$D$6:$D$58,Census!$G48+AS$5-18)+IF(AS$5=$B48,INDEX(Decrements!$F$6:$F$58,Census!$G48+AS$5-18),0)+INDEX(Decrements!$E$6:$E$58,Census!$G48+AS$5-18)*IF((Census!$F48+AS$5)&gt;=Assumptions!$B$11,1,0))*MIN(15/26*Census!$D48*(1+Assumptions!$B$9)^AS$5*(INT((Census!$F48+AS$5))+IF((Census!$F48+AS$5)-INT((Census!$F48+AS$5))&gt;0.5,1,0)),Assumptions!$B$10))</f>
        <v>0</v>
      </c>
      <c r="AT48" s="30">
        <f>IF(AT$5&gt;$B48,0,INDEX(Decrements!$G$6:$G$58,Census!$G48+AT$5-18)/INDEX(Decrements!$G$6:$G$58,Census!$G48-17)*(INDEX(Decrements!$D$6:$D$58,Census!$G48+AT$5-18)+IF(AT$5=$B48,INDEX(Decrements!$F$6:$F$58,Census!$G48+AT$5-18),0)+INDEX(Decrements!$E$6:$E$58,Census!$G48+AT$5-18)*IF((Census!$F48+AT$5)&gt;=Assumptions!$B$11,1,0))*MIN(15/26*Census!$D48*(1+Assumptions!$B$9)^AT$5*(INT((Census!$F48+AT$5))+IF((Census!$F48+AT$5)-INT((Census!$F48+AT$5))&gt;0.5,1,0)),Assumptions!$B$10))</f>
        <v>0</v>
      </c>
      <c r="AU48" s="30">
        <f>IF(AU$5&gt;$B48,0,INDEX(Decrements!$G$6:$G$58,Census!$G48+AU$5-18)/INDEX(Decrements!$G$6:$G$58,Census!$G48-17)*(INDEX(Decrements!$D$6:$D$58,Census!$G48+AU$5-18)+IF(AU$5=$B48,INDEX(Decrements!$F$6:$F$58,Census!$G48+AU$5-18),0)+INDEX(Decrements!$E$6:$E$58,Census!$G48+AU$5-18)*IF((Census!$F48+AU$5)&gt;=Assumptions!$B$11,1,0))*MIN(15/26*Census!$D48*(1+Assumptions!$B$9)^AU$5*(INT((Census!$F48+AU$5))+IF((Census!$F48+AU$5)-INT((Census!$F48+AU$5))&gt;0.5,1,0)),Assumptions!$B$10))</f>
        <v>0</v>
      </c>
    </row>
    <row r="49" spans="1:47" x14ac:dyDescent="0.3">
      <c r="A49" s="10" t="str">
        <f>Census!A49</f>
        <v>E044</v>
      </c>
      <c r="B49" s="29">
        <f>Census!H49</f>
        <v>10</v>
      </c>
      <c r="C49" s="30">
        <f>IF(C$5&gt;$B49,0,INDEX(Decrements!$G$6:$G$58,Census!$G49+C$5-18)/INDEX(Decrements!$G$6:$G$58,Census!$G49-17)*(INDEX(Decrements!$D$6:$D$58,Census!$G49+C$5-18)+IF(C$5=$B49,INDEX(Decrements!$F$6:$F$58,Census!$G49+C$5-18),0)+INDEX(Decrements!$E$6:$E$58,Census!$G49+C$5-18)*IF((Census!$F49+C$5)&gt;=Assumptions!$B$11,1,0))*MIN(15/26*Census!$D49*(1+Assumptions!$B$9)^C$5*(INT((Census!$F49+C$5))+IF((Census!$F49+C$5)-INT((Census!$F49+C$5))&gt;0.5,1,0)),Assumptions!$B$10))</f>
        <v>45604.12603597928</v>
      </c>
      <c r="D49" s="30">
        <f>IF(D$5&gt;$B49,0,INDEX(Decrements!$G$6:$G$58,Census!$G49+D$5-18)/INDEX(Decrements!$G$6:$G$58,Census!$G49-17)*(INDEX(Decrements!$D$6:$D$58,Census!$G49+D$5-18)+IF(D$5=$B49,INDEX(Decrements!$F$6:$F$58,Census!$G49+D$5-18),0)+INDEX(Decrements!$E$6:$E$58,Census!$G49+D$5-18)*IF((Census!$F49+D$5)&gt;=Assumptions!$B$11,1,0))*MIN(15/26*Census!$D49*(1+Assumptions!$B$9)^D$5*(INT((Census!$F49+D$5))+IF((Census!$F49+D$5)-INT((Census!$F49+D$5))&gt;0.5,1,0)),Assumptions!$B$10))</f>
        <v>45034.657057554745</v>
      </c>
      <c r="E49" s="30">
        <f>IF(E$5&gt;$B49,0,INDEX(Decrements!$G$6:$G$58,Census!$G49+E$5-18)/INDEX(Decrements!$G$6:$G$58,Census!$G49-17)*(INDEX(Decrements!$D$6:$D$58,Census!$G49+E$5-18)+IF(E$5=$B49,INDEX(Decrements!$F$6:$F$58,Census!$G49+E$5-18),0)+INDEX(Decrements!$E$6:$E$58,Census!$G49+E$5-18)*IF((Census!$F49+E$5)&gt;=Assumptions!$B$11,1,0))*MIN(15/26*Census!$D49*(1+Assumptions!$B$9)^E$5*(INT((Census!$F49+E$5))+IF((Census!$F49+E$5)-INT((Census!$F49+E$5))&gt;0.5,1,0)),Assumptions!$B$10))</f>
        <v>44502.319818229291</v>
      </c>
      <c r="F49" s="30">
        <f>IF(F$5&gt;$B49,0,INDEX(Decrements!$G$6:$G$58,Census!$G49+F$5-18)/INDEX(Decrements!$G$6:$G$58,Census!$G49-17)*(INDEX(Decrements!$D$6:$D$58,Census!$G49+F$5-18)+IF(F$5=$B49,INDEX(Decrements!$F$6:$F$58,Census!$G49+F$5-18),0)+INDEX(Decrements!$E$6:$E$58,Census!$G49+F$5-18)*IF((Census!$F49+F$5)&gt;=Assumptions!$B$11,1,0))*MIN(15/26*Census!$D49*(1+Assumptions!$B$9)^F$5*(INT((Census!$F49+F$5))+IF((Census!$F49+F$5)-INT((Census!$F49+F$5))&gt;0.5,1,0)),Assumptions!$B$10))</f>
        <v>44007.896756990551</v>
      </c>
      <c r="G49" s="30">
        <f>IF(G$5&gt;$B49,0,INDEX(Decrements!$G$6:$G$58,Census!$G49+G$5-18)/INDEX(Decrements!$G$6:$G$58,Census!$G49-17)*(INDEX(Decrements!$D$6:$D$58,Census!$G49+G$5-18)+IF(G$5=$B49,INDEX(Decrements!$F$6:$F$58,Census!$G49+G$5-18),0)+INDEX(Decrements!$E$6:$E$58,Census!$G49+G$5-18)*IF((Census!$F49+G$5)&gt;=Assumptions!$B$11,1,0))*MIN(15/26*Census!$D49*(1+Assumptions!$B$9)^G$5*(INT((Census!$F49+G$5))+IF((Census!$F49+G$5)-INT((Census!$F49+G$5))&gt;0.5,1,0)),Assumptions!$B$10))</f>
        <v>43552.196133235309</v>
      </c>
      <c r="H49" s="30">
        <f>IF(H$5&gt;$B49,0,INDEX(Decrements!$G$6:$G$58,Census!$G49+H$5-18)/INDEX(Decrements!$G$6:$G$58,Census!$G49-17)*(INDEX(Decrements!$D$6:$D$58,Census!$G49+H$5-18)+IF(H$5=$B49,INDEX(Decrements!$F$6:$F$58,Census!$G49+H$5-18),0)+INDEX(Decrements!$E$6:$E$58,Census!$G49+H$5-18)*IF((Census!$F49+H$5)&gt;=Assumptions!$B$11,1,0))*MIN(15/26*Census!$D49*(1+Assumptions!$B$9)^H$5*(INT((Census!$F49+H$5))+IF((Census!$F49+H$5)-INT((Census!$F49+H$5))&gt;0.5,1,0)),Assumptions!$B$10))</f>
        <v>25440.503100618396</v>
      </c>
      <c r="I49" s="30">
        <f>IF(I$5&gt;$B49,0,INDEX(Decrements!$G$6:$G$58,Census!$G49+I$5-18)/INDEX(Decrements!$G$6:$G$58,Census!$G49-17)*(INDEX(Decrements!$D$6:$D$58,Census!$G49+I$5-18)+IF(I$5=$B49,INDEX(Decrements!$F$6:$F$58,Census!$G49+I$5-18),0)+INDEX(Decrements!$E$6:$E$58,Census!$G49+I$5-18)*IF((Census!$F49+I$5)&gt;=Assumptions!$B$11,1,0))*MIN(15/26*Census!$D49*(1+Assumptions!$B$9)^I$5*(INT((Census!$F49+I$5))+IF((Census!$F49+I$5)-INT((Census!$F49+I$5))&gt;0.5,1,0)),Assumptions!$B$10))</f>
        <v>25761.264031260038</v>
      </c>
      <c r="J49" s="30">
        <f>IF(J$5&gt;$B49,0,INDEX(Decrements!$G$6:$G$58,Census!$G49+J$5-18)/INDEX(Decrements!$G$6:$G$58,Census!$G49-17)*(INDEX(Decrements!$D$6:$D$58,Census!$G49+J$5-18)+IF(J$5=$B49,INDEX(Decrements!$F$6:$F$58,Census!$G49+J$5-18),0)+INDEX(Decrements!$E$6:$E$58,Census!$G49+J$5-18)*IF((Census!$F49+J$5)&gt;=Assumptions!$B$11,1,0))*MIN(15/26*Census!$D49*(1+Assumptions!$B$9)^J$5*(INT((Census!$F49+J$5))+IF((Census!$F49+J$5)-INT((Census!$F49+J$5))&gt;0.5,1,0)),Assumptions!$B$10))</f>
        <v>26124.465547260112</v>
      </c>
      <c r="K49" s="30">
        <f>IF(K$5&gt;$B49,0,INDEX(Decrements!$G$6:$G$58,Census!$G49+K$5-18)/INDEX(Decrements!$G$6:$G$58,Census!$G49-17)*(INDEX(Decrements!$D$6:$D$58,Census!$G49+K$5-18)+IF(K$5=$B49,INDEX(Decrements!$F$6:$F$58,Census!$G49+K$5-18),0)+INDEX(Decrements!$E$6:$E$58,Census!$G49+K$5-18)*IF((Census!$F49+K$5)&gt;=Assumptions!$B$11,1,0))*MIN(15/26*Census!$D49*(1+Assumptions!$B$9)^K$5*(INT((Census!$F49+K$5))+IF((Census!$F49+K$5)-INT((Census!$F49+K$5))&gt;0.5,1,0)),Assumptions!$B$10))</f>
        <v>26532.576153544418</v>
      </c>
      <c r="L49" s="30">
        <f>IF(L$5&gt;$B49,0,INDEX(Decrements!$G$6:$G$58,Census!$G49+L$5-18)/INDEX(Decrements!$G$6:$G$58,Census!$G49-17)*(INDEX(Decrements!$D$6:$D$58,Census!$G49+L$5-18)+IF(L$5=$B49,INDEX(Decrements!$F$6:$F$58,Census!$G49+L$5-18),0)+INDEX(Decrements!$E$6:$E$58,Census!$G49+L$5-18)*IF((Census!$F49+L$5)&gt;=Assumptions!$B$11,1,0))*MIN(15/26*Census!$D49*(1+Assumptions!$B$9)^L$5*(INT((Census!$F49+L$5))+IF((Census!$F49+L$5)-INT((Census!$F49+L$5))&gt;0.5,1,0)),Assumptions!$B$10))</f>
        <v>1673439.9953653275</v>
      </c>
      <c r="M49" s="30">
        <f>IF(M$5&gt;$B49,0,INDEX(Decrements!$G$6:$G$58,Census!$G49+M$5-18)/INDEX(Decrements!$G$6:$G$58,Census!$G49-17)*(INDEX(Decrements!$D$6:$D$58,Census!$G49+M$5-18)+IF(M$5=$B49,INDEX(Decrements!$F$6:$F$58,Census!$G49+M$5-18),0)+INDEX(Decrements!$E$6:$E$58,Census!$G49+M$5-18)*IF((Census!$F49+M$5)&gt;=Assumptions!$B$11,1,0))*MIN(15/26*Census!$D49*(1+Assumptions!$B$9)^M$5*(INT((Census!$F49+M$5))+IF((Census!$F49+M$5)-INT((Census!$F49+M$5))&gt;0.5,1,0)),Assumptions!$B$10))</f>
        <v>0</v>
      </c>
      <c r="N49" s="30">
        <f>IF(N$5&gt;$B49,0,INDEX(Decrements!$G$6:$G$58,Census!$G49+N$5-18)/INDEX(Decrements!$G$6:$G$58,Census!$G49-17)*(INDEX(Decrements!$D$6:$D$58,Census!$G49+N$5-18)+IF(N$5=$B49,INDEX(Decrements!$F$6:$F$58,Census!$G49+N$5-18),0)+INDEX(Decrements!$E$6:$E$58,Census!$G49+N$5-18)*IF((Census!$F49+N$5)&gt;=Assumptions!$B$11,1,0))*MIN(15/26*Census!$D49*(1+Assumptions!$B$9)^N$5*(INT((Census!$F49+N$5))+IF((Census!$F49+N$5)-INT((Census!$F49+N$5))&gt;0.5,1,0)),Assumptions!$B$10))</f>
        <v>0</v>
      </c>
      <c r="O49" s="30">
        <f>IF(O$5&gt;$B49,0,INDEX(Decrements!$G$6:$G$58,Census!$G49+O$5-18)/INDEX(Decrements!$G$6:$G$58,Census!$G49-17)*(INDEX(Decrements!$D$6:$D$58,Census!$G49+O$5-18)+IF(O$5=$B49,INDEX(Decrements!$F$6:$F$58,Census!$G49+O$5-18),0)+INDEX(Decrements!$E$6:$E$58,Census!$G49+O$5-18)*IF((Census!$F49+O$5)&gt;=Assumptions!$B$11,1,0))*MIN(15/26*Census!$D49*(1+Assumptions!$B$9)^O$5*(INT((Census!$F49+O$5))+IF((Census!$F49+O$5)-INT((Census!$F49+O$5))&gt;0.5,1,0)),Assumptions!$B$10))</f>
        <v>0</v>
      </c>
      <c r="P49" s="30">
        <f>IF(P$5&gt;$B49,0,INDEX(Decrements!$G$6:$G$58,Census!$G49+P$5-18)/INDEX(Decrements!$G$6:$G$58,Census!$G49-17)*(INDEX(Decrements!$D$6:$D$58,Census!$G49+P$5-18)+IF(P$5=$B49,INDEX(Decrements!$F$6:$F$58,Census!$G49+P$5-18),0)+INDEX(Decrements!$E$6:$E$58,Census!$G49+P$5-18)*IF((Census!$F49+P$5)&gt;=Assumptions!$B$11,1,0))*MIN(15/26*Census!$D49*(1+Assumptions!$B$9)^P$5*(INT((Census!$F49+P$5))+IF((Census!$F49+P$5)-INT((Census!$F49+P$5))&gt;0.5,1,0)),Assumptions!$B$10))</f>
        <v>0</v>
      </c>
      <c r="Q49" s="30">
        <f>IF(Q$5&gt;$B49,0,INDEX(Decrements!$G$6:$G$58,Census!$G49+Q$5-18)/INDEX(Decrements!$G$6:$G$58,Census!$G49-17)*(INDEX(Decrements!$D$6:$D$58,Census!$G49+Q$5-18)+IF(Q$5=$B49,INDEX(Decrements!$F$6:$F$58,Census!$G49+Q$5-18),0)+INDEX(Decrements!$E$6:$E$58,Census!$G49+Q$5-18)*IF((Census!$F49+Q$5)&gt;=Assumptions!$B$11,1,0))*MIN(15/26*Census!$D49*(1+Assumptions!$B$9)^Q$5*(INT((Census!$F49+Q$5))+IF((Census!$F49+Q$5)-INT((Census!$F49+Q$5))&gt;0.5,1,0)),Assumptions!$B$10))</f>
        <v>0</v>
      </c>
      <c r="R49" s="30">
        <f>IF(R$5&gt;$B49,0,INDEX(Decrements!$G$6:$G$58,Census!$G49+R$5-18)/INDEX(Decrements!$G$6:$G$58,Census!$G49-17)*(INDEX(Decrements!$D$6:$D$58,Census!$G49+R$5-18)+IF(R$5=$B49,INDEX(Decrements!$F$6:$F$58,Census!$G49+R$5-18),0)+INDEX(Decrements!$E$6:$E$58,Census!$G49+R$5-18)*IF((Census!$F49+R$5)&gt;=Assumptions!$B$11,1,0))*MIN(15/26*Census!$D49*(1+Assumptions!$B$9)^R$5*(INT((Census!$F49+R$5))+IF((Census!$F49+R$5)-INT((Census!$F49+R$5))&gt;0.5,1,0)),Assumptions!$B$10))</f>
        <v>0</v>
      </c>
      <c r="S49" s="30">
        <f>IF(S$5&gt;$B49,0,INDEX(Decrements!$G$6:$G$58,Census!$G49+S$5-18)/INDEX(Decrements!$G$6:$G$58,Census!$G49-17)*(INDEX(Decrements!$D$6:$D$58,Census!$G49+S$5-18)+IF(S$5=$B49,INDEX(Decrements!$F$6:$F$58,Census!$G49+S$5-18),0)+INDEX(Decrements!$E$6:$E$58,Census!$G49+S$5-18)*IF((Census!$F49+S$5)&gt;=Assumptions!$B$11,1,0))*MIN(15/26*Census!$D49*(1+Assumptions!$B$9)^S$5*(INT((Census!$F49+S$5))+IF((Census!$F49+S$5)-INT((Census!$F49+S$5))&gt;0.5,1,0)),Assumptions!$B$10))</f>
        <v>0</v>
      </c>
      <c r="T49" s="30">
        <f>IF(T$5&gt;$B49,0,INDEX(Decrements!$G$6:$G$58,Census!$G49+T$5-18)/INDEX(Decrements!$G$6:$G$58,Census!$G49-17)*(INDEX(Decrements!$D$6:$D$58,Census!$G49+T$5-18)+IF(T$5=$B49,INDEX(Decrements!$F$6:$F$58,Census!$G49+T$5-18),0)+INDEX(Decrements!$E$6:$E$58,Census!$G49+T$5-18)*IF((Census!$F49+T$5)&gt;=Assumptions!$B$11,1,0))*MIN(15/26*Census!$D49*(1+Assumptions!$B$9)^T$5*(INT((Census!$F49+T$5))+IF((Census!$F49+T$5)-INT((Census!$F49+T$5))&gt;0.5,1,0)),Assumptions!$B$10))</f>
        <v>0</v>
      </c>
      <c r="U49" s="30">
        <f>IF(U$5&gt;$B49,0,INDEX(Decrements!$G$6:$G$58,Census!$G49+U$5-18)/INDEX(Decrements!$G$6:$G$58,Census!$G49-17)*(INDEX(Decrements!$D$6:$D$58,Census!$G49+U$5-18)+IF(U$5=$B49,INDEX(Decrements!$F$6:$F$58,Census!$G49+U$5-18),0)+INDEX(Decrements!$E$6:$E$58,Census!$G49+U$5-18)*IF((Census!$F49+U$5)&gt;=Assumptions!$B$11,1,0))*MIN(15/26*Census!$D49*(1+Assumptions!$B$9)^U$5*(INT((Census!$F49+U$5))+IF((Census!$F49+U$5)-INT((Census!$F49+U$5))&gt;0.5,1,0)),Assumptions!$B$10))</f>
        <v>0</v>
      </c>
      <c r="V49" s="30">
        <f>IF(V$5&gt;$B49,0,INDEX(Decrements!$G$6:$G$58,Census!$G49+V$5-18)/INDEX(Decrements!$G$6:$G$58,Census!$G49-17)*(INDEX(Decrements!$D$6:$D$58,Census!$G49+V$5-18)+IF(V$5=$B49,INDEX(Decrements!$F$6:$F$58,Census!$G49+V$5-18),0)+INDEX(Decrements!$E$6:$E$58,Census!$G49+V$5-18)*IF((Census!$F49+V$5)&gt;=Assumptions!$B$11,1,0))*MIN(15/26*Census!$D49*(1+Assumptions!$B$9)^V$5*(INT((Census!$F49+V$5))+IF((Census!$F49+V$5)-INT((Census!$F49+V$5))&gt;0.5,1,0)),Assumptions!$B$10))</f>
        <v>0</v>
      </c>
      <c r="W49" s="30">
        <f>IF(W$5&gt;$B49,0,INDEX(Decrements!$G$6:$G$58,Census!$G49+W$5-18)/INDEX(Decrements!$G$6:$G$58,Census!$G49-17)*(INDEX(Decrements!$D$6:$D$58,Census!$G49+W$5-18)+IF(W$5=$B49,INDEX(Decrements!$F$6:$F$58,Census!$G49+W$5-18),0)+INDEX(Decrements!$E$6:$E$58,Census!$G49+W$5-18)*IF((Census!$F49+W$5)&gt;=Assumptions!$B$11,1,0))*MIN(15/26*Census!$D49*(1+Assumptions!$B$9)^W$5*(INT((Census!$F49+W$5))+IF((Census!$F49+W$5)-INT((Census!$F49+W$5))&gt;0.5,1,0)),Assumptions!$B$10))</f>
        <v>0</v>
      </c>
      <c r="X49" s="30">
        <f>IF(X$5&gt;$B49,0,INDEX(Decrements!$G$6:$G$58,Census!$G49+X$5-18)/INDEX(Decrements!$G$6:$G$58,Census!$G49-17)*(INDEX(Decrements!$D$6:$D$58,Census!$G49+X$5-18)+IF(X$5=$B49,INDEX(Decrements!$F$6:$F$58,Census!$G49+X$5-18),0)+INDEX(Decrements!$E$6:$E$58,Census!$G49+X$5-18)*IF((Census!$F49+X$5)&gt;=Assumptions!$B$11,1,0))*MIN(15/26*Census!$D49*(1+Assumptions!$B$9)^X$5*(INT((Census!$F49+X$5))+IF((Census!$F49+X$5)-INT((Census!$F49+X$5))&gt;0.5,1,0)),Assumptions!$B$10))</f>
        <v>0</v>
      </c>
      <c r="Y49" s="30">
        <f>IF(Y$5&gt;$B49,0,INDEX(Decrements!$G$6:$G$58,Census!$G49+Y$5-18)/INDEX(Decrements!$G$6:$G$58,Census!$G49-17)*(INDEX(Decrements!$D$6:$D$58,Census!$G49+Y$5-18)+IF(Y$5=$B49,INDEX(Decrements!$F$6:$F$58,Census!$G49+Y$5-18),0)+INDEX(Decrements!$E$6:$E$58,Census!$G49+Y$5-18)*IF((Census!$F49+Y$5)&gt;=Assumptions!$B$11,1,0))*MIN(15/26*Census!$D49*(1+Assumptions!$B$9)^Y$5*(INT((Census!$F49+Y$5))+IF((Census!$F49+Y$5)-INT((Census!$F49+Y$5))&gt;0.5,1,0)),Assumptions!$B$10))</f>
        <v>0</v>
      </c>
      <c r="Z49" s="30">
        <f>IF(Z$5&gt;$B49,0,INDEX(Decrements!$G$6:$G$58,Census!$G49+Z$5-18)/INDEX(Decrements!$G$6:$G$58,Census!$G49-17)*(INDEX(Decrements!$D$6:$D$58,Census!$G49+Z$5-18)+IF(Z$5=$B49,INDEX(Decrements!$F$6:$F$58,Census!$G49+Z$5-18),0)+INDEX(Decrements!$E$6:$E$58,Census!$G49+Z$5-18)*IF((Census!$F49+Z$5)&gt;=Assumptions!$B$11,1,0))*MIN(15/26*Census!$D49*(1+Assumptions!$B$9)^Z$5*(INT((Census!$F49+Z$5))+IF((Census!$F49+Z$5)-INT((Census!$F49+Z$5))&gt;0.5,1,0)),Assumptions!$B$10))</f>
        <v>0</v>
      </c>
      <c r="AA49" s="30">
        <f>IF(AA$5&gt;$B49,0,INDEX(Decrements!$G$6:$G$58,Census!$G49+AA$5-18)/INDEX(Decrements!$G$6:$G$58,Census!$G49-17)*(INDEX(Decrements!$D$6:$D$58,Census!$G49+AA$5-18)+IF(AA$5=$B49,INDEX(Decrements!$F$6:$F$58,Census!$G49+AA$5-18),0)+INDEX(Decrements!$E$6:$E$58,Census!$G49+AA$5-18)*IF((Census!$F49+AA$5)&gt;=Assumptions!$B$11,1,0))*MIN(15/26*Census!$D49*(1+Assumptions!$B$9)^AA$5*(INT((Census!$F49+AA$5))+IF((Census!$F49+AA$5)-INT((Census!$F49+AA$5))&gt;0.5,1,0)),Assumptions!$B$10))</f>
        <v>0</v>
      </c>
      <c r="AB49" s="30">
        <f>IF(AB$5&gt;$B49,0,INDEX(Decrements!$G$6:$G$58,Census!$G49+AB$5-18)/INDEX(Decrements!$G$6:$G$58,Census!$G49-17)*(INDEX(Decrements!$D$6:$D$58,Census!$G49+AB$5-18)+IF(AB$5=$B49,INDEX(Decrements!$F$6:$F$58,Census!$G49+AB$5-18),0)+INDEX(Decrements!$E$6:$E$58,Census!$G49+AB$5-18)*IF((Census!$F49+AB$5)&gt;=Assumptions!$B$11,1,0))*MIN(15/26*Census!$D49*(1+Assumptions!$B$9)^AB$5*(INT((Census!$F49+AB$5))+IF((Census!$F49+AB$5)-INT((Census!$F49+AB$5))&gt;0.5,1,0)),Assumptions!$B$10))</f>
        <v>0</v>
      </c>
      <c r="AC49" s="30">
        <f>IF(AC$5&gt;$B49,0,INDEX(Decrements!$G$6:$G$58,Census!$G49+AC$5-18)/INDEX(Decrements!$G$6:$G$58,Census!$G49-17)*(INDEX(Decrements!$D$6:$D$58,Census!$G49+AC$5-18)+IF(AC$5=$B49,INDEX(Decrements!$F$6:$F$58,Census!$G49+AC$5-18),0)+INDEX(Decrements!$E$6:$E$58,Census!$G49+AC$5-18)*IF((Census!$F49+AC$5)&gt;=Assumptions!$B$11,1,0))*MIN(15/26*Census!$D49*(1+Assumptions!$B$9)^AC$5*(INT((Census!$F49+AC$5))+IF((Census!$F49+AC$5)-INT((Census!$F49+AC$5))&gt;0.5,1,0)),Assumptions!$B$10))</f>
        <v>0</v>
      </c>
      <c r="AD49" s="30">
        <f>IF(AD$5&gt;$B49,0,INDEX(Decrements!$G$6:$G$58,Census!$G49+AD$5-18)/INDEX(Decrements!$G$6:$G$58,Census!$G49-17)*(INDEX(Decrements!$D$6:$D$58,Census!$G49+AD$5-18)+IF(AD$5=$B49,INDEX(Decrements!$F$6:$F$58,Census!$G49+AD$5-18),0)+INDEX(Decrements!$E$6:$E$58,Census!$G49+AD$5-18)*IF((Census!$F49+AD$5)&gt;=Assumptions!$B$11,1,0))*MIN(15/26*Census!$D49*(1+Assumptions!$B$9)^AD$5*(INT((Census!$F49+AD$5))+IF((Census!$F49+AD$5)-INT((Census!$F49+AD$5))&gt;0.5,1,0)),Assumptions!$B$10))</f>
        <v>0</v>
      </c>
      <c r="AE49" s="30">
        <f>IF(AE$5&gt;$B49,0,INDEX(Decrements!$G$6:$G$58,Census!$G49+AE$5-18)/INDEX(Decrements!$G$6:$G$58,Census!$G49-17)*(INDEX(Decrements!$D$6:$D$58,Census!$G49+AE$5-18)+IF(AE$5=$B49,INDEX(Decrements!$F$6:$F$58,Census!$G49+AE$5-18),0)+INDEX(Decrements!$E$6:$E$58,Census!$G49+AE$5-18)*IF((Census!$F49+AE$5)&gt;=Assumptions!$B$11,1,0))*MIN(15/26*Census!$D49*(1+Assumptions!$B$9)^AE$5*(INT((Census!$F49+AE$5))+IF((Census!$F49+AE$5)-INT((Census!$F49+AE$5))&gt;0.5,1,0)),Assumptions!$B$10))</f>
        <v>0</v>
      </c>
      <c r="AF49" s="30">
        <f>IF(AF$5&gt;$B49,0,INDEX(Decrements!$G$6:$G$58,Census!$G49+AF$5-18)/INDEX(Decrements!$G$6:$G$58,Census!$G49-17)*(INDEX(Decrements!$D$6:$D$58,Census!$G49+AF$5-18)+IF(AF$5=$B49,INDEX(Decrements!$F$6:$F$58,Census!$G49+AF$5-18),0)+INDEX(Decrements!$E$6:$E$58,Census!$G49+AF$5-18)*IF((Census!$F49+AF$5)&gt;=Assumptions!$B$11,1,0))*MIN(15/26*Census!$D49*(1+Assumptions!$B$9)^AF$5*(INT((Census!$F49+AF$5))+IF((Census!$F49+AF$5)-INT((Census!$F49+AF$5))&gt;0.5,1,0)),Assumptions!$B$10))</f>
        <v>0</v>
      </c>
      <c r="AG49" s="30">
        <f>IF(AG$5&gt;$B49,0,INDEX(Decrements!$G$6:$G$58,Census!$G49+AG$5-18)/INDEX(Decrements!$G$6:$G$58,Census!$G49-17)*(INDEX(Decrements!$D$6:$D$58,Census!$G49+AG$5-18)+IF(AG$5=$B49,INDEX(Decrements!$F$6:$F$58,Census!$G49+AG$5-18),0)+INDEX(Decrements!$E$6:$E$58,Census!$G49+AG$5-18)*IF((Census!$F49+AG$5)&gt;=Assumptions!$B$11,1,0))*MIN(15/26*Census!$D49*(1+Assumptions!$B$9)^AG$5*(INT((Census!$F49+AG$5))+IF((Census!$F49+AG$5)-INT((Census!$F49+AG$5))&gt;0.5,1,0)),Assumptions!$B$10))</f>
        <v>0</v>
      </c>
      <c r="AH49" s="30">
        <f>IF(AH$5&gt;$B49,0,INDEX(Decrements!$G$6:$G$58,Census!$G49+AH$5-18)/INDEX(Decrements!$G$6:$G$58,Census!$G49-17)*(INDEX(Decrements!$D$6:$D$58,Census!$G49+AH$5-18)+IF(AH$5=$B49,INDEX(Decrements!$F$6:$F$58,Census!$G49+AH$5-18),0)+INDEX(Decrements!$E$6:$E$58,Census!$G49+AH$5-18)*IF((Census!$F49+AH$5)&gt;=Assumptions!$B$11,1,0))*MIN(15/26*Census!$D49*(1+Assumptions!$B$9)^AH$5*(INT((Census!$F49+AH$5))+IF((Census!$F49+AH$5)-INT((Census!$F49+AH$5))&gt;0.5,1,0)),Assumptions!$B$10))</f>
        <v>0</v>
      </c>
      <c r="AI49" s="30">
        <f>IF(AI$5&gt;$B49,0,INDEX(Decrements!$G$6:$G$58,Census!$G49+AI$5-18)/INDEX(Decrements!$G$6:$G$58,Census!$G49-17)*(INDEX(Decrements!$D$6:$D$58,Census!$G49+AI$5-18)+IF(AI$5=$B49,INDEX(Decrements!$F$6:$F$58,Census!$G49+AI$5-18),0)+INDEX(Decrements!$E$6:$E$58,Census!$G49+AI$5-18)*IF((Census!$F49+AI$5)&gt;=Assumptions!$B$11,1,0))*MIN(15/26*Census!$D49*(1+Assumptions!$B$9)^AI$5*(INT((Census!$F49+AI$5))+IF((Census!$F49+AI$5)-INT((Census!$F49+AI$5))&gt;0.5,1,0)),Assumptions!$B$10))</f>
        <v>0</v>
      </c>
      <c r="AJ49" s="30">
        <f>IF(AJ$5&gt;$B49,0,INDEX(Decrements!$G$6:$G$58,Census!$G49+AJ$5-18)/INDEX(Decrements!$G$6:$G$58,Census!$G49-17)*(INDEX(Decrements!$D$6:$D$58,Census!$G49+AJ$5-18)+IF(AJ$5=$B49,INDEX(Decrements!$F$6:$F$58,Census!$G49+AJ$5-18),0)+INDEX(Decrements!$E$6:$E$58,Census!$G49+AJ$5-18)*IF((Census!$F49+AJ$5)&gt;=Assumptions!$B$11,1,0))*MIN(15/26*Census!$D49*(1+Assumptions!$B$9)^AJ$5*(INT((Census!$F49+AJ$5))+IF((Census!$F49+AJ$5)-INT((Census!$F49+AJ$5))&gt;0.5,1,0)),Assumptions!$B$10))</f>
        <v>0</v>
      </c>
      <c r="AK49" s="30">
        <f>IF(AK$5&gt;$B49,0,INDEX(Decrements!$G$6:$G$58,Census!$G49+AK$5-18)/INDEX(Decrements!$G$6:$G$58,Census!$G49-17)*(INDEX(Decrements!$D$6:$D$58,Census!$G49+AK$5-18)+IF(AK$5=$B49,INDEX(Decrements!$F$6:$F$58,Census!$G49+AK$5-18),0)+INDEX(Decrements!$E$6:$E$58,Census!$G49+AK$5-18)*IF((Census!$F49+AK$5)&gt;=Assumptions!$B$11,1,0))*MIN(15/26*Census!$D49*(1+Assumptions!$B$9)^AK$5*(INT((Census!$F49+AK$5))+IF((Census!$F49+AK$5)-INT((Census!$F49+AK$5))&gt;0.5,1,0)),Assumptions!$B$10))</f>
        <v>0</v>
      </c>
      <c r="AL49" s="30">
        <f>IF(AL$5&gt;$B49,0,INDEX(Decrements!$G$6:$G$58,Census!$G49+AL$5-18)/INDEX(Decrements!$G$6:$G$58,Census!$G49-17)*(INDEX(Decrements!$D$6:$D$58,Census!$G49+AL$5-18)+IF(AL$5=$B49,INDEX(Decrements!$F$6:$F$58,Census!$G49+AL$5-18),0)+INDEX(Decrements!$E$6:$E$58,Census!$G49+AL$5-18)*IF((Census!$F49+AL$5)&gt;=Assumptions!$B$11,1,0))*MIN(15/26*Census!$D49*(1+Assumptions!$B$9)^AL$5*(INT((Census!$F49+AL$5))+IF((Census!$F49+AL$5)-INT((Census!$F49+AL$5))&gt;0.5,1,0)),Assumptions!$B$10))</f>
        <v>0</v>
      </c>
      <c r="AM49" s="30">
        <f>IF(AM$5&gt;$B49,0,INDEX(Decrements!$G$6:$G$58,Census!$G49+AM$5-18)/INDEX(Decrements!$G$6:$G$58,Census!$G49-17)*(INDEX(Decrements!$D$6:$D$58,Census!$G49+AM$5-18)+IF(AM$5=$B49,INDEX(Decrements!$F$6:$F$58,Census!$G49+AM$5-18),0)+INDEX(Decrements!$E$6:$E$58,Census!$G49+AM$5-18)*IF((Census!$F49+AM$5)&gt;=Assumptions!$B$11,1,0))*MIN(15/26*Census!$D49*(1+Assumptions!$B$9)^AM$5*(INT((Census!$F49+AM$5))+IF((Census!$F49+AM$5)-INT((Census!$F49+AM$5))&gt;0.5,1,0)),Assumptions!$B$10))</f>
        <v>0</v>
      </c>
      <c r="AN49" s="30">
        <f>IF(AN$5&gt;$B49,0,INDEX(Decrements!$G$6:$G$58,Census!$G49+AN$5-18)/INDEX(Decrements!$G$6:$G$58,Census!$G49-17)*(INDEX(Decrements!$D$6:$D$58,Census!$G49+AN$5-18)+IF(AN$5=$B49,INDEX(Decrements!$F$6:$F$58,Census!$G49+AN$5-18),0)+INDEX(Decrements!$E$6:$E$58,Census!$G49+AN$5-18)*IF((Census!$F49+AN$5)&gt;=Assumptions!$B$11,1,0))*MIN(15/26*Census!$D49*(1+Assumptions!$B$9)^AN$5*(INT((Census!$F49+AN$5))+IF((Census!$F49+AN$5)-INT((Census!$F49+AN$5))&gt;0.5,1,0)),Assumptions!$B$10))</f>
        <v>0</v>
      </c>
      <c r="AO49" s="30">
        <f>IF(AO$5&gt;$B49,0,INDEX(Decrements!$G$6:$G$58,Census!$G49+AO$5-18)/INDEX(Decrements!$G$6:$G$58,Census!$G49-17)*(INDEX(Decrements!$D$6:$D$58,Census!$G49+AO$5-18)+IF(AO$5=$B49,INDEX(Decrements!$F$6:$F$58,Census!$G49+AO$5-18),0)+INDEX(Decrements!$E$6:$E$58,Census!$G49+AO$5-18)*IF((Census!$F49+AO$5)&gt;=Assumptions!$B$11,1,0))*MIN(15/26*Census!$D49*(1+Assumptions!$B$9)^AO$5*(INT((Census!$F49+AO$5))+IF((Census!$F49+AO$5)-INT((Census!$F49+AO$5))&gt;0.5,1,0)),Assumptions!$B$10))</f>
        <v>0</v>
      </c>
      <c r="AP49" s="30">
        <f>IF(AP$5&gt;$B49,0,INDEX(Decrements!$G$6:$G$58,Census!$G49+AP$5-18)/INDEX(Decrements!$G$6:$G$58,Census!$G49-17)*(INDEX(Decrements!$D$6:$D$58,Census!$G49+AP$5-18)+IF(AP$5=$B49,INDEX(Decrements!$F$6:$F$58,Census!$G49+AP$5-18),0)+INDEX(Decrements!$E$6:$E$58,Census!$G49+AP$5-18)*IF((Census!$F49+AP$5)&gt;=Assumptions!$B$11,1,0))*MIN(15/26*Census!$D49*(1+Assumptions!$B$9)^AP$5*(INT((Census!$F49+AP$5))+IF((Census!$F49+AP$5)-INT((Census!$F49+AP$5))&gt;0.5,1,0)),Assumptions!$B$10))</f>
        <v>0</v>
      </c>
      <c r="AQ49" s="30">
        <f>IF(AQ$5&gt;$B49,0,INDEX(Decrements!$G$6:$G$58,Census!$G49+AQ$5-18)/INDEX(Decrements!$G$6:$G$58,Census!$G49-17)*(INDEX(Decrements!$D$6:$D$58,Census!$G49+AQ$5-18)+IF(AQ$5=$B49,INDEX(Decrements!$F$6:$F$58,Census!$G49+AQ$5-18),0)+INDEX(Decrements!$E$6:$E$58,Census!$G49+AQ$5-18)*IF((Census!$F49+AQ$5)&gt;=Assumptions!$B$11,1,0))*MIN(15/26*Census!$D49*(1+Assumptions!$B$9)^AQ$5*(INT((Census!$F49+AQ$5))+IF((Census!$F49+AQ$5)-INT((Census!$F49+AQ$5))&gt;0.5,1,0)),Assumptions!$B$10))</f>
        <v>0</v>
      </c>
      <c r="AR49" s="30">
        <f>IF(AR$5&gt;$B49,0,INDEX(Decrements!$G$6:$G$58,Census!$G49+AR$5-18)/INDEX(Decrements!$G$6:$G$58,Census!$G49-17)*(INDEX(Decrements!$D$6:$D$58,Census!$G49+AR$5-18)+IF(AR$5=$B49,INDEX(Decrements!$F$6:$F$58,Census!$G49+AR$5-18),0)+INDEX(Decrements!$E$6:$E$58,Census!$G49+AR$5-18)*IF((Census!$F49+AR$5)&gt;=Assumptions!$B$11,1,0))*MIN(15/26*Census!$D49*(1+Assumptions!$B$9)^AR$5*(INT((Census!$F49+AR$5))+IF((Census!$F49+AR$5)-INT((Census!$F49+AR$5))&gt;0.5,1,0)),Assumptions!$B$10))</f>
        <v>0</v>
      </c>
      <c r="AS49" s="30">
        <f>IF(AS$5&gt;$B49,0,INDEX(Decrements!$G$6:$G$58,Census!$G49+AS$5-18)/INDEX(Decrements!$G$6:$G$58,Census!$G49-17)*(INDEX(Decrements!$D$6:$D$58,Census!$G49+AS$5-18)+IF(AS$5=$B49,INDEX(Decrements!$F$6:$F$58,Census!$G49+AS$5-18),0)+INDEX(Decrements!$E$6:$E$58,Census!$G49+AS$5-18)*IF((Census!$F49+AS$5)&gt;=Assumptions!$B$11,1,0))*MIN(15/26*Census!$D49*(1+Assumptions!$B$9)^AS$5*(INT((Census!$F49+AS$5))+IF((Census!$F49+AS$5)-INT((Census!$F49+AS$5))&gt;0.5,1,0)),Assumptions!$B$10))</f>
        <v>0</v>
      </c>
      <c r="AT49" s="30">
        <f>IF(AT$5&gt;$B49,0,INDEX(Decrements!$G$6:$G$58,Census!$G49+AT$5-18)/INDEX(Decrements!$G$6:$G$58,Census!$G49-17)*(INDEX(Decrements!$D$6:$D$58,Census!$G49+AT$5-18)+IF(AT$5=$B49,INDEX(Decrements!$F$6:$F$58,Census!$G49+AT$5-18),0)+INDEX(Decrements!$E$6:$E$58,Census!$G49+AT$5-18)*IF((Census!$F49+AT$5)&gt;=Assumptions!$B$11,1,0))*MIN(15/26*Census!$D49*(1+Assumptions!$B$9)^AT$5*(INT((Census!$F49+AT$5))+IF((Census!$F49+AT$5)-INT((Census!$F49+AT$5))&gt;0.5,1,0)),Assumptions!$B$10))</f>
        <v>0</v>
      </c>
      <c r="AU49" s="30">
        <f>IF(AU$5&gt;$B49,0,INDEX(Decrements!$G$6:$G$58,Census!$G49+AU$5-18)/INDEX(Decrements!$G$6:$G$58,Census!$G49-17)*(INDEX(Decrements!$D$6:$D$58,Census!$G49+AU$5-18)+IF(AU$5=$B49,INDEX(Decrements!$F$6:$F$58,Census!$G49+AU$5-18),0)+INDEX(Decrements!$E$6:$E$58,Census!$G49+AU$5-18)*IF((Census!$F49+AU$5)&gt;=Assumptions!$B$11,1,0))*MIN(15/26*Census!$D49*(1+Assumptions!$B$9)^AU$5*(INT((Census!$F49+AU$5))+IF((Census!$F49+AU$5)-INT((Census!$F49+AU$5))&gt;0.5,1,0)),Assumptions!$B$10))</f>
        <v>0</v>
      </c>
    </row>
    <row r="50" spans="1:47" x14ac:dyDescent="0.3">
      <c r="A50" s="10" t="str">
        <f>Census!A50</f>
        <v>E045</v>
      </c>
      <c r="B50" s="29">
        <f>Census!H50</f>
        <v>16</v>
      </c>
      <c r="C50" s="30">
        <f>IF(C$5&gt;$B50,0,INDEX(Decrements!$G$6:$G$58,Census!$G50+C$5-18)/INDEX(Decrements!$G$6:$G$58,Census!$G50-17)*(INDEX(Decrements!$D$6:$D$58,Census!$G50+C$5-18)+IF(C$5=$B50,INDEX(Decrements!$F$6:$F$58,Census!$G50+C$5-18),0)+INDEX(Decrements!$E$6:$E$58,Census!$G50+C$5-18)*IF((Census!$F50+C$5)&gt;=Assumptions!$B$11,1,0))*MIN(15/26*Census!$D50*(1+Assumptions!$B$9)^C$5*(INT((Census!$F50+C$5))+IF((Census!$F50+C$5)-INT((Census!$F50+C$5))&gt;0.5,1,0)),Assumptions!$B$10))</f>
        <v>94383.305116148651</v>
      </c>
      <c r="D50" s="30">
        <f>IF(D$5&gt;$B50,0,INDEX(Decrements!$G$6:$G$58,Census!$G50+D$5-18)/INDEX(Decrements!$G$6:$G$58,Census!$G50-17)*(INDEX(Decrements!$D$6:$D$58,Census!$G50+D$5-18)+IF(D$5=$B50,INDEX(Decrements!$F$6:$F$58,Census!$G50+D$5-18),0)+INDEX(Decrements!$E$6:$E$58,Census!$G50+D$5-18)*IF((Census!$F50+D$5)&gt;=Assumptions!$B$11,1,0))*MIN(15/26*Census!$D50*(1+Assumptions!$B$9)^D$5*(INT((Census!$F50+D$5))+IF((Census!$F50+D$5)-INT((Census!$F50+D$5))&gt;0.5,1,0)),Assumptions!$B$10))</f>
        <v>60444.395877806674</v>
      </c>
      <c r="E50" s="30">
        <f>IF(E$5&gt;$B50,0,INDEX(Decrements!$G$6:$G$58,Census!$G50+E$5-18)/INDEX(Decrements!$G$6:$G$58,Census!$G50-17)*(INDEX(Decrements!$D$6:$D$58,Census!$G50+E$5-18)+IF(E$5=$B50,INDEX(Decrements!$F$6:$F$58,Census!$G50+E$5-18),0)+INDEX(Decrements!$E$6:$E$58,Census!$G50+E$5-18)*IF((Census!$F50+E$5)&gt;=Assumptions!$B$11,1,0))*MIN(15/26*Census!$D50*(1+Assumptions!$B$9)^E$5*(INT((Census!$F50+E$5))+IF((Census!$F50+E$5)-INT((Census!$F50+E$5))&gt;0.5,1,0)),Assumptions!$B$10))</f>
        <v>58789.918539508246</v>
      </c>
      <c r="F50" s="30">
        <f>IF(F$5&gt;$B50,0,INDEX(Decrements!$G$6:$G$58,Census!$G50+F$5-18)/INDEX(Decrements!$G$6:$G$58,Census!$G50-17)*(INDEX(Decrements!$D$6:$D$58,Census!$G50+F$5-18)+IF(F$5=$B50,INDEX(Decrements!$F$6:$F$58,Census!$G50+F$5-18),0)+INDEX(Decrements!$E$6:$E$58,Census!$G50+F$5-18)*IF((Census!$F50+F$5)&gt;=Assumptions!$B$11,1,0))*MIN(15/26*Census!$D50*(1+Assumptions!$B$9)^F$5*(INT((Census!$F50+F$5))+IF((Census!$F50+F$5)-INT((Census!$F50+F$5))&gt;0.5,1,0)),Assumptions!$B$10))</f>
        <v>57197.029980773645</v>
      </c>
      <c r="G50" s="30">
        <f>IF(G$5&gt;$B50,0,INDEX(Decrements!$G$6:$G$58,Census!$G50+G$5-18)/INDEX(Decrements!$G$6:$G$58,Census!$G50-17)*(INDEX(Decrements!$D$6:$D$58,Census!$G50+G$5-18)+IF(G$5=$B50,INDEX(Decrements!$F$6:$F$58,Census!$G50+G$5-18),0)+INDEX(Decrements!$E$6:$E$58,Census!$G50+G$5-18)*IF((Census!$F50+G$5)&gt;=Assumptions!$B$11,1,0))*MIN(15/26*Census!$D50*(1+Assumptions!$B$9)^G$5*(INT((Census!$F50+G$5))+IF((Census!$F50+G$5)-INT((Census!$F50+G$5))&gt;0.5,1,0)),Assumptions!$B$10))</f>
        <v>55664.471800824977</v>
      </c>
      <c r="H50" s="30">
        <f>IF(H$5&gt;$B50,0,INDEX(Decrements!$G$6:$G$58,Census!$G50+H$5-18)/INDEX(Decrements!$G$6:$G$58,Census!$G50-17)*(INDEX(Decrements!$D$6:$D$58,Census!$G50+H$5-18)+IF(H$5=$B50,INDEX(Decrements!$F$6:$F$58,Census!$G50+H$5-18),0)+INDEX(Decrements!$E$6:$E$58,Census!$G50+H$5-18)*IF((Census!$F50+H$5)&gt;=Assumptions!$B$11,1,0))*MIN(15/26*Census!$D50*(1+Assumptions!$B$9)^H$5*(INT((Census!$F50+H$5))+IF((Census!$F50+H$5)-INT((Census!$F50+H$5))&gt;0.5,1,0)),Assumptions!$B$10))</f>
        <v>54191.041200328873</v>
      </c>
      <c r="I50" s="30">
        <f>IF(I$5&gt;$B50,0,INDEX(Decrements!$G$6:$G$58,Census!$G50+I$5-18)/INDEX(Decrements!$G$6:$G$58,Census!$G50-17)*(INDEX(Decrements!$D$6:$D$58,Census!$G50+I$5-18)+IF(I$5=$B50,INDEX(Decrements!$F$6:$F$58,Census!$G50+I$5-18),0)+INDEX(Decrements!$E$6:$E$58,Census!$G50+I$5-18)*IF((Census!$F50+I$5)&gt;=Assumptions!$B$11,1,0))*MIN(15/26*Census!$D50*(1+Assumptions!$B$9)^I$5*(INT((Census!$F50+I$5))+IF((Census!$F50+I$5)-INT((Census!$F50+I$5))&gt;0.5,1,0)),Assumptions!$B$10))</f>
        <v>36718.486992926111</v>
      </c>
      <c r="J50" s="30">
        <f>IF(J$5&gt;$B50,0,INDEX(Decrements!$G$6:$G$58,Census!$G50+J$5-18)/INDEX(Decrements!$G$6:$G$58,Census!$G50-17)*(INDEX(Decrements!$D$6:$D$58,Census!$G50+J$5-18)+IF(J$5=$B50,INDEX(Decrements!$F$6:$F$58,Census!$G50+J$5-18),0)+INDEX(Decrements!$E$6:$E$58,Census!$G50+J$5-18)*IF((Census!$F50+J$5)&gt;=Assumptions!$B$11,1,0))*MIN(15/26*Census!$D50*(1+Assumptions!$B$9)^J$5*(INT((Census!$F50+J$5))+IF((Census!$F50+J$5)-INT((Census!$F50+J$5))&gt;0.5,1,0)),Assumptions!$B$10))</f>
        <v>36259.974987660207</v>
      </c>
      <c r="K50" s="30">
        <f>IF(K$5&gt;$B50,0,INDEX(Decrements!$G$6:$G$58,Census!$G50+K$5-18)/INDEX(Decrements!$G$6:$G$58,Census!$G50-17)*(INDEX(Decrements!$D$6:$D$58,Census!$G50+K$5-18)+IF(K$5=$B50,INDEX(Decrements!$F$6:$F$58,Census!$G50+K$5-18),0)+INDEX(Decrements!$E$6:$E$58,Census!$G50+K$5-18)*IF((Census!$F50+K$5)&gt;=Assumptions!$B$11,1,0))*MIN(15/26*Census!$D50*(1+Assumptions!$B$9)^K$5*(INT((Census!$F50+K$5))+IF((Census!$F50+K$5)-INT((Census!$F50+K$5))&gt;0.5,1,0)),Assumptions!$B$10))</f>
        <v>35831.359866681887</v>
      </c>
      <c r="L50" s="30">
        <f>IF(L$5&gt;$B50,0,INDEX(Decrements!$G$6:$G$58,Census!$G50+L$5-18)/INDEX(Decrements!$G$6:$G$58,Census!$G50-17)*(INDEX(Decrements!$D$6:$D$58,Census!$G50+L$5-18)+IF(L$5=$B50,INDEX(Decrements!$F$6:$F$58,Census!$G50+L$5-18),0)+INDEX(Decrements!$E$6:$E$58,Census!$G50+L$5-18)*IF((Census!$F50+L$5)&gt;=Assumptions!$B$11,1,0))*MIN(15/26*Census!$D50*(1+Assumptions!$B$9)^L$5*(INT((Census!$F50+L$5))+IF((Census!$F50+L$5)-INT((Census!$F50+L$5))&gt;0.5,1,0)),Assumptions!$B$10))</f>
        <v>35433.271616316677</v>
      </c>
      <c r="M50" s="30">
        <f>IF(M$5&gt;$B50,0,INDEX(Decrements!$G$6:$G$58,Census!$G50+M$5-18)/INDEX(Decrements!$G$6:$G$58,Census!$G50-17)*(INDEX(Decrements!$D$6:$D$58,Census!$G50+M$5-18)+IF(M$5=$B50,INDEX(Decrements!$F$6:$F$58,Census!$G50+M$5-18),0)+INDEX(Decrements!$E$6:$E$58,Census!$G50+M$5-18)*IF((Census!$F50+M$5)&gt;=Assumptions!$B$11,1,0))*MIN(15/26*Census!$D50*(1+Assumptions!$B$9)^M$5*(INT((Census!$F50+M$5))+IF((Census!$F50+M$5)-INT((Census!$F50+M$5))&gt;0.5,1,0)),Assumptions!$B$10))</f>
        <v>35066.361012376496</v>
      </c>
      <c r="N50" s="30">
        <f>IF(N$5&gt;$B50,0,INDEX(Decrements!$G$6:$G$58,Census!$G50+N$5-18)/INDEX(Decrements!$G$6:$G$58,Census!$G50-17)*(INDEX(Decrements!$D$6:$D$58,Census!$G50+N$5-18)+IF(N$5=$B50,INDEX(Decrements!$F$6:$F$58,Census!$G50+N$5-18),0)+INDEX(Decrements!$E$6:$E$58,Census!$G50+N$5-18)*IF((Census!$F50+N$5)&gt;=Assumptions!$B$11,1,0))*MIN(15/26*Census!$D50*(1+Assumptions!$B$9)^N$5*(INT((Census!$F50+N$5))+IF((Census!$F50+N$5)-INT((Census!$F50+N$5))&gt;0.5,1,0)),Assumptions!$B$10))</f>
        <v>20483.602327047509</v>
      </c>
      <c r="O50" s="30">
        <f>IF(O$5&gt;$B50,0,INDEX(Decrements!$G$6:$G$58,Census!$G50+O$5-18)/INDEX(Decrements!$G$6:$G$58,Census!$G50-17)*(INDEX(Decrements!$D$6:$D$58,Census!$G50+O$5-18)+IF(O$5=$B50,INDEX(Decrements!$F$6:$F$58,Census!$G50+O$5-18),0)+INDEX(Decrements!$E$6:$E$58,Census!$G50+O$5-18)*IF((Census!$F50+O$5)&gt;=Assumptions!$B$11,1,0))*MIN(15/26*Census!$D50*(1+Assumptions!$B$9)^O$5*(INT((Census!$F50+O$5))+IF((Census!$F50+O$5)-INT((Census!$F50+O$5))&gt;0.5,1,0)),Assumptions!$B$10))</f>
        <v>20741.86527567439</v>
      </c>
      <c r="P50" s="30">
        <f>IF(P$5&gt;$B50,0,INDEX(Decrements!$G$6:$G$58,Census!$G50+P$5-18)/INDEX(Decrements!$G$6:$G$58,Census!$G50-17)*(INDEX(Decrements!$D$6:$D$58,Census!$G50+P$5-18)+IF(P$5=$B50,INDEX(Decrements!$F$6:$F$58,Census!$G50+P$5-18),0)+INDEX(Decrements!$E$6:$E$58,Census!$G50+P$5-18)*IF((Census!$F50+P$5)&gt;=Assumptions!$B$11,1,0))*MIN(15/26*Census!$D50*(1+Assumptions!$B$9)^P$5*(INT((Census!$F50+P$5))+IF((Census!$F50+P$5)-INT((Census!$F50+P$5))&gt;0.5,1,0)),Assumptions!$B$10))</f>
        <v>21034.299563978442</v>
      </c>
      <c r="Q50" s="30">
        <f>IF(Q$5&gt;$B50,0,INDEX(Decrements!$G$6:$G$58,Census!$G50+Q$5-18)/INDEX(Decrements!$G$6:$G$58,Census!$G50-17)*(INDEX(Decrements!$D$6:$D$58,Census!$G50+Q$5-18)+IF(Q$5=$B50,INDEX(Decrements!$F$6:$F$58,Census!$G50+Q$5-18),0)+INDEX(Decrements!$E$6:$E$58,Census!$G50+Q$5-18)*IF((Census!$F50+Q$5)&gt;=Assumptions!$B$11,1,0))*MIN(15/26*Census!$D50*(1+Assumptions!$B$9)^Q$5*(INT((Census!$F50+Q$5))+IF((Census!$F50+Q$5)-INT((Census!$F50+Q$5))&gt;0.5,1,0)),Assumptions!$B$10))</f>
        <v>21362.892726287988</v>
      </c>
      <c r="R50" s="30">
        <f>IF(R$5&gt;$B50,0,INDEX(Decrements!$G$6:$G$58,Census!$G50+R$5-18)/INDEX(Decrements!$G$6:$G$58,Census!$G50-17)*(INDEX(Decrements!$D$6:$D$58,Census!$G50+R$5-18)+IF(R$5=$B50,INDEX(Decrements!$F$6:$F$58,Census!$G50+R$5-18),0)+INDEX(Decrements!$E$6:$E$58,Census!$G50+R$5-18)*IF((Census!$F50+R$5)&gt;=Assumptions!$B$11,1,0))*MIN(15/26*Census!$D50*(1+Assumptions!$B$9)^R$5*(INT((Census!$F50+R$5))+IF((Census!$F50+R$5)-INT((Census!$F50+R$5))&gt;0.5,1,0)),Assumptions!$B$10))</f>
        <v>1347382.135002133</v>
      </c>
      <c r="S50" s="30">
        <f>IF(S$5&gt;$B50,0,INDEX(Decrements!$G$6:$G$58,Census!$G50+S$5-18)/INDEX(Decrements!$G$6:$G$58,Census!$G50-17)*(INDEX(Decrements!$D$6:$D$58,Census!$G50+S$5-18)+IF(S$5=$B50,INDEX(Decrements!$F$6:$F$58,Census!$G50+S$5-18),0)+INDEX(Decrements!$E$6:$E$58,Census!$G50+S$5-18)*IF((Census!$F50+S$5)&gt;=Assumptions!$B$11,1,0))*MIN(15/26*Census!$D50*(1+Assumptions!$B$9)^S$5*(INT((Census!$F50+S$5))+IF((Census!$F50+S$5)-INT((Census!$F50+S$5))&gt;0.5,1,0)),Assumptions!$B$10))</f>
        <v>0</v>
      </c>
      <c r="T50" s="30">
        <f>IF(T$5&gt;$B50,0,INDEX(Decrements!$G$6:$G$58,Census!$G50+T$5-18)/INDEX(Decrements!$G$6:$G$58,Census!$G50-17)*(INDEX(Decrements!$D$6:$D$58,Census!$G50+T$5-18)+IF(T$5=$B50,INDEX(Decrements!$F$6:$F$58,Census!$G50+T$5-18),0)+INDEX(Decrements!$E$6:$E$58,Census!$G50+T$5-18)*IF((Census!$F50+T$5)&gt;=Assumptions!$B$11,1,0))*MIN(15/26*Census!$D50*(1+Assumptions!$B$9)^T$5*(INT((Census!$F50+T$5))+IF((Census!$F50+T$5)-INT((Census!$F50+T$5))&gt;0.5,1,0)),Assumptions!$B$10))</f>
        <v>0</v>
      </c>
      <c r="U50" s="30">
        <f>IF(U$5&gt;$B50,0,INDEX(Decrements!$G$6:$G$58,Census!$G50+U$5-18)/INDEX(Decrements!$G$6:$G$58,Census!$G50-17)*(INDEX(Decrements!$D$6:$D$58,Census!$G50+U$5-18)+IF(U$5=$B50,INDEX(Decrements!$F$6:$F$58,Census!$G50+U$5-18),0)+INDEX(Decrements!$E$6:$E$58,Census!$G50+U$5-18)*IF((Census!$F50+U$5)&gt;=Assumptions!$B$11,1,0))*MIN(15/26*Census!$D50*(1+Assumptions!$B$9)^U$5*(INT((Census!$F50+U$5))+IF((Census!$F50+U$5)-INT((Census!$F50+U$5))&gt;0.5,1,0)),Assumptions!$B$10))</f>
        <v>0</v>
      </c>
      <c r="V50" s="30">
        <f>IF(V$5&gt;$B50,0,INDEX(Decrements!$G$6:$G$58,Census!$G50+V$5-18)/INDEX(Decrements!$G$6:$G$58,Census!$G50-17)*(INDEX(Decrements!$D$6:$D$58,Census!$G50+V$5-18)+IF(V$5=$B50,INDEX(Decrements!$F$6:$F$58,Census!$G50+V$5-18),0)+INDEX(Decrements!$E$6:$E$58,Census!$G50+V$5-18)*IF((Census!$F50+V$5)&gt;=Assumptions!$B$11,1,0))*MIN(15/26*Census!$D50*(1+Assumptions!$B$9)^V$5*(INT((Census!$F50+V$5))+IF((Census!$F50+V$5)-INT((Census!$F50+V$5))&gt;0.5,1,0)),Assumptions!$B$10))</f>
        <v>0</v>
      </c>
      <c r="W50" s="30">
        <f>IF(W$5&gt;$B50,0,INDEX(Decrements!$G$6:$G$58,Census!$G50+W$5-18)/INDEX(Decrements!$G$6:$G$58,Census!$G50-17)*(INDEX(Decrements!$D$6:$D$58,Census!$G50+W$5-18)+IF(W$5=$B50,INDEX(Decrements!$F$6:$F$58,Census!$G50+W$5-18),0)+INDEX(Decrements!$E$6:$E$58,Census!$G50+W$5-18)*IF((Census!$F50+W$5)&gt;=Assumptions!$B$11,1,0))*MIN(15/26*Census!$D50*(1+Assumptions!$B$9)^W$5*(INT((Census!$F50+W$5))+IF((Census!$F50+W$5)-INT((Census!$F50+W$5))&gt;0.5,1,0)),Assumptions!$B$10))</f>
        <v>0</v>
      </c>
      <c r="X50" s="30">
        <f>IF(X$5&gt;$B50,0,INDEX(Decrements!$G$6:$G$58,Census!$G50+X$5-18)/INDEX(Decrements!$G$6:$G$58,Census!$G50-17)*(INDEX(Decrements!$D$6:$D$58,Census!$G50+X$5-18)+IF(X$5=$B50,INDEX(Decrements!$F$6:$F$58,Census!$G50+X$5-18),0)+INDEX(Decrements!$E$6:$E$58,Census!$G50+X$5-18)*IF((Census!$F50+X$5)&gt;=Assumptions!$B$11,1,0))*MIN(15/26*Census!$D50*(1+Assumptions!$B$9)^X$5*(INT((Census!$F50+X$5))+IF((Census!$F50+X$5)-INT((Census!$F50+X$5))&gt;0.5,1,0)),Assumptions!$B$10))</f>
        <v>0</v>
      </c>
      <c r="Y50" s="30">
        <f>IF(Y$5&gt;$B50,0,INDEX(Decrements!$G$6:$G$58,Census!$G50+Y$5-18)/INDEX(Decrements!$G$6:$G$58,Census!$G50-17)*(INDEX(Decrements!$D$6:$D$58,Census!$G50+Y$5-18)+IF(Y$5=$B50,INDEX(Decrements!$F$6:$F$58,Census!$G50+Y$5-18),0)+INDEX(Decrements!$E$6:$E$58,Census!$G50+Y$5-18)*IF((Census!$F50+Y$5)&gt;=Assumptions!$B$11,1,0))*MIN(15/26*Census!$D50*(1+Assumptions!$B$9)^Y$5*(INT((Census!$F50+Y$5))+IF((Census!$F50+Y$5)-INT((Census!$F50+Y$5))&gt;0.5,1,0)),Assumptions!$B$10))</f>
        <v>0</v>
      </c>
      <c r="Z50" s="30">
        <f>IF(Z$5&gt;$B50,0,INDEX(Decrements!$G$6:$G$58,Census!$G50+Z$5-18)/INDEX(Decrements!$G$6:$G$58,Census!$G50-17)*(INDEX(Decrements!$D$6:$D$58,Census!$G50+Z$5-18)+IF(Z$5=$B50,INDEX(Decrements!$F$6:$F$58,Census!$G50+Z$5-18),0)+INDEX(Decrements!$E$6:$E$58,Census!$G50+Z$5-18)*IF((Census!$F50+Z$5)&gt;=Assumptions!$B$11,1,0))*MIN(15/26*Census!$D50*(1+Assumptions!$B$9)^Z$5*(INT((Census!$F50+Z$5))+IF((Census!$F50+Z$5)-INT((Census!$F50+Z$5))&gt;0.5,1,0)),Assumptions!$B$10))</f>
        <v>0</v>
      </c>
      <c r="AA50" s="30">
        <f>IF(AA$5&gt;$B50,0,INDEX(Decrements!$G$6:$G$58,Census!$G50+AA$5-18)/INDEX(Decrements!$G$6:$G$58,Census!$G50-17)*(INDEX(Decrements!$D$6:$D$58,Census!$G50+AA$5-18)+IF(AA$5=$B50,INDEX(Decrements!$F$6:$F$58,Census!$G50+AA$5-18),0)+INDEX(Decrements!$E$6:$E$58,Census!$G50+AA$5-18)*IF((Census!$F50+AA$5)&gt;=Assumptions!$B$11,1,0))*MIN(15/26*Census!$D50*(1+Assumptions!$B$9)^AA$5*(INT((Census!$F50+AA$5))+IF((Census!$F50+AA$5)-INT((Census!$F50+AA$5))&gt;0.5,1,0)),Assumptions!$B$10))</f>
        <v>0</v>
      </c>
      <c r="AB50" s="30">
        <f>IF(AB$5&gt;$B50,0,INDEX(Decrements!$G$6:$G$58,Census!$G50+AB$5-18)/INDEX(Decrements!$G$6:$G$58,Census!$G50-17)*(INDEX(Decrements!$D$6:$D$58,Census!$G50+AB$5-18)+IF(AB$5=$B50,INDEX(Decrements!$F$6:$F$58,Census!$G50+AB$5-18),0)+INDEX(Decrements!$E$6:$E$58,Census!$G50+AB$5-18)*IF((Census!$F50+AB$5)&gt;=Assumptions!$B$11,1,0))*MIN(15/26*Census!$D50*(1+Assumptions!$B$9)^AB$5*(INT((Census!$F50+AB$5))+IF((Census!$F50+AB$5)-INT((Census!$F50+AB$5))&gt;0.5,1,0)),Assumptions!$B$10))</f>
        <v>0</v>
      </c>
      <c r="AC50" s="30">
        <f>IF(AC$5&gt;$B50,0,INDEX(Decrements!$G$6:$G$58,Census!$G50+AC$5-18)/INDEX(Decrements!$G$6:$G$58,Census!$G50-17)*(INDEX(Decrements!$D$6:$D$58,Census!$G50+AC$5-18)+IF(AC$5=$B50,INDEX(Decrements!$F$6:$F$58,Census!$G50+AC$5-18),0)+INDEX(Decrements!$E$6:$E$58,Census!$G50+AC$5-18)*IF((Census!$F50+AC$5)&gt;=Assumptions!$B$11,1,0))*MIN(15/26*Census!$D50*(1+Assumptions!$B$9)^AC$5*(INT((Census!$F50+AC$5))+IF((Census!$F50+AC$5)-INT((Census!$F50+AC$5))&gt;0.5,1,0)),Assumptions!$B$10))</f>
        <v>0</v>
      </c>
      <c r="AD50" s="30">
        <f>IF(AD$5&gt;$B50,0,INDEX(Decrements!$G$6:$G$58,Census!$G50+AD$5-18)/INDEX(Decrements!$G$6:$G$58,Census!$G50-17)*(INDEX(Decrements!$D$6:$D$58,Census!$G50+AD$5-18)+IF(AD$5=$B50,INDEX(Decrements!$F$6:$F$58,Census!$G50+AD$5-18),0)+INDEX(Decrements!$E$6:$E$58,Census!$G50+AD$5-18)*IF((Census!$F50+AD$5)&gt;=Assumptions!$B$11,1,0))*MIN(15/26*Census!$D50*(1+Assumptions!$B$9)^AD$5*(INT((Census!$F50+AD$5))+IF((Census!$F50+AD$5)-INT((Census!$F50+AD$5))&gt;0.5,1,0)),Assumptions!$B$10))</f>
        <v>0</v>
      </c>
      <c r="AE50" s="30">
        <f>IF(AE$5&gt;$B50,0,INDEX(Decrements!$G$6:$G$58,Census!$G50+AE$5-18)/INDEX(Decrements!$G$6:$G$58,Census!$G50-17)*(INDEX(Decrements!$D$6:$D$58,Census!$G50+AE$5-18)+IF(AE$5=$B50,INDEX(Decrements!$F$6:$F$58,Census!$G50+AE$5-18),0)+INDEX(Decrements!$E$6:$E$58,Census!$G50+AE$5-18)*IF((Census!$F50+AE$5)&gt;=Assumptions!$B$11,1,0))*MIN(15/26*Census!$D50*(1+Assumptions!$B$9)^AE$5*(INT((Census!$F50+AE$5))+IF((Census!$F50+AE$5)-INT((Census!$F50+AE$5))&gt;0.5,1,0)),Assumptions!$B$10))</f>
        <v>0</v>
      </c>
      <c r="AF50" s="30">
        <f>IF(AF$5&gt;$B50,0,INDEX(Decrements!$G$6:$G$58,Census!$G50+AF$5-18)/INDEX(Decrements!$G$6:$G$58,Census!$G50-17)*(INDEX(Decrements!$D$6:$D$58,Census!$G50+AF$5-18)+IF(AF$5=$B50,INDEX(Decrements!$F$6:$F$58,Census!$G50+AF$5-18),0)+INDEX(Decrements!$E$6:$E$58,Census!$G50+AF$5-18)*IF((Census!$F50+AF$5)&gt;=Assumptions!$B$11,1,0))*MIN(15/26*Census!$D50*(1+Assumptions!$B$9)^AF$5*(INT((Census!$F50+AF$5))+IF((Census!$F50+AF$5)-INT((Census!$F50+AF$5))&gt;0.5,1,0)),Assumptions!$B$10))</f>
        <v>0</v>
      </c>
      <c r="AG50" s="30">
        <f>IF(AG$5&gt;$B50,0,INDEX(Decrements!$G$6:$G$58,Census!$G50+AG$5-18)/INDEX(Decrements!$G$6:$G$58,Census!$G50-17)*(INDEX(Decrements!$D$6:$D$58,Census!$G50+AG$5-18)+IF(AG$5=$B50,INDEX(Decrements!$F$6:$F$58,Census!$G50+AG$5-18),0)+INDEX(Decrements!$E$6:$E$58,Census!$G50+AG$5-18)*IF((Census!$F50+AG$5)&gt;=Assumptions!$B$11,1,0))*MIN(15/26*Census!$D50*(1+Assumptions!$B$9)^AG$5*(INT((Census!$F50+AG$5))+IF((Census!$F50+AG$5)-INT((Census!$F50+AG$5))&gt;0.5,1,0)),Assumptions!$B$10))</f>
        <v>0</v>
      </c>
      <c r="AH50" s="30">
        <f>IF(AH$5&gt;$B50,0,INDEX(Decrements!$G$6:$G$58,Census!$G50+AH$5-18)/INDEX(Decrements!$G$6:$G$58,Census!$G50-17)*(INDEX(Decrements!$D$6:$D$58,Census!$G50+AH$5-18)+IF(AH$5=$B50,INDEX(Decrements!$F$6:$F$58,Census!$G50+AH$5-18),0)+INDEX(Decrements!$E$6:$E$58,Census!$G50+AH$5-18)*IF((Census!$F50+AH$5)&gt;=Assumptions!$B$11,1,0))*MIN(15/26*Census!$D50*(1+Assumptions!$B$9)^AH$5*(INT((Census!$F50+AH$5))+IF((Census!$F50+AH$5)-INT((Census!$F50+AH$5))&gt;0.5,1,0)),Assumptions!$B$10))</f>
        <v>0</v>
      </c>
      <c r="AI50" s="30">
        <f>IF(AI$5&gt;$B50,0,INDEX(Decrements!$G$6:$G$58,Census!$G50+AI$5-18)/INDEX(Decrements!$G$6:$G$58,Census!$G50-17)*(INDEX(Decrements!$D$6:$D$58,Census!$G50+AI$5-18)+IF(AI$5=$B50,INDEX(Decrements!$F$6:$F$58,Census!$G50+AI$5-18),0)+INDEX(Decrements!$E$6:$E$58,Census!$G50+AI$5-18)*IF((Census!$F50+AI$5)&gt;=Assumptions!$B$11,1,0))*MIN(15/26*Census!$D50*(1+Assumptions!$B$9)^AI$5*(INT((Census!$F50+AI$5))+IF((Census!$F50+AI$5)-INT((Census!$F50+AI$5))&gt;0.5,1,0)),Assumptions!$B$10))</f>
        <v>0</v>
      </c>
      <c r="AJ50" s="30">
        <f>IF(AJ$5&gt;$B50,0,INDEX(Decrements!$G$6:$G$58,Census!$G50+AJ$5-18)/INDEX(Decrements!$G$6:$G$58,Census!$G50-17)*(INDEX(Decrements!$D$6:$D$58,Census!$G50+AJ$5-18)+IF(AJ$5=$B50,INDEX(Decrements!$F$6:$F$58,Census!$G50+AJ$5-18),0)+INDEX(Decrements!$E$6:$E$58,Census!$G50+AJ$5-18)*IF((Census!$F50+AJ$5)&gt;=Assumptions!$B$11,1,0))*MIN(15/26*Census!$D50*(1+Assumptions!$B$9)^AJ$5*(INT((Census!$F50+AJ$5))+IF((Census!$F50+AJ$5)-INT((Census!$F50+AJ$5))&gt;0.5,1,0)),Assumptions!$B$10))</f>
        <v>0</v>
      </c>
      <c r="AK50" s="30">
        <f>IF(AK$5&gt;$B50,0,INDEX(Decrements!$G$6:$G$58,Census!$G50+AK$5-18)/INDEX(Decrements!$G$6:$G$58,Census!$G50-17)*(INDEX(Decrements!$D$6:$D$58,Census!$G50+AK$5-18)+IF(AK$5=$B50,INDEX(Decrements!$F$6:$F$58,Census!$G50+AK$5-18),0)+INDEX(Decrements!$E$6:$E$58,Census!$G50+AK$5-18)*IF((Census!$F50+AK$5)&gt;=Assumptions!$B$11,1,0))*MIN(15/26*Census!$D50*(1+Assumptions!$B$9)^AK$5*(INT((Census!$F50+AK$5))+IF((Census!$F50+AK$5)-INT((Census!$F50+AK$5))&gt;0.5,1,0)),Assumptions!$B$10))</f>
        <v>0</v>
      </c>
      <c r="AL50" s="30">
        <f>IF(AL$5&gt;$B50,0,INDEX(Decrements!$G$6:$G$58,Census!$G50+AL$5-18)/INDEX(Decrements!$G$6:$G$58,Census!$G50-17)*(INDEX(Decrements!$D$6:$D$58,Census!$G50+AL$5-18)+IF(AL$5=$B50,INDEX(Decrements!$F$6:$F$58,Census!$G50+AL$5-18),0)+INDEX(Decrements!$E$6:$E$58,Census!$G50+AL$5-18)*IF((Census!$F50+AL$5)&gt;=Assumptions!$B$11,1,0))*MIN(15/26*Census!$D50*(1+Assumptions!$B$9)^AL$5*(INT((Census!$F50+AL$5))+IF((Census!$F50+AL$5)-INT((Census!$F50+AL$5))&gt;0.5,1,0)),Assumptions!$B$10))</f>
        <v>0</v>
      </c>
      <c r="AM50" s="30">
        <f>IF(AM$5&gt;$B50,0,INDEX(Decrements!$G$6:$G$58,Census!$G50+AM$5-18)/INDEX(Decrements!$G$6:$G$58,Census!$G50-17)*(INDEX(Decrements!$D$6:$D$58,Census!$G50+AM$5-18)+IF(AM$5=$B50,INDEX(Decrements!$F$6:$F$58,Census!$G50+AM$5-18),0)+INDEX(Decrements!$E$6:$E$58,Census!$G50+AM$5-18)*IF((Census!$F50+AM$5)&gt;=Assumptions!$B$11,1,0))*MIN(15/26*Census!$D50*(1+Assumptions!$B$9)^AM$5*(INT((Census!$F50+AM$5))+IF((Census!$F50+AM$5)-INT((Census!$F50+AM$5))&gt;0.5,1,0)),Assumptions!$B$10))</f>
        <v>0</v>
      </c>
      <c r="AN50" s="30">
        <f>IF(AN$5&gt;$B50,0,INDEX(Decrements!$G$6:$G$58,Census!$G50+AN$5-18)/INDEX(Decrements!$G$6:$G$58,Census!$G50-17)*(INDEX(Decrements!$D$6:$D$58,Census!$G50+AN$5-18)+IF(AN$5=$B50,INDEX(Decrements!$F$6:$F$58,Census!$G50+AN$5-18),0)+INDEX(Decrements!$E$6:$E$58,Census!$G50+AN$5-18)*IF((Census!$F50+AN$5)&gt;=Assumptions!$B$11,1,0))*MIN(15/26*Census!$D50*(1+Assumptions!$B$9)^AN$5*(INT((Census!$F50+AN$5))+IF((Census!$F50+AN$5)-INT((Census!$F50+AN$5))&gt;0.5,1,0)),Assumptions!$B$10))</f>
        <v>0</v>
      </c>
      <c r="AO50" s="30">
        <f>IF(AO$5&gt;$B50,0,INDEX(Decrements!$G$6:$G$58,Census!$G50+AO$5-18)/INDEX(Decrements!$G$6:$G$58,Census!$G50-17)*(INDEX(Decrements!$D$6:$D$58,Census!$G50+AO$5-18)+IF(AO$5=$B50,INDEX(Decrements!$F$6:$F$58,Census!$G50+AO$5-18),0)+INDEX(Decrements!$E$6:$E$58,Census!$G50+AO$5-18)*IF((Census!$F50+AO$5)&gt;=Assumptions!$B$11,1,0))*MIN(15/26*Census!$D50*(1+Assumptions!$B$9)^AO$5*(INT((Census!$F50+AO$5))+IF((Census!$F50+AO$5)-INT((Census!$F50+AO$5))&gt;0.5,1,0)),Assumptions!$B$10))</f>
        <v>0</v>
      </c>
      <c r="AP50" s="30">
        <f>IF(AP$5&gt;$B50,0,INDEX(Decrements!$G$6:$G$58,Census!$G50+AP$5-18)/INDEX(Decrements!$G$6:$G$58,Census!$G50-17)*(INDEX(Decrements!$D$6:$D$58,Census!$G50+AP$5-18)+IF(AP$5=$B50,INDEX(Decrements!$F$6:$F$58,Census!$G50+AP$5-18),0)+INDEX(Decrements!$E$6:$E$58,Census!$G50+AP$5-18)*IF((Census!$F50+AP$5)&gt;=Assumptions!$B$11,1,0))*MIN(15/26*Census!$D50*(1+Assumptions!$B$9)^AP$5*(INT((Census!$F50+AP$5))+IF((Census!$F50+AP$5)-INT((Census!$F50+AP$5))&gt;0.5,1,0)),Assumptions!$B$10))</f>
        <v>0</v>
      </c>
      <c r="AQ50" s="30">
        <f>IF(AQ$5&gt;$B50,0,INDEX(Decrements!$G$6:$G$58,Census!$G50+AQ$5-18)/INDEX(Decrements!$G$6:$G$58,Census!$G50-17)*(INDEX(Decrements!$D$6:$D$58,Census!$G50+AQ$5-18)+IF(AQ$5=$B50,INDEX(Decrements!$F$6:$F$58,Census!$G50+AQ$5-18),0)+INDEX(Decrements!$E$6:$E$58,Census!$G50+AQ$5-18)*IF((Census!$F50+AQ$5)&gt;=Assumptions!$B$11,1,0))*MIN(15/26*Census!$D50*(1+Assumptions!$B$9)^AQ$5*(INT((Census!$F50+AQ$5))+IF((Census!$F50+AQ$5)-INT((Census!$F50+AQ$5))&gt;0.5,1,0)),Assumptions!$B$10))</f>
        <v>0</v>
      </c>
      <c r="AR50" s="30">
        <f>IF(AR$5&gt;$B50,0,INDEX(Decrements!$G$6:$G$58,Census!$G50+AR$5-18)/INDEX(Decrements!$G$6:$G$58,Census!$G50-17)*(INDEX(Decrements!$D$6:$D$58,Census!$G50+AR$5-18)+IF(AR$5=$B50,INDEX(Decrements!$F$6:$F$58,Census!$G50+AR$5-18),0)+INDEX(Decrements!$E$6:$E$58,Census!$G50+AR$5-18)*IF((Census!$F50+AR$5)&gt;=Assumptions!$B$11,1,0))*MIN(15/26*Census!$D50*(1+Assumptions!$B$9)^AR$5*(INT((Census!$F50+AR$5))+IF((Census!$F50+AR$5)-INT((Census!$F50+AR$5))&gt;0.5,1,0)),Assumptions!$B$10))</f>
        <v>0</v>
      </c>
      <c r="AS50" s="30">
        <f>IF(AS$5&gt;$B50,0,INDEX(Decrements!$G$6:$G$58,Census!$G50+AS$5-18)/INDEX(Decrements!$G$6:$G$58,Census!$G50-17)*(INDEX(Decrements!$D$6:$D$58,Census!$G50+AS$5-18)+IF(AS$5=$B50,INDEX(Decrements!$F$6:$F$58,Census!$G50+AS$5-18),0)+INDEX(Decrements!$E$6:$E$58,Census!$G50+AS$5-18)*IF((Census!$F50+AS$5)&gt;=Assumptions!$B$11,1,0))*MIN(15/26*Census!$D50*(1+Assumptions!$B$9)^AS$5*(INT((Census!$F50+AS$5))+IF((Census!$F50+AS$5)-INT((Census!$F50+AS$5))&gt;0.5,1,0)),Assumptions!$B$10))</f>
        <v>0</v>
      </c>
      <c r="AT50" s="30">
        <f>IF(AT$5&gt;$B50,0,INDEX(Decrements!$G$6:$G$58,Census!$G50+AT$5-18)/INDEX(Decrements!$G$6:$G$58,Census!$G50-17)*(INDEX(Decrements!$D$6:$D$58,Census!$G50+AT$5-18)+IF(AT$5=$B50,INDEX(Decrements!$F$6:$F$58,Census!$G50+AT$5-18),0)+INDEX(Decrements!$E$6:$E$58,Census!$G50+AT$5-18)*IF((Census!$F50+AT$5)&gt;=Assumptions!$B$11,1,0))*MIN(15/26*Census!$D50*(1+Assumptions!$B$9)^AT$5*(INT((Census!$F50+AT$5))+IF((Census!$F50+AT$5)-INT((Census!$F50+AT$5))&gt;0.5,1,0)),Assumptions!$B$10))</f>
        <v>0</v>
      </c>
      <c r="AU50" s="30">
        <f>IF(AU$5&gt;$B50,0,INDEX(Decrements!$G$6:$G$58,Census!$G50+AU$5-18)/INDEX(Decrements!$G$6:$G$58,Census!$G50-17)*(INDEX(Decrements!$D$6:$D$58,Census!$G50+AU$5-18)+IF(AU$5=$B50,INDEX(Decrements!$F$6:$F$58,Census!$G50+AU$5-18),0)+INDEX(Decrements!$E$6:$E$58,Census!$G50+AU$5-18)*IF((Census!$F50+AU$5)&gt;=Assumptions!$B$11,1,0))*MIN(15/26*Census!$D50*(1+Assumptions!$B$9)^AU$5*(INT((Census!$F50+AU$5))+IF((Census!$F50+AU$5)-INT((Census!$F50+AU$5))&gt;0.5,1,0)),Assumptions!$B$10))</f>
        <v>0</v>
      </c>
    </row>
    <row r="51" spans="1:47" x14ac:dyDescent="0.3">
      <c r="A51" s="10" t="str">
        <f>Census!A51</f>
        <v>E046</v>
      </c>
      <c r="B51" s="29">
        <f>Census!H51</f>
        <v>14</v>
      </c>
      <c r="C51" s="30">
        <f>IF(C$5&gt;$B51,0,INDEX(Decrements!$G$6:$G$58,Census!$G51+C$5-18)/INDEX(Decrements!$G$6:$G$58,Census!$G51-17)*(INDEX(Decrements!$D$6:$D$58,Census!$G51+C$5-18)+IF(C$5=$B51,INDEX(Decrements!$F$6:$F$58,Census!$G51+C$5-18),0)+INDEX(Decrements!$E$6:$E$58,Census!$G51+C$5-18)*IF((Census!$F51+C$5)&gt;=Assumptions!$B$11,1,0))*MIN(15/26*Census!$D51*(1+Assumptions!$B$9)^C$5*(INT((Census!$F51+C$5))+IF((Census!$F51+C$5)-INT((Census!$F51+C$5))&gt;0.5,1,0)),Assumptions!$B$10))</f>
        <v>9396.2743312845396</v>
      </c>
      <c r="D51" s="30">
        <f>IF(D$5&gt;$B51,0,INDEX(Decrements!$G$6:$G$58,Census!$G51+D$5-18)/INDEX(Decrements!$G$6:$G$58,Census!$G51-17)*(INDEX(Decrements!$D$6:$D$58,Census!$G51+D$5-18)+IF(D$5=$B51,INDEX(Decrements!$F$6:$F$58,Census!$G51+D$5-18),0)+INDEX(Decrements!$E$6:$E$58,Census!$G51+D$5-18)*IF((Census!$F51+D$5)&gt;=Assumptions!$B$11,1,0))*MIN(15/26*Census!$D51*(1+Assumptions!$B$9)^D$5*(INT((Census!$F51+D$5))+IF((Census!$F51+D$5)-INT((Census!$F51+D$5))&gt;0.5,1,0)),Assumptions!$B$10))</f>
        <v>10860.323157552701</v>
      </c>
      <c r="E51" s="30">
        <f>IF(E$5&gt;$B51,0,INDEX(Decrements!$G$6:$G$58,Census!$G51+E$5-18)/INDEX(Decrements!$G$6:$G$58,Census!$G51-17)*(INDEX(Decrements!$D$6:$D$58,Census!$G51+E$5-18)+IF(E$5=$B51,INDEX(Decrements!$F$6:$F$58,Census!$G51+E$5-18),0)+INDEX(Decrements!$E$6:$E$58,Census!$G51+E$5-18)*IF((Census!$F51+E$5)&gt;=Assumptions!$B$11,1,0))*MIN(15/26*Census!$D51*(1+Assumptions!$B$9)^E$5*(INT((Census!$F51+E$5))+IF((Census!$F51+E$5)-INT((Census!$F51+E$5))&gt;0.5,1,0)),Assumptions!$B$10))</f>
        <v>12452.589702196145</v>
      </c>
      <c r="F51" s="30">
        <f>IF(F$5&gt;$B51,0,INDEX(Decrements!$G$6:$G$58,Census!$G51+F$5-18)/INDEX(Decrements!$G$6:$G$58,Census!$G51-17)*(INDEX(Decrements!$D$6:$D$58,Census!$G51+F$5-18)+IF(F$5=$B51,INDEX(Decrements!$F$6:$F$58,Census!$G51+F$5-18),0)+INDEX(Decrements!$E$6:$E$58,Census!$G51+F$5-18)*IF((Census!$F51+F$5)&gt;=Assumptions!$B$11,1,0))*MIN(15/26*Census!$D51*(1+Assumptions!$B$9)^F$5*(INT((Census!$F51+F$5))+IF((Census!$F51+F$5)-INT((Census!$F51+F$5))&gt;0.5,1,0)),Assumptions!$B$10))</f>
        <v>14183.876579301816</v>
      </c>
      <c r="G51" s="30">
        <f>IF(G$5&gt;$B51,0,INDEX(Decrements!$G$6:$G$58,Census!$G51+G$5-18)/INDEX(Decrements!$G$6:$G$58,Census!$G51-17)*(INDEX(Decrements!$D$6:$D$58,Census!$G51+G$5-18)+IF(G$5=$B51,INDEX(Decrements!$F$6:$F$58,Census!$G51+G$5-18),0)+INDEX(Decrements!$E$6:$E$58,Census!$G51+G$5-18)*IF((Census!$F51+G$5)&gt;=Assumptions!$B$11,1,0))*MIN(15/26*Census!$D51*(1+Assumptions!$B$9)^G$5*(INT((Census!$F51+G$5))+IF((Census!$F51+G$5)-INT((Census!$F51+G$5))&gt;0.5,1,0)),Assumptions!$B$10))</f>
        <v>11177.911442690101</v>
      </c>
      <c r="H51" s="30">
        <f>IF(H$5&gt;$B51,0,INDEX(Decrements!$G$6:$G$58,Census!$G51+H$5-18)/INDEX(Decrements!$G$6:$G$58,Census!$G51-17)*(INDEX(Decrements!$D$6:$D$58,Census!$G51+H$5-18)+IF(H$5=$B51,INDEX(Decrements!$F$6:$F$58,Census!$G51+H$5-18),0)+INDEX(Decrements!$E$6:$E$58,Census!$G51+H$5-18)*IF((Census!$F51+H$5)&gt;=Assumptions!$B$11,1,0))*MIN(15/26*Census!$D51*(1+Assumptions!$B$9)^H$5*(INT((Census!$F51+H$5))+IF((Census!$F51+H$5)-INT((Census!$F51+H$5))&gt;0.5,1,0)),Assumptions!$B$10))</f>
        <v>12772.92511758798</v>
      </c>
      <c r="I51" s="30">
        <f>IF(I$5&gt;$B51,0,INDEX(Decrements!$G$6:$G$58,Census!$G51+I$5-18)/INDEX(Decrements!$G$6:$G$58,Census!$G51-17)*(INDEX(Decrements!$D$6:$D$58,Census!$G51+I$5-18)+IF(I$5=$B51,INDEX(Decrements!$F$6:$F$58,Census!$G51+I$5-18),0)+INDEX(Decrements!$E$6:$E$58,Census!$G51+I$5-18)*IF((Census!$F51+I$5)&gt;=Assumptions!$B$11,1,0))*MIN(15/26*Census!$D51*(1+Assumptions!$B$9)^I$5*(INT((Census!$F51+I$5))+IF((Census!$F51+I$5)-INT((Census!$F51+I$5))&gt;0.5,1,0)),Assumptions!$B$10))</f>
        <v>14540.476396813556</v>
      </c>
      <c r="J51" s="30">
        <f>IF(J$5&gt;$B51,0,INDEX(Decrements!$G$6:$G$58,Census!$G51+J$5-18)/INDEX(Decrements!$G$6:$G$58,Census!$G51-17)*(INDEX(Decrements!$D$6:$D$58,Census!$G51+J$5-18)+IF(J$5=$B51,INDEX(Decrements!$F$6:$F$58,Census!$G51+J$5-18),0)+INDEX(Decrements!$E$6:$E$58,Census!$G51+J$5-18)*IF((Census!$F51+J$5)&gt;=Assumptions!$B$11,1,0))*MIN(15/26*Census!$D51*(1+Assumptions!$B$9)^J$5*(INT((Census!$F51+J$5))+IF((Census!$F51+J$5)-INT((Census!$F51+J$5))&gt;0.5,1,0)),Assumptions!$B$10))</f>
        <v>16499.823272532911</v>
      </c>
      <c r="K51" s="30">
        <f>IF(K$5&gt;$B51,0,INDEX(Decrements!$G$6:$G$58,Census!$G51+K$5-18)/INDEX(Decrements!$G$6:$G$58,Census!$G51-17)*(INDEX(Decrements!$D$6:$D$58,Census!$G51+K$5-18)+IF(K$5=$B51,INDEX(Decrements!$F$6:$F$58,Census!$G51+K$5-18),0)+INDEX(Decrements!$E$6:$E$58,Census!$G51+K$5-18)*IF((Census!$F51+K$5)&gt;=Assumptions!$B$11,1,0))*MIN(15/26*Census!$D51*(1+Assumptions!$B$9)^K$5*(INT((Census!$F51+K$5))+IF((Census!$F51+K$5)-INT((Census!$F51+K$5))&gt;0.5,1,0)),Assumptions!$B$10))</f>
        <v>18672.655209101289</v>
      </c>
      <c r="L51" s="30">
        <f>IF(L$5&gt;$B51,0,INDEX(Decrements!$G$6:$G$58,Census!$G51+L$5-18)/INDEX(Decrements!$G$6:$G$58,Census!$G51-17)*(INDEX(Decrements!$D$6:$D$58,Census!$G51+L$5-18)+IF(L$5=$B51,INDEX(Decrements!$F$6:$F$58,Census!$G51+L$5-18),0)+INDEX(Decrements!$E$6:$E$58,Census!$G51+L$5-18)*IF((Census!$F51+L$5)&gt;=Assumptions!$B$11,1,0))*MIN(15/26*Census!$D51*(1+Assumptions!$B$9)^L$5*(INT((Census!$F51+L$5))+IF((Census!$F51+L$5)-INT((Census!$F51+L$5))&gt;0.5,1,0)),Assumptions!$B$10))</f>
        <v>12434.449575662285</v>
      </c>
      <c r="M51" s="30">
        <f>IF(M$5&gt;$B51,0,INDEX(Decrements!$G$6:$G$58,Census!$G51+M$5-18)/INDEX(Decrements!$G$6:$G$58,Census!$G51-17)*(INDEX(Decrements!$D$6:$D$58,Census!$G51+M$5-18)+IF(M$5=$B51,INDEX(Decrements!$F$6:$F$58,Census!$G51+M$5-18),0)+INDEX(Decrements!$E$6:$E$58,Census!$G51+M$5-18)*IF((Census!$F51+M$5)&gt;=Assumptions!$B$11,1,0))*MIN(15/26*Census!$D51*(1+Assumptions!$B$9)^M$5*(INT((Census!$F51+M$5))+IF((Census!$F51+M$5)-INT((Census!$F51+M$5))&gt;0.5,1,0)),Assumptions!$B$10))</f>
        <v>14314.236522012732</v>
      </c>
      <c r="N51" s="30">
        <f>IF(N$5&gt;$B51,0,INDEX(Decrements!$G$6:$G$58,Census!$G51+N$5-18)/INDEX(Decrements!$G$6:$G$58,Census!$G51-17)*(INDEX(Decrements!$D$6:$D$58,Census!$G51+N$5-18)+IF(N$5=$B51,INDEX(Decrements!$F$6:$F$58,Census!$G51+N$5-18),0)+INDEX(Decrements!$E$6:$E$58,Census!$G51+N$5-18)*IF((Census!$F51+N$5)&gt;=Assumptions!$B$11,1,0))*MIN(15/26*Census!$D51*(1+Assumptions!$B$9)^N$5*(INT((Census!$F51+N$5))+IF((Census!$F51+N$5)-INT((Census!$F51+N$5))&gt;0.5,1,0)),Assumptions!$B$10))</f>
        <v>16461.199912651799</v>
      </c>
      <c r="O51" s="30">
        <f>IF(O$5&gt;$B51,0,INDEX(Decrements!$G$6:$G$58,Census!$G51+O$5-18)/INDEX(Decrements!$G$6:$G$58,Census!$G51-17)*(INDEX(Decrements!$D$6:$D$58,Census!$G51+O$5-18)+IF(O$5=$B51,INDEX(Decrements!$F$6:$F$58,Census!$G51+O$5-18),0)+INDEX(Decrements!$E$6:$E$58,Census!$G51+O$5-18)*IF((Census!$F51+O$5)&gt;=Assumptions!$B$11,1,0))*MIN(15/26*Census!$D51*(1+Assumptions!$B$9)^O$5*(INT((Census!$F51+O$5))+IF((Census!$F51+O$5)-INT((Census!$F51+O$5))&gt;0.5,1,0)),Assumptions!$B$10))</f>
        <v>18915.622394596514</v>
      </c>
      <c r="P51" s="30">
        <f>IF(P$5&gt;$B51,0,INDEX(Decrements!$G$6:$G$58,Census!$G51+P$5-18)/INDEX(Decrements!$G$6:$G$58,Census!$G51-17)*(INDEX(Decrements!$D$6:$D$58,Census!$G51+P$5-18)+IF(P$5=$B51,INDEX(Decrements!$F$6:$F$58,Census!$G51+P$5-18),0)+INDEX(Decrements!$E$6:$E$58,Census!$G51+P$5-18)*IF((Census!$F51+P$5)&gt;=Assumptions!$B$11,1,0))*MIN(15/26*Census!$D51*(1+Assumptions!$B$9)^P$5*(INT((Census!$F51+P$5))+IF((Census!$F51+P$5)-INT((Census!$F51+P$5))&gt;0.5,1,0)),Assumptions!$B$10))</f>
        <v>1347039.3155225888</v>
      </c>
      <c r="Q51" s="30">
        <f>IF(Q$5&gt;$B51,0,INDEX(Decrements!$G$6:$G$58,Census!$G51+Q$5-18)/INDEX(Decrements!$G$6:$G$58,Census!$G51-17)*(INDEX(Decrements!$D$6:$D$58,Census!$G51+Q$5-18)+IF(Q$5=$B51,INDEX(Decrements!$F$6:$F$58,Census!$G51+Q$5-18),0)+INDEX(Decrements!$E$6:$E$58,Census!$G51+Q$5-18)*IF((Census!$F51+Q$5)&gt;=Assumptions!$B$11,1,0))*MIN(15/26*Census!$D51*(1+Assumptions!$B$9)^Q$5*(INT((Census!$F51+Q$5))+IF((Census!$F51+Q$5)-INT((Census!$F51+Q$5))&gt;0.5,1,0)),Assumptions!$B$10))</f>
        <v>0</v>
      </c>
      <c r="R51" s="30">
        <f>IF(R$5&gt;$B51,0,INDEX(Decrements!$G$6:$G$58,Census!$G51+R$5-18)/INDEX(Decrements!$G$6:$G$58,Census!$G51-17)*(INDEX(Decrements!$D$6:$D$58,Census!$G51+R$5-18)+IF(R$5=$B51,INDEX(Decrements!$F$6:$F$58,Census!$G51+R$5-18),0)+INDEX(Decrements!$E$6:$E$58,Census!$G51+R$5-18)*IF((Census!$F51+R$5)&gt;=Assumptions!$B$11,1,0))*MIN(15/26*Census!$D51*(1+Assumptions!$B$9)^R$5*(INT((Census!$F51+R$5))+IF((Census!$F51+R$5)-INT((Census!$F51+R$5))&gt;0.5,1,0)),Assumptions!$B$10))</f>
        <v>0</v>
      </c>
      <c r="S51" s="30">
        <f>IF(S$5&gt;$B51,0,INDEX(Decrements!$G$6:$G$58,Census!$G51+S$5-18)/INDEX(Decrements!$G$6:$G$58,Census!$G51-17)*(INDEX(Decrements!$D$6:$D$58,Census!$G51+S$5-18)+IF(S$5=$B51,INDEX(Decrements!$F$6:$F$58,Census!$G51+S$5-18),0)+INDEX(Decrements!$E$6:$E$58,Census!$G51+S$5-18)*IF((Census!$F51+S$5)&gt;=Assumptions!$B$11,1,0))*MIN(15/26*Census!$D51*(1+Assumptions!$B$9)^S$5*(INT((Census!$F51+S$5))+IF((Census!$F51+S$5)-INT((Census!$F51+S$5))&gt;0.5,1,0)),Assumptions!$B$10))</f>
        <v>0</v>
      </c>
      <c r="T51" s="30">
        <f>IF(T$5&gt;$B51,0,INDEX(Decrements!$G$6:$G$58,Census!$G51+T$5-18)/INDEX(Decrements!$G$6:$G$58,Census!$G51-17)*(INDEX(Decrements!$D$6:$D$58,Census!$G51+T$5-18)+IF(T$5=$B51,INDEX(Decrements!$F$6:$F$58,Census!$G51+T$5-18),0)+INDEX(Decrements!$E$6:$E$58,Census!$G51+T$5-18)*IF((Census!$F51+T$5)&gt;=Assumptions!$B$11,1,0))*MIN(15/26*Census!$D51*(1+Assumptions!$B$9)^T$5*(INT((Census!$F51+T$5))+IF((Census!$F51+T$5)-INT((Census!$F51+T$5))&gt;0.5,1,0)),Assumptions!$B$10))</f>
        <v>0</v>
      </c>
      <c r="U51" s="30">
        <f>IF(U$5&gt;$B51,0,INDEX(Decrements!$G$6:$G$58,Census!$G51+U$5-18)/INDEX(Decrements!$G$6:$G$58,Census!$G51-17)*(INDEX(Decrements!$D$6:$D$58,Census!$G51+U$5-18)+IF(U$5=$B51,INDEX(Decrements!$F$6:$F$58,Census!$G51+U$5-18),0)+INDEX(Decrements!$E$6:$E$58,Census!$G51+U$5-18)*IF((Census!$F51+U$5)&gt;=Assumptions!$B$11,1,0))*MIN(15/26*Census!$D51*(1+Assumptions!$B$9)^U$5*(INT((Census!$F51+U$5))+IF((Census!$F51+U$5)-INT((Census!$F51+U$5))&gt;0.5,1,0)),Assumptions!$B$10))</f>
        <v>0</v>
      </c>
      <c r="V51" s="30">
        <f>IF(V$5&gt;$B51,0,INDEX(Decrements!$G$6:$G$58,Census!$G51+V$5-18)/INDEX(Decrements!$G$6:$G$58,Census!$G51-17)*(INDEX(Decrements!$D$6:$D$58,Census!$G51+V$5-18)+IF(V$5=$B51,INDEX(Decrements!$F$6:$F$58,Census!$G51+V$5-18),0)+INDEX(Decrements!$E$6:$E$58,Census!$G51+V$5-18)*IF((Census!$F51+V$5)&gt;=Assumptions!$B$11,1,0))*MIN(15/26*Census!$D51*(1+Assumptions!$B$9)^V$5*(INT((Census!$F51+V$5))+IF((Census!$F51+V$5)-INT((Census!$F51+V$5))&gt;0.5,1,0)),Assumptions!$B$10))</f>
        <v>0</v>
      </c>
      <c r="W51" s="30">
        <f>IF(W$5&gt;$B51,0,INDEX(Decrements!$G$6:$G$58,Census!$G51+W$5-18)/INDEX(Decrements!$G$6:$G$58,Census!$G51-17)*(INDEX(Decrements!$D$6:$D$58,Census!$G51+W$5-18)+IF(W$5=$B51,INDEX(Decrements!$F$6:$F$58,Census!$G51+W$5-18),0)+INDEX(Decrements!$E$6:$E$58,Census!$G51+W$5-18)*IF((Census!$F51+W$5)&gt;=Assumptions!$B$11,1,0))*MIN(15/26*Census!$D51*(1+Assumptions!$B$9)^W$5*(INT((Census!$F51+W$5))+IF((Census!$F51+W$5)-INT((Census!$F51+W$5))&gt;0.5,1,0)),Assumptions!$B$10))</f>
        <v>0</v>
      </c>
      <c r="X51" s="30">
        <f>IF(X$5&gt;$B51,0,INDEX(Decrements!$G$6:$G$58,Census!$G51+X$5-18)/INDEX(Decrements!$G$6:$G$58,Census!$G51-17)*(INDEX(Decrements!$D$6:$D$58,Census!$G51+X$5-18)+IF(X$5=$B51,INDEX(Decrements!$F$6:$F$58,Census!$G51+X$5-18),0)+INDEX(Decrements!$E$6:$E$58,Census!$G51+X$5-18)*IF((Census!$F51+X$5)&gt;=Assumptions!$B$11,1,0))*MIN(15/26*Census!$D51*(1+Assumptions!$B$9)^X$5*(INT((Census!$F51+X$5))+IF((Census!$F51+X$5)-INT((Census!$F51+X$5))&gt;0.5,1,0)),Assumptions!$B$10))</f>
        <v>0</v>
      </c>
      <c r="Y51" s="30">
        <f>IF(Y$5&gt;$B51,0,INDEX(Decrements!$G$6:$G$58,Census!$G51+Y$5-18)/INDEX(Decrements!$G$6:$G$58,Census!$G51-17)*(INDEX(Decrements!$D$6:$D$58,Census!$G51+Y$5-18)+IF(Y$5=$B51,INDEX(Decrements!$F$6:$F$58,Census!$G51+Y$5-18),0)+INDEX(Decrements!$E$6:$E$58,Census!$G51+Y$5-18)*IF((Census!$F51+Y$5)&gt;=Assumptions!$B$11,1,0))*MIN(15/26*Census!$D51*(1+Assumptions!$B$9)^Y$5*(INT((Census!$F51+Y$5))+IF((Census!$F51+Y$5)-INT((Census!$F51+Y$5))&gt;0.5,1,0)),Assumptions!$B$10))</f>
        <v>0</v>
      </c>
      <c r="Z51" s="30">
        <f>IF(Z$5&gt;$B51,0,INDEX(Decrements!$G$6:$G$58,Census!$G51+Z$5-18)/INDEX(Decrements!$G$6:$G$58,Census!$G51-17)*(INDEX(Decrements!$D$6:$D$58,Census!$G51+Z$5-18)+IF(Z$5=$B51,INDEX(Decrements!$F$6:$F$58,Census!$G51+Z$5-18),0)+INDEX(Decrements!$E$6:$E$58,Census!$G51+Z$5-18)*IF((Census!$F51+Z$5)&gt;=Assumptions!$B$11,1,0))*MIN(15/26*Census!$D51*(1+Assumptions!$B$9)^Z$5*(INT((Census!$F51+Z$5))+IF((Census!$F51+Z$5)-INT((Census!$F51+Z$5))&gt;0.5,1,0)),Assumptions!$B$10))</f>
        <v>0</v>
      </c>
      <c r="AA51" s="30">
        <f>IF(AA$5&gt;$B51,0,INDEX(Decrements!$G$6:$G$58,Census!$G51+AA$5-18)/INDEX(Decrements!$G$6:$G$58,Census!$G51-17)*(INDEX(Decrements!$D$6:$D$58,Census!$G51+AA$5-18)+IF(AA$5=$B51,INDEX(Decrements!$F$6:$F$58,Census!$G51+AA$5-18),0)+INDEX(Decrements!$E$6:$E$58,Census!$G51+AA$5-18)*IF((Census!$F51+AA$5)&gt;=Assumptions!$B$11,1,0))*MIN(15/26*Census!$D51*(1+Assumptions!$B$9)^AA$5*(INT((Census!$F51+AA$5))+IF((Census!$F51+AA$5)-INT((Census!$F51+AA$5))&gt;0.5,1,0)),Assumptions!$B$10))</f>
        <v>0</v>
      </c>
      <c r="AB51" s="30">
        <f>IF(AB$5&gt;$B51,0,INDEX(Decrements!$G$6:$G$58,Census!$G51+AB$5-18)/INDEX(Decrements!$G$6:$G$58,Census!$G51-17)*(INDEX(Decrements!$D$6:$D$58,Census!$G51+AB$5-18)+IF(AB$5=$B51,INDEX(Decrements!$F$6:$F$58,Census!$G51+AB$5-18),0)+INDEX(Decrements!$E$6:$E$58,Census!$G51+AB$5-18)*IF((Census!$F51+AB$5)&gt;=Assumptions!$B$11,1,0))*MIN(15/26*Census!$D51*(1+Assumptions!$B$9)^AB$5*(INT((Census!$F51+AB$5))+IF((Census!$F51+AB$5)-INT((Census!$F51+AB$5))&gt;0.5,1,0)),Assumptions!$B$10))</f>
        <v>0</v>
      </c>
      <c r="AC51" s="30">
        <f>IF(AC$5&gt;$B51,0,INDEX(Decrements!$G$6:$G$58,Census!$G51+AC$5-18)/INDEX(Decrements!$G$6:$G$58,Census!$G51-17)*(INDEX(Decrements!$D$6:$D$58,Census!$G51+AC$5-18)+IF(AC$5=$B51,INDEX(Decrements!$F$6:$F$58,Census!$G51+AC$5-18),0)+INDEX(Decrements!$E$6:$E$58,Census!$G51+AC$5-18)*IF((Census!$F51+AC$5)&gt;=Assumptions!$B$11,1,0))*MIN(15/26*Census!$D51*(1+Assumptions!$B$9)^AC$5*(INT((Census!$F51+AC$5))+IF((Census!$F51+AC$5)-INT((Census!$F51+AC$5))&gt;0.5,1,0)),Assumptions!$B$10))</f>
        <v>0</v>
      </c>
      <c r="AD51" s="30">
        <f>IF(AD$5&gt;$B51,0,INDEX(Decrements!$G$6:$G$58,Census!$G51+AD$5-18)/INDEX(Decrements!$G$6:$G$58,Census!$G51-17)*(INDEX(Decrements!$D$6:$D$58,Census!$G51+AD$5-18)+IF(AD$5=$B51,INDEX(Decrements!$F$6:$F$58,Census!$G51+AD$5-18),0)+INDEX(Decrements!$E$6:$E$58,Census!$G51+AD$5-18)*IF((Census!$F51+AD$5)&gt;=Assumptions!$B$11,1,0))*MIN(15/26*Census!$D51*(1+Assumptions!$B$9)^AD$5*(INT((Census!$F51+AD$5))+IF((Census!$F51+AD$5)-INT((Census!$F51+AD$5))&gt;0.5,1,0)),Assumptions!$B$10))</f>
        <v>0</v>
      </c>
      <c r="AE51" s="30">
        <f>IF(AE$5&gt;$B51,0,INDEX(Decrements!$G$6:$G$58,Census!$G51+AE$5-18)/INDEX(Decrements!$G$6:$G$58,Census!$G51-17)*(INDEX(Decrements!$D$6:$D$58,Census!$G51+AE$5-18)+IF(AE$5=$B51,INDEX(Decrements!$F$6:$F$58,Census!$G51+AE$5-18),0)+INDEX(Decrements!$E$6:$E$58,Census!$G51+AE$5-18)*IF((Census!$F51+AE$5)&gt;=Assumptions!$B$11,1,0))*MIN(15/26*Census!$D51*(1+Assumptions!$B$9)^AE$5*(INT((Census!$F51+AE$5))+IF((Census!$F51+AE$5)-INT((Census!$F51+AE$5))&gt;0.5,1,0)),Assumptions!$B$10))</f>
        <v>0</v>
      </c>
      <c r="AF51" s="30">
        <f>IF(AF$5&gt;$B51,0,INDEX(Decrements!$G$6:$G$58,Census!$G51+AF$5-18)/INDEX(Decrements!$G$6:$G$58,Census!$G51-17)*(INDEX(Decrements!$D$6:$D$58,Census!$G51+AF$5-18)+IF(AF$5=$B51,INDEX(Decrements!$F$6:$F$58,Census!$G51+AF$5-18),0)+INDEX(Decrements!$E$6:$E$58,Census!$G51+AF$5-18)*IF((Census!$F51+AF$5)&gt;=Assumptions!$B$11,1,0))*MIN(15/26*Census!$D51*(1+Assumptions!$B$9)^AF$5*(INT((Census!$F51+AF$5))+IF((Census!$F51+AF$5)-INT((Census!$F51+AF$5))&gt;0.5,1,0)),Assumptions!$B$10))</f>
        <v>0</v>
      </c>
      <c r="AG51" s="30">
        <f>IF(AG$5&gt;$B51,0,INDEX(Decrements!$G$6:$G$58,Census!$G51+AG$5-18)/INDEX(Decrements!$G$6:$G$58,Census!$G51-17)*(INDEX(Decrements!$D$6:$D$58,Census!$G51+AG$5-18)+IF(AG$5=$B51,INDEX(Decrements!$F$6:$F$58,Census!$G51+AG$5-18),0)+INDEX(Decrements!$E$6:$E$58,Census!$G51+AG$5-18)*IF((Census!$F51+AG$5)&gt;=Assumptions!$B$11,1,0))*MIN(15/26*Census!$D51*(1+Assumptions!$B$9)^AG$5*(INT((Census!$F51+AG$5))+IF((Census!$F51+AG$5)-INT((Census!$F51+AG$5))&gt;0.5,1,0)),Assumptions!$B$10))</f>
        <v>0</v>
      </c>
      <c r="AH51" s="30">
        <f>IF(AH$5&gt;$B51,0,INDEX(Decrements!$G$6:$G$58,Census!$G51+AH$5-18)/INDEX(Decrements!$G$6:$G$58,Census!$G51-17)*(INDEX(Decrements!$D$6:$D$58,Census!$G51+AH$5-18)+IF(AH$5=$B51,INDEX(Decrements!$F$6:$F$58,Census!$G51+AH$5-18),0)+INDEX(Decrements!$E$6:$E$58,Census!$G51+AH$5-18)*IF((Census!$F51+AH$5)&gt;=Assumptions!$B$11,1,0))*MIN(15/26*Census!$D51*(1+Assumptions!$B$9)^AH$5*(INT((Census!$F51+AH$5))+IF((Census!$F51+AH$5)-INT((Census!$F51+AH$5))&gt;0.5,1,0)),Assumptions!$B$10))</f>
        <v>0</v>
      </c>
      <c r="AI51" s="30">
        <f>IF(AI$5&gt;$B51,0,INDEX(Decrements!$G$6:$G$58,Census!$G51+AI$5-18)/INDEX(Decrements!$G$6:$G$58,Census!$G51-17)*(INDEX(Decrements!$D$6:$D$58,Census!$G51+AI$5-18)+IF(AI$5=$B51,INDEX(Decrements!$F$6:$F$58,Census!$G51+AI$5-18),0)+INDEX(Decrements!$E$6:$E$58,Census!$G51+AI$5-18)*IF((Census!$F51+AI$5)&gt;=Assumptions!$B$11,1,0))*MIN(15/26*Census!$D51*(1+Assumptions!$B$9)^AI$5*(INT((Census!$F51+AI$5))+IF((Census!$F51+AI$5)-INT((Census!$F51+AI$5))&gt;0.5,1,0)),Assumptions!$B$10))</f>
        <v>0</v>
      </c>
      <c r="AJ51" s="30">
        <f>IF(AJ$5&gt;$B51,0,INDEX(Decrements!$G$6:$G$58,Census!$G51+AJ$5-18)/INDEX(Decrements!$G$6:$G$58,Census!$G51-17)*(INDEX(Decrements!$D$6:$D$58,Census!$G51+AJ$5-18)+IF(AJ$5=$B51,INDEX(Decrements!$F$6:$F$58,Census!$G51+AJ$5-18),0)+INDEX(Decrements!$E$6:$E$58,Census!$G51+AJ$5-18)*IF((Census!$F51+AJ$5)&gt;=Assumptions!$B$11,1,0))*MIN(15/26*Census!$D51*(1+Assumptions!$B$9)^AJ$5*(INT((Census!$F51+AJ$5))+IF((Census!$F51+AJ$5)-INT((Census!$F51+AJ$5))&gt;0.5,1,0)),Assumptions!$B$10))</f>
        <v>0</v>
      </c>
      <c r="AK51" s="30">
        <f>IF(AK$5&gt;$B51,0,INDEX(Decrements!$G$6:$G$58,Census!$G51+AK$5-18)/INDEX(Decrements!$G$6:$G$58,Census!$G51-17)*(INDEX(Decrements!$D$6:$D$58,Census!$G51+AK$5-18)+IF(AK$5=$B51,INDEX(Decrements!$F$6:$F$58,Census!$G51+AK$5-18),0)+INDEX(Decrements!$E$6:$E$58,Census!$G51+AK$5-18)*IF((Census!$F51+AK$5)&gt;=Assumptions!$B$11,1,0))*MIN(15/26*Census!$D51*(1+Assumptions!$B$9)^AK$5*(INT((Census!$F51+AK$5))+IF((Census!$F51+AK$5)-INT((Census!$F51+AK$5))&gt;0.5,1,0)),Assumptions!$B$10))</f>
        <v>0</v>
      </c>
      <c r="AL51" s="30">
        <f>IF(AL$5&gt;$B51,0,INDEX(Decrements!$G$6:$G$58,Census!$G51+AL$5-18)/INDEX(Decrements!$G$6:$G$58,Census!$G51-17)*(INDEX(Decrements!$D$6:$D$58,Census!$G51+AL$5-18)+IF(AL$5=$B51,INDEX(Decrements!$F$6:$F$58,Census!$G51+AL$5-18),0)+INDEX(Decrements!$E$6:$E$58,Census!$G51+AL$5-18)*IF((Census!$F51+AL$5)&gt;=Assumptions!$B$11,1,0))*MIN(15/26*Census!$D51*(1+Assumptions!$B$9)^AL$5*(INT((Census!$F51+AL$5))+IF((Census!$F51+AL$5)-INT((Census!$F51+AL$5))&gt;0.5,1,0)),Assumptions!$B$10))</f>
        <v>0</v>
      </c>
      <c r="AM51" s="30">
        <f>IF(AM$5&gt;$B51,0,INDEX(Decrements!$G$6:$G$58,Census!$G51+AM$5-18)/INDEX(Decrements!$G$6:$G$58,Census!$G51-17)*(INDEX(Decrements!$D$6:$D$58,Census!$G51+AM$5-18)+IF(AM$5=$B51,INDEX(Decrements!$F$6:$F$58,Census!$G51+AM$5-18),0)+INDEX(Decrements!$E$6:$E$58,Census!$G51+AM$5-18)*IF((Census!$F51+AM$5)&gt;=Assumptions!$B$11,1,0))*MIN(15/26*Census!$D51*(1+Assumptions!$B$9)^AM$5*(INT((Census!$F51+AM$5))+IF((Census!$F51+AM$5)-INT((Census!$F51+AM$5))&gt;0.5,1,0)),Assumptions!$B$10))</f>
        <v>0</v>
      </c>
      <c r="AN51" s="30">
        <f>IF(AN$5&gt;$B51,0,INDEX(Decrements!$G$6:$G$58,Census!$G51+AN$5-18)/INDEX(Decrements!$G$6:$G$58,Census!$G51-17)*(INDEX(Decrements!$D$6:$D$58,Census!$G51+AN$5-18)+IF(AN$5=$B51,INDEX(Decrements!$F$6:$F$58,Census!$G51+AN$5-18),0)+INDEX(Decrements!$E$6:$E$58,Census!$G51+AN$5-18)*IF((Census!$F51+AN$5)&gt;=Assumptions!$B$11,1,0))*MIN(15/26*Census!$D51*(1+Assumptions!$B$9)^AN$5*(INT((Census!$F51+AN$5))+IF((Census!$F51+AN$5)-INT((Census!$F51+AN$5))&gt;0.5,1,0)),Assumptions!$B$10))</f>
        <v>0</v>
      </c>
      <c r="AO51" s="30">
        <f>IF(AO$5&gt;$B51,0,INDEX(Decrements!$G$6:$G$58,Census!$G51+AO$5-18)/INDEX(Decrements!$G$6:$G$58,Census!$G51-17)*(INDEX(Decrements!$D$6:$D$58,Census!$G51+AO$5-18)+IF(AO$5=$B51,INDEX(Decrements!$F$6:$F$58,Census!$G51+AO$5-18),0)+INDEX(Decrements!$E$6:$E$58,Census!$G51+AO$5-18)*IF((Census!$F51+AO$5)&gt;=Assumptions!$B$11,1,0))*MIN(15/26*Census!$D51*(1+Assumptions!$B$9)^AO$5*(INT((Census!$F51+AO$5))+IF((Census!$F51+AO$5)-INT((Census!$F51+AO$5))&gt;0.5,1,0)),Assumptions!$B$10))</f>
        <v>0</v>
      </c>
      <c r="AP51" s="30">
        <f>IF(AP$5&gt;$B51,0,INDEX(Decrements!$G$6:$G$58,Census!$G51+AP$5-18)/INDEX(Decrements!$G$6:$G$58,Census!$G51-17)*(INDEX(Decrements!$D$6:$D$58,Census!$G51+AP$5-18)+IF(AP$5=$B51,INDEX(Decrements!$F$6:$F$58,Census!$G51+AP$5-18),0)+INDEX(Decrements!$E$6:$E$58,Census!$G51+AP$5-18)*IF((Census!$F51+AP$5)&gt;=Assumptions!$B$11,1,0))*MIN(15/26*Census!$D51*(1+Assumptions!$B$9)^AP$5*(INT((Census!$F51+AP$5))+IF((Census!$F51+AP$5)-INT((Census!$F51+AP$5))&gt;0.5,1,0)),Assumptions!$B$10))</f>
        <v>0</v>
      </c>
      <c r="AQ51" s="30">
        <f>IF(AQ$5&gt;$B51,0,INDEX(Decrements!$G$6:$G$58,Census!$G51+AQ$5-18)/INDEX(Decrements!$G$6:$G$58,Census!$G51-17)*(INDEX(Decrements!$D$6:$D$58,Census!$G51+AQ$5-18)+IF(AQ$5=$B51,INDEX(Decrements!$F$6:$F$58,Census!$G51+AQ$5-18),0)+INDEX(Decrements!$E$6:$E$58,Census!$G51+AQ$5-18)*IF((Census!$F51+AQ$5)&gt;=Assumptions!$B$11,1,0))*MIN(15/26*Census!$D51*(1+Assumptions!$B$9)^AQ$5*(INT((Census!$F51+AQ$5))+IF((Census!$F51+AQ$5)-INT((Census!$F51+AQ$5))&gt;0.5,1,0)),Assumptions!$B$10))</f>
        <v>0</v>
      </c>
      <c r="AR51" s="30">
        <f>IF(AR$5&gt;$B51,0,INDEX(Decrements!$G$6:$G$58,Census!$G51+AR$5-18)/INDEX(Decrements!$G$6:$G$58,Census!$G51-17)*(INDEX(Decrements!$D$6:$D$58,Census!$G51+AR$5-18)+IF(AR$5=$B51,INDEX(Decrements!$F$6:$F$58,Census!$G51+AR$5-18),0)+INDEX(Decrements!$E$6:$E$58,Census!$G51+AR$5-18)*IF((Census!$F51+AR$5)&gt;=Assumptions!$B$11,1,0))*MIN(15/26*Census!$D51*(1+Assumptions!$B$9)^AR$5*(INT((Census!$F51+AR$5))+IF((Census!$F51+AR$5)-INT((Census!$F51+AR$5))&gt;0.5,1,0)),Assumptions!$B$10))</f>
        <v>0</v>
      </c>
      <c r="AS51" s="30">
        <f>IF(AS$5&gt;$B51,0,INDEX(Decrements!$G$6:$G$58,Census!$G51+AS$5-18)/INDEX(Decrements!$G$6:$G$58,Census!$G51-17)*(INDEX(Decrements!$D$6:$D$58,Census!$G51+AS$5-18)+IF(AS$5=$B51,INDEX(Decrements!$F$6:$F$58,Census!$G51+AS$5-18),0)+INDEX(Decrements!$E$6:$E$58,Census!$G51+AS$5-18)*IF((Census!$F51+AS$5)&gt;=Assumptions!$B$11,1,0))*MIN(15/26*Census!$D51*(1+Assumptions!$B$9)^AS$5*(INT((Census!$F51+AS$5))+IF((Census!$F51+AS$5)-INT((Census!$F51+AS$5))&gt;0.5,1,0)),Assumptions!$B$10))</f>
        <v>0</v>
      </c>
      <c r="AT51" s="30">
        <f>IF(AT$5&gt;$B51,0,INDEX(Decrements!$G$6:$G$58,Census!$G51+AT$5-18)/INDEX(Decrements!$G$6:$G$58,Census!$G51-17)*(INDEX(Decrements!$D$6:$D$58,Census!$G51+AT$5-18)+IF(AT$5=$B51,INDEX(Decrements!$F$6:$F$58,Census!$G51+AT$5-18),0)+INDEX(Decrements!$E$6:$E$58,Census!$G51+AT$5-18)*IF((Census!$F51+AT$5)&gt;=Assumptions!$B$11,1,0))*MIN(15/26*Census!$D51*(1+Assumptions!$B$9)^AT$5*(INT((Census!$F51+AT$5))+IF((Census!$F51+AT$5)-INT((Census!$F51+AT$5))&gt;0.5,1,0)),Assumptions!$B$10))</f>
        <v>0</v>
      </c>
      <c r="AU51" s="30">
        <f>IF(AU$5&gt;$B51,0,INDEX(Decrements!$G$6:$G$58,Census!$G51+AU$5-18)/INDEX(Decrements!$G$6:$G$58,Census!$G51-17)*(INDEX(Decrements!$D$6:$D$58,Census!$G51+AU$5-18)+IF(AU$5=$B51,INDEX(Decrements!$F$6:$F$58,Census!$G51+AU$5-18),0)+INDEX(Decrements!$E$6:$E$58,Census!$G51+AU$5-18)*IF((Census!$F51+AU$5)&gt;=Assumptions!$B$11,1,0))*MIN(15/26*Census!$D51*(1+Assumptions!$B$9)^AU$5*(INT((Census!$F51+AU$5))+IF((Census!$F51+AU$5)-INT((Census!$F51+AU$5))&gt;0.5,1,0)),Assumptions!$B$10))</f>
        <v>0</v>
      </c>
    </row>
    <row r="52" spans="1:47" x14ac:dyDescent="0.3">
      <c r="A52" s="10" t="str">
        <f>Census!A52</f>
        <v>E047</v>
      </c>
      <c r="B52" s="29">
        <f>Census!H52</f>
        <v>18</v>
      </c>
      <c r="C52" s="30">
        <f>IF(C$5&gt;$B52,0,INDEX(Decrements!$G$6:$G$58,Census!$G52+C$5-18)/INDEX(Decrements!$G$6:$G$58,Census!$G52-17)*(INDEX(Decrements!$D$6:$D$58,Census!$G52+C$5-18)+IF(C$5=$B52,INDEX(Decrements!$F$6:$F$58,Census!$G52+C$5-18),0)+INDEX(Decrements!$E$6:$E$58,Census!$G52+C$5-18)*IF((Census!$F52+C$5)&gt;=Assumptions!$B$11,1,0))*MIN(15/26*Census!$D52*(1+Assumptions!$B$9)^C$5*(INT((Census!$F52+C$5))+IF((Census!$F52+C$5)-INT((Census!$F52+C$5))&gt;0.5,1,0)),Assumptions!$B$10))</f>
        <v>102941.14024782949</v>
      </c>
      <c r="D52" s="30">
        <f>IF(D$5&gt;$B52,0,INDEX(Decrements!$G$6:$G$58,Census!$G52+D$5-18)/INDEX(Decrements!$G$6:$G$58,Census!$G52-17)*(INDEX(Decrements!$D$6:$D$58,Census!$G52+D$5-18)+IF(D$5=$B52,INDEX(Decrements!$F$6:$F$58,Census!$G52+D$5-18),0)+INDEX(Decrements!$E$6:$E$58,Census!$G52+D$5-18)*IF((Census!$F52+D$5)&gt;=Assumptions!$B$11,1,0))*MIN(15/26*Census!$D52*(1+Assumptions!$B$9)^D$5*(INT((Census!$F52+D$5))+IF((Census!$F52+D$5)-INT((Census!$F52+D$5))&gt;0.5,1,0)),Assumptions!$B$10))</f>
        <v>97849.47231660597</v>
      </c>
      <c r="E52" s="30">
        <f>IF(E$5&gt;$B52,0,INDEX(Decrements!$G$6:$G$58,Census!$G52+E$5-18)/INDEX(Decrements!$G$6:$G$58,Census!$G52-17)*(INDEX(Decrements!$D$6:$D$58,Census!$G52+E$5-18)+IF(E$5=$B52,INDEX(Decrements!$F$6:$F$58,Census!$G52+E$5-18),0)+INDEX(Decrements!$E$6:$E$58,Census!$G52+E$5-18)*IF((Census!$F52+E$5)&gt;=Assumptions!$B$11,1,0))*MIN(15/26*Census!$D52*(1+Assumptions!$B$9)^E$5*(INT((Census!$F52+E$5))+IF((Census!$F52+E$5)-INT((Census!$F52+E$5))&gt;0.5,1,0)),Assumptions!$B$10))</f>
        <v>93018.129674638985</v>
      </c>
      <c r="F52" s="30">
        <f>IF(F$5&gt;$B52,0,INDEX(Decrements!$G$6:$G$58,Census!$G52+F$5-18)/INDEX(Decrements!$G$6:$G$58,Census!$G52-17)*(INDEX(Decrements!$D$6:$D$58,Census!$G52+F$5-18)+IF(F$5=$B52,INDEX(Decrements!$F$6:$F$58,Census!$G52+F$5-18),0)+INDEX(Decrements!$E$6:$E$58,Census!$G52+F$5-18)*IF((Census!$F52+F$5)&gt;=Assumptions!$B$11,1,0))*MIN(15/26*Census!$D52*(1+Assumptions!$B$9)^F$5*(INT((Census!$F52+F$5))+IF((Census!$F52+F$5)-INT((Census!$F52+F$5))&gt;0.5,1,0)),Assumptions!$B$10))</f>
        <v>54376.062240610649</v>
      </c>
      <c r="G52" s="30">
        <f>IF(G$5&gt;$B52,0,INDEX(Decrements!$G$6:$G$58,Census!$G52+G$5-18)/INDEX(Decrements!$G$6:$G$58,Census!$G52-17)*(INDEX(Decrements!$D$6:$D$58,Census!$G52+G$5-18)+IF(G$5=$B52,INDEX(Decrements!$F$6:$F$58,Census!$G52+G$5-18),0)+INDEX(Decrements!$E$6:$E$58,Census!$G52+G$5-18)*IF((Census!$F52+G$5)&gt;=Assumptions!$B$11,1,0))*MIN(15/26*Census!$D52*(1+Assumptions!$B$9)^G$5*(INT((Census!$F52+G$5))+IF((Census!$F52+G$5)-INT((Census!$F52+G$5))&gt;0.5,1,0)),Assumptions!$B$10))</f>
        <v>52887.686661427688</v>
      </c>
      <c r="H52" s="30">
        <f>IF(H$5&gt;$B52,0,INDEX(Decrements!$G$6:$G$58,Census!$G52+H$5-18)/INDEX(Decrements!$G$6:$G$58,Census!$G52-17)*(INDEX(Decrements!$D$6:$D$58,Census!$G52+H$5-18)+IF(H$5=$B52,INDEX(Decrements!$F$6:$F$58,Census!$G52+H$5-18),0)+INDEX(Decrements!$E$6:$E$58,Census!$G52+H$5-18)*IF((Census!$F52+H$5)&gt;=Assumptions!$B$11,1,0))*MIN(15/26*Census!$D52*(1+Assumptions!$B$9)^H$5*(INT((Census!$F52+H$5))+IF((Census!$F52+H$5)-INT((Census!$F52+H$5))&gt;0.5,1,0)),Assumptions!$B$10))</f>
        <v>51454.716637420686</v>
      </c>
      <c r="I52" s="30">
        <f>IF(I$5&gt;$B52,0,INDEX(Decrements!$G$6:$G$58,Census!$G52+I$5-18)/INDEX(Decrements!$G$6:$G$58,Census!$G52-17)*(INDEX(Decrements!$D$6:$D$58,Census!$G52+I$5-18)+IF(I$5=$B52,INDEX(Decrements!$F$6:$F$58,Census!$G52+I$5-18),0)+INDEX(Decrements!$E$6:$E$58,Census!$G52+I$5-18)*IF((Census!$F52+I$5)&gt;=Assumptions!$B$11,1,0))*MIN(15/26*Census!$D52*(1+Assumptions!$B$9)^I$5*(INT((Census!$F52+I$5))+IF((Census!$F52+I$5)-INT((Census!$F52+I$5))&gt;0.5,1,0)),Assumptions!$B$10))</f>
        <v>50076.020105343283</v>
      </c>
      <c r="J52" s="30">
        <f>IF(J$5&gt;$B52,0,INDEX(Decrements!$G$6:$G$58,Census!$G52+J$5-18)/INDEX(Decrements!$G$6:$G$58,Census!$G52-17)*(INDEX(Decrements!$D$6:$D$58,Census!$G52+J$5-18)+IF(J$5=$B52,INDEX(Decrements!$F$6:$F$58,Census!$G52+J$5-18),0)+INDEX(Decrements!$E$6:$E$58,Census!$G52+J$5-18)*IF((Census!$F52+J$5)&gt;=Assumptions!$B$11,1,0))*MIN(15/26*Census!$D52*(1+Assumptions!$B$9)^J$5*(INT((Census!$F52+J$5))+IF((Census!$F52+J$5)-INT((Census!$F52+J$5))&gt;0.5,1,0)),Assumptions!$B$10))</f>
        <v>48750.515021269573</v>
      </c>
      <c r="K52" s="30">
        <f>IF(K$5&gt;$B52,0,INDEX(Decrements!$G$6:$G$58,Census!$G52+K$5-18)/INDEX(Decrements!$G$6:$G$58,Census!$G52-17)*(INDEX(Decrements!$D$6:$D$58,Census!$G52+K$5-18)+IF(K$5=$B52,INDEX(Decrements!$F$6:$F$58,Census!$G52+K$5-18),0)+INDEX(Decrements!$E$6:$E$58,Census!$G52+K$5-18)*IF((Census!$F52+K$5)&gt;=Assumptions!$B$11,1,0))*MIN(15/26*Census!$D52*(1+Assumptions!$B$9)^K$5*(INT((Census!$F52+K$5))+IF((Census!$F52+K$5)-INT((Census!$F52+K$5))&gt;0.5,1,0)),Assumptions!$B$10))</f>
        <v>33032.123245051669</v>
      </c>
      <c r="L52" s="30">
        <f>IF(L$5&gt;$B52,0,INDEX(Decrements!$G$6:$G$58,Census!$G52+L$5-18)/INDEX(Decrements!$G$6:$G$58,Census!$G52-17)*(INDEX(Decrements!$D$6:$D$58,Census!$G52+L$5-18)+IF(L$5=$B52,INDEX(Decrements!$F$6:$F$58,Census!$G52+L$5-18),0)+INDEX(Decrements!$E$6:$E$58,Census!$G52+L$5-18)*IF((Census!$F52+L$5)&gt;=Assumptions!$B$11,1,0))*MIN(15/26*Census!$D52*(1+Assumptions!$B$9)^L$5*(INT((Census!$F52+L$5))+IF((Census!$F52+L$5)-INT((Census!$F52+L$5))&gt;0.5,1,0)),Assumptions!$B$10))</f>
        <v>32619.643692988502</v>
      </c>
      <c r="M52" s="30">
        <f>IF(M$5&gt;$B52,0,INDEX(Decrements!$G$6:$G$58,Census!$G52+M$5-18)/INDEX(Decrements!$G$6:$G$58,Census!$G52-17)*(INDEX(Decrements!$D$6:$D$58,Census!$G52+M$5-18)+IF(M$5=$B52,INDEX(Decrements!$F$6:$F$58,Census!$G52+M$5-18),0)+INDEX(Decrements!$E$6:$E$58,Census!$G52+M$5-18)*IF((Census!$F52+M$5)&gt;=Assumptions!$B$11,1,0))*MIN(15/26*Census!$D52*(1+Assumptions!$B$9)^M$5*(INT((Census!$F52+M$5))+IF((Census!$F52+M$5)-INT((Census!$F52+M$5))&gt;0.5,1,0)),Assumptions!$B$10))</f>
        <v>32234.05951835799</v>
      </c>
      <c r="N52" s="30">
        <f>IF(N$5&gt;$B52,0,INDEX(Decrements!$G$6:$G$58,Census!$G52+N$5-18)/INDEX(Decrements!$G$6:$G$58,Census!$G52-17)*(INDEX(Decrements!$D$6:$D$58,Census!$G52+N$5-18)+IF(N$5=$B52,INDEX(Decrements!$F$6:$F$58,Census!$G52+N$5-18),0)+INDEX(Decrements!$E$6:$E$58,Census!$G52+N$5-18)*IF((Census!$F52+N$5)&gt;=Assumptions!$B$11,1,0))*MIN(15/26*Census!$D52*(1+Assumptions!$B$9)^N$5*(INT((Census!$F52+N$5))+IF((Census!$F52+N$5)-INT((Census!$F52+N$5))&gt;0.5,1,0)),Assumptions!$B$10))</f>
        <v>31875.937459815548</v>
      </c>
      <c r="O52" s="30">
        <f>IF(O$5&gt;$B52,0,INDEX(Decrements!$G$6:$G$58,Census!$G52+O$5-18)/INDEX(Decrements!$G$6:$G$58,Census!$G52-17)*(INDEX(Decrements!$D$6:$D$58,Census!$G52+O$5-18)+IF(O$5=$B52,INDEX(Decrements!$F$6:$F$58,Census!$G52+O$5-18),0)+INDEX(Decrements!$E$6:$E$58,Census!$G52+O$5-18)*IF((Census!$F52+O$5)&gt;=Assumptions!$B$11,1,0))*MIN(15/26*Census!$D52*(1+Assumptions!$B$9)^O$5*(INT((Census!$F52+O$5))+IF((Census!$F52+O$5)-INT((Census!$F52+O$5))&gt;0.5,1,0)),Assumptions!$B$10))</f>
        <v>31545.862958336133</v>
      </c>
      <c r="P52" s="30">
        <f>IF(P$5&gt;$B52,0,INDEX(Decrements!$G$6:$G$58,Census!$G52+P$5-18)/INDEX(Decrements!$G$6:$G$58,Census!$G52-17)*(INDEX(Decrements!$D$6:$D$58,Census!$G52+P$5-18)+IF(P$5=$B52,INDEX(Decrements!$F$6:$F$58,Census!$G52+P$5-18),0)+INDEX(Decrements!$E$6:$E$58,Census!$G52+P$5-18)*IF((Census!$F52+P$5)&gt;=Assumptions!$B$11,1,0))*MIN(15/26*Census!$D52*(1+Assumptions!$B$9)^P$5*(INT((Census!$F52+P$5))+IF((Census!$F52+P$5)-INT((Census!$F52+P$5))&gt;0.5,1,0)),Assumptions!$B$10))</f>
        <v>18427.144797660425</v>
      </c>
      <c r="Q52" s="30">
        <f>IF(Q$5&gt;$B52,0,INDEX(Decrements!$G$6:$G$58,Census!$G52+Q$5-18)/INDEX(Decrements!$G$6:$G$58,Census!$G52-17)*(INDEX(Decrements!$D$6:$D$58,Census!$G52+Q$5-18)+IF(Q$5=$B52,INDEX(Decrements!$F$6:$F$58,Census!$G52+Q$5-18),0)+INDEX(Decrements!$E$6:$E$58,Census!$G52+Q$5-18)*IF((Census!$F52+Q$5)&gt;=Assumptions!$B$11,1,0))*MIN(15/26*Census!$D52*(1+Assumptions!$B$9)^Q$5*(INT((Census!$F52+Q$5))+IF((Census!$F52+Q$5)-INT((Census!$F52+Q$5))&gt;0.5,1,0)),Assumptions!$B$10))</f>
        <v>18659.479358458564</v>
      </c>
      <c r="R52" s="30">
        <f>IF(R$5&gt;$B52,0,INDEX(Decrements!$G$6:$G$58,Census!$G52+R$5-18)/INDEX(Decrements!$G$6:$G$58,Census!$G52-17)*(INDEX(Decrements!$D$6:$D$58,Census!$G52+R$5-18)+IF(R$5=$B52,INDEX(Decrements!$F$6:$F$58,Census!$G52+R$5-18),0)+INDEX(Decrements!$E$6:$E$58,Census!$G52+R$5-18)*IF((Census!$F52+R$5)&gt;=Assumptions!$B$11,1,0))*MIN(15/26*Census!$D52*(1+Assumptions!$B$9)^R$5*(INT((Census!$F52+R$5))+IF((Census!$F52+R$5)-INT((Census!$F52+R$5))&gt;0.5,1,0)),Assumptions!$B$10))</f>
        <v>18922.554616820908</v>
      </c>
      <c r="S52" s="30">
        <f>IF(S$5&gt;$B52,0,INDEX(Decrements!$G$6:$G$58,Census!$G52+S$5-18)/INDEX(Decrements!$G$6:$G$58,Census!$G52-17)*(INDEX(Decrements!$D$6:$D$58,Census!$G52+S$5-18)+IF(S$5=$B52,INDEX(Decrements!$F$6:$F$58,Census!$G52+S$5-18),0)+INDEX(Decrements!$E$6:$E$58,Census!$G52+S$5-18)*IF((Census!$F52+S$5)&gt;=Assumptions!$B$11,1,0))*MIN(15/26*Census!$D52*(1+Assumptions!$B$9)^S$5*(INT((Census!$F52+S$5))+IF((Census!$F52+S$5)-INT((Census!$F52+S$5))&gt;0.5,1,0)),Assumptions!$B$10))</f>
        <v>19218.15856795814</v>
      </c>
      <c r="T52" s="30">
        <f>IF(T$5&gt;$B52,0,INDEX(Decrements!$G$6:$G$58,Census!$G52+T$5-18)/INDEX(Decrements!$G$6:$G$58,Census!$G52-17)*(INDEX(Decrements!$D$6:$D$58,Census!$G52+T$5-18)+IF(T$5=$B52,INDEX(Decrements!$F$6:$F$58,Census!$G52+T$5-18),0)+INDEX(Decrements!$E$6:$E$58,Census!$G52+T$5-18)*IF((Census!$F52+T$5)&gt;=Assumptions!$B$11,1,0))*MIN(15/26*Census!$D52*(1+Assumptions!$B$9)^T$5*(INT((Census!$F52+T$5))+IF((Census!$F52+T$5)-INT((Census!$F52+T$5))&gt;0.5,1,0)),Assumptions!$B$10))</f>
        <v>1212111.2928794054</v>
      </c>
      <c r="U52" s="30">
        <f>IF(U$5&gt;$B52,0,INDEX(Decrements!$G$6:$G$58,Census!$G52+U$5-18)/INDEX(Decrements!$G$6:$G$58,Census!$G52-17)*(INDEX(Decrements!$D$6:$D$58,Census!$G52+U$5-18)+IF(U$5=$B52,INDEX(Decrements!$F$6:$F$58,Census!$G52+U$5-18),0)+INDEX(Decrements!$E$6:$E$58,Census!$G52+U$5-18)*IF((Census!$F52+U$5)&gt;=Assumptions!$B$11,1,0))*MIN(15/26*Census!$D52*(1+Assumptions!$B$9)^U$5*(INT((Census!$F52+U$5))+IF((Census!$F52+U$5)-INT((Census!$F52+U$5))&gt;0.5,1,0)),Assumptions!$B$10))</f>
        <v>0</v>
      </c>
      <c r="V52" s="30">
        <f>IF(V$5&gt;$B52,0,INDEX(Decrements!$G$6:$G$58,Census!$G52+V$5-18)/INDEX(Decrements!$G$6:$G$58,Census!$G52-17)*(INDEX(Decrements!$D$6:$D$58,Census!$G52+V$5-18)+IF(V$5=$B52,INDEX(Decrements!$F$6:$F$58,Census!$G52+V$5-18),0)+INDEX(Decrements!$E$6:$E$58,Census!$G52+V$5-18)*IF((Census!$F52+V$5)&gt;=Assumptions!$B$11,1,0))*MIN(15/26*Census!$D52*(1+Assumptions!$B$9)^V$5*(INT((Census!$F52+V$5))+IF((Census!$F52+V$5)-INT((Census!$F52+V$5))&gt;0.5,1,0)),Assumptions!$B$10))</f>
        <v>0</v>
      </c>
      <c r="W52" s="30">
        <f>IF(W$5&gt;$B52,0,INDEX(Decrements!$G$6:$G$58,Census!$G52+W$5-18)/INDEX(Decrements!$G$6:$G$58,Census!$G52-17)*(INDEX(Decrements!$D$6:$D$58,Census!$G52+W$5-18)+IF(W$5=$B52,INDEX(Decrements!$F$6:$F$58,Census!$G52+W$5-18),0)+INDEX(Decrements!$E$6:$E$58,Census!$G52+W$5-18)*IF((Census!$F52+W$5)&gt;=Assumptions!$B$11,1,0))*MIN(15/26*Census!$D52*(1+Assumptions!$B$9)^W$5*(INT((Census!$F52+W$5))+IF((Census!$F52+W$5)-INT((Census!$F52+W$5))&gt;0.5,1,0)),Assumptions!$B$10))</f>
        <v>0</v>
      </c>
      <c r="X52" s="30">
        <f>IF(X$5&gt;$B52,0,INDEX(Decrements!$G$6:$G$58,Census!$G52+X$5-18)/INDEX(Decrements!$G$6:$G$58,Census!$G52-17)*(INDEX(Decrements!$D$6:$D$58,Census!$G52+X$5-18)+IF(X$5=$B52,INDEX(Decrements!$F$6:$F$58,Census!$G52+X$5-18),0)+INDEX(Decrements!$E$6:$E$58,Census!$G52+X$5-18)*IF((Census!$F52+X$5)&gt;=Assumptions!$B$11,1,0))*MIN(15/26*Census!$D52*(1+Assumptions!$B$9)^X$5*(INT((Census!$F52+X$5))+IF((Census!$F52+X$5)-INT((Census!$F52+X$5))&gt;0.5,1,0)),Assumptions!$B$10))</f>
        <v>0</v>
      </c>
      <c r="Y52" s="30">
        <f>IF(Y$5&gt;$B52,0,INDEX(Decrements!$G$6:$G$58,Census!$G52+Y$5-18)/INDEX(Decrements!$G$6:$G$58,Census!$G52-17)*(INDEX(Decrements!$D$6:$D$58,Census!$G52+Y$5-18)+IF(Y$5=$B52,INDEX(Decrements!$F$6:$F$58,Census!$G52+Y$5-18),0)+INDEX(Decrements!$E$6:$E$58,Census!$G52+Y$5-18)*IF((Census!$F52+Y$5)&gt;=Assumptions!$B$11,1,0))*MIN(15/26*Census!$D52*(1+Assumptions!$B$9)^Y$5*(INT((Census!$F52+Y$5))+IF((Census!$F52+Y$5)-INT((Census!$F52+Y$5))&gt;0.5,1,0)),Assumptions!$B$10))</f>
        <v>0</v>
      </c>
      <c r="Z52" s="30">
        <f>IF(Z$5&gt;$B52,0,INDEX(Decrements!$G$6:$G$58,Census!$G52+Z$5-18)/INDEX(Decrements!$G$6:$G$58,Census!$G52-17)*(INDEX(Decrements!$D$6:$D$58,Census!$G52+Z$5-18)+IF(Z$5=$B52,INDEX(Decrements!$F$6:$F$58,Census!$G52+Z$5-18),0)+INDEX(Decrements!$E$6:$E$58,Census!$G52+Z$5-18)*IF((Census!$F52+Z$5)&gt;=Assumptions!$B$11,1,0))*MIN(15/26*Census!$D52*(1+Assumptions!$B$9)^Z$5*(INT((Census!$F52+Z$5))+IF((Census!$F52+Z$5)-INT((Census!$F52+Z$5))&gt;0.5,1,0)),Assumptions!$B$10))</f>
        <v>0</v>
      </c>
      <c r="AA52" s="30">
        <f>IF(AA$5&gt;$B52,0,INDEX(Decrements!$G$6:$G$58,Census!$G52+AA$5-18)/INDEX(Decrements!$G$6:$G$58,Census!$G52-17)*(INDEX(Decrements!$D$6:$D$58,Census!$G52+AA$5-18)+IF(AA$5=$B52,INDEX(Decrements!$F$6:$F$58,Census!$G52+AA$5-18),0)+INDEX(Decrements!$E$6:$E$58,Census!$G52+AA$5-18)*IF((Census!$F52+AA$5)&gt;=Assumptions!$B$11,1,0))*MIN(15/26*Census!$D52*(1+Assumptions!$B$9)^AA$5*(INT((Census!$F52+AA$5))+IF((Census!$F52+AA$5)-INT((Census!$F52+AA$5))&gt;0.5,1,0)),Assumptions!$B$10))</f>
        <v>0</v>
      </c>
      <c r="AB52" s="30">
        <f>IF(AB$5&gt;$B52,0,INDEX(Decrements!$G$6:$G$58,Census!$G52+AB$5-18)/INDEX(Decrements!$G$6:$G$58,Census!$G52-17)*(INDEX(Decrements!$D$6:$D$58,Census!$G52+AB$5-18)+IF(AB$5=$B52,INDEX(Decrements!$F$6:$F$58,Census!$G52+AB$5-18),0)+INDEX(Decrements!$E$6:$E$58,Census!$G52+AB$5-18)*IF((Census!$F52+AB$5)&gt;=Assumptions!$B$11,1,0))*MIN(15/26*Census!$D52*(1+Assumptions!$B$9)^AB$5*(INT((Census!$F52+AB$5))+IF((Census!$F52+AB$5)-INT((Census!$F52+AB$5))&gt;0.5,1,0)),Assumptions!$B$10))</f>
        <v>0</v>
      </c>
      <c r="AC52" s="30">
        <f>IF(AC$5&gt;$B52,0,INDEX(Decrements!$G$6:$G$58,Census!$G52+AC$5-18)/INDEX(Decrements!$G$6:$G$58,Census!$G52-17)*(INDEX(Decrements!$D$6:$D$58,Census!$G52+AC$5-18)+IF(AC$5=$B52,INDEX(Decrements!$F$6:$F$58,Census!$G52+AC$5-18),0)+INDEX(Decrements!$E$6:$E$58,Census!$G52+AC$5-18)*IF((Census!$F52+AC$5)&gt;=Assumptions!$B$11,1,0))*MIN(15/26*Census!$D52*(1+Assumptions!$B$9)^AC$5*(INT((Census!$F52+AC$5))+IF((Census!$F52+AC$5)-INT((Census!$F52+AC$5))&gt;0.5,1,0)),Assumptions!$B$10))</f>
        <v>0</v>
      </c>
      <c r="AD52" s="30">
        <f>IF(AD$5&gt;$B52,0,INDEX(Decrements!$G$6:$G$58,Census!$G52+AD$5-18)/INDEX(Decrements!$G$6:$G$58,Census!$G52-17)*(INDEX(Decrements!$D$6:$D$58,Census!$G52+AD$5-18)+IF(AD$5=$B52,INDEX(Decrements!$F$6:$F$58,Census!$G52+AD$5-18),0)+INDEX(Decrements!$E$6:$E$58,Census!$G52+AD$5-18)*IF((Census!$F52+AD$5)&gt;=Assumptions!$B$11,1,0))*MIN(15/26*Census!$D52*(1+Assumptions!$B$9)^AD$5*(INT((Census!$F52+AD$5))+IF((Census!$F52+AD$5)-INT((Census!$F52+AD$5))&gt;0.5,1,0)),Assumptions!$B$10))</f>
        <v>0</v>
      </c>
      <c r="AE52" s="30">
        <f>IF(AE$5&gt;$B52,0,INDEX(Decrements!$G$6:$G$58,Census!$G52+AE$5-18)/INDEX(Decrements!$G$6:$G$58,Census!$G52-17)*(INDEX(Decrements!$D$6:$D$58,Census!$G52+AE$5-18)+IF(AE$5=$B52,INDEX(Decrements!$F$6:$F$58,Census!$G52+AE$5-18),0)+INDEX(Decrements!$E$6:$E$58,Census!$G52+AE$5-18)*IF((Census!$F52+AE$5)&gt;=Assumptions!$B$11,1,0))*MIN(15/26*Census!$D52*(1+Assumptions!$B$9)^AE$5*(INT((Census!$F52+AE$5))+IF((Census!$F52+AE$5)-INT((Census!$F52+AE$5))&gt;0.5,1,0)),Assumptions!$B$10))</f>
        <v>0</v>
      </c>
      <c r="AF52" s="30">
        <f>IF(AF$5&gt;$B52,0,INDEX(Decrements!$G$6:$G$58,Census!$G52+AF$5-18)/INDEX(Decrements!$G$6:$G$58,Census!$G52-17)*(INDEX(Decrements!$D$6:$D$58,Census!$G52+AF$5-18)+IF(AF$5=$B52,INDEX(Decrements!$F$6:$F$58,Census!$G52+AF$5-18),0)+INDEX(Decrements!$E$6:$E$58,Census!$G52+AF$5-18)*IF((Census!$F52+AF$5)&gt;=Assumptions!$B$11,1,0))*MIN(15/26*Census!$D52*(1+Assumptions!$B$9)^AF$5*(INT((Census!$F52+AF$5))+IF((Census!$F52+AF$5)-INT((Census!$F52+AF$5))&gt;0.5,1,0)),Assumptions!$B$10))</f>
        <v>0</v>
      </c>
      <c r="AG52" s="30">
        <f>IF(AG$5&gt;$B52,0,INDEX(Decrements!$G$6:$G$58,Census!$G52+AG$5-18)/INDEX(Decrements!$G$6:$G$58,Census!$G52-17)*(INDEX(Decrements!$D$6:$D$58,Census!$G52+AG$5-18)+IF(AG$5=$B52,INDEX(Decrements!$F$6:$F$58,Census!$G52+AG$5-18),0)+INDEX(Decrements!$E$6:$E$58,Census!$G52+AG$5-18)*IF((Census!$F52+AG$5)&gt;=Assumptions!$B$11,1,0))*MIN(15/26*Census!$D52*(1+Assumptions!$B$9)^AG$5*(INT((Census!$F52+AG$5))+IF((Census!$F52+AG$5)-INT((Census!$F52+AG$5))&gt;0.5,1,0)),Assumptions!$B$10))</f>
        <v>0</v>
      </c>
      <c r="AH52" s="30">
        <f>IF(AH$5&gt;$B52,0,INDEX(Decrements!$G$6:$G$58,Census!$G52+AH$5-18)/INDEX(Decrements!$G$6:$G$58,Census!$G52-17)*(INDEX(Decrements!$D$6:$D$58,Census!$G52+AH$5-18)+IF(AH$5=$B52,INDEX(Decrements!$F$6:$F$58,Census!$G52+AH$5-18),0)+INDEX(Decrements!$E$6:$E$58,Census!$G52+AH$5-18)*IF((Census!$F52+AH$5)&gt;=Assumptions!$B$11,1,0))*MIN(15/26*Census!$D52*(1+Assumptions!$B$9)^AH$5*(INT((Census!$F52+AH$5))+IF((Census!$F52+AH$5)-INT((Census!$F52+AH$5))&gt;0.5,1,0)),Assumptions!$B$10))</f>
        <v>0</v>
      </c>
      <c r="AI52" s="30">
        <f>IF(AI$5&gt;$B52,0,INDEX(Decrements!$G$6:$G$58,Census!$G52+AI$5-18)/INDEX(Decrements!$G$6:$G$58,Census!$G52-17)*(INDEX(Decrements!$D$6:$D$58,Census!$G52+AI$5-18)+IF(AI$5=$B52,INDEX(Decrements!$F$6:$F$58,Census!$G52+AI$5-18),0)+INDEX(Decrements!$E$6:$E$58,Census!$G52+AI$5-18)*IF((Census!$F52+AI$5)&gt;=Assumptions!$B$11,1,0))*MIN(15/26*Census!$D52*(1+Assumptions!$B$9)^AI$5*(INT((Census!$F52+AI$5))+IF((Census!$F52+AI$5)-INT((Census!$F52+AI$5))&gt;0.5,1,0)),Assumptions!$B$10))</f>
        <v>0</v>
      </c>
      <c r="AJ52" s="30">
        <f>IF(AJ$5&gt;$B52,0,INDEX(Decrements!$G$6:$G$58,Census!$G52+AJ$5-18)/INDEX(Decrements!$G$6:$G$58,Census!$G52-17)*(INDEX(Decrements!$D$6:$D$58,Census!$G52+AJ$5-18)+IF(AJ$5=$B52,INDEX(Decrements!$F$6:$F$58,Census!$G52+AJ$5-18),0)+INDEX(Decrements!$E$6:$E$58,Census!$G52+AJ$5-18)*IF((Census!$F52+AJ$5)&gt;=Assumptions!$B$11,1,0))*MIN(15/26*Census!$D52*(1+Assumptions!$B$9)^AJ$5*(INT((Census!$F52+AJ$5))+IF((Census!$F52+AJ$5)-INT((Census!$F52+AJ$5))&gt;0.5,1,0)),Assumptions!$B$10))</f>
        <v>0</v>
      </c>
      <c r="AK52" s="30">
        <f>IF(AK$5&gt;$B52,0,INDEX(Decrements!$G$6:$G$58,Census!$G52+AK$5-18)/INDEX(Decrements!$G$6:$G$58,Census!$G52-17)*(INDEX(Decrements!$D$6:$D$58,Census!$G52+AK$5-18)+IF(AK$5=$B52,INDEX(Decrements!$F$6:$F$58,Census!$G52+AK$5-18),0)+INDEX(Decrements!$E$6:$E$58,Census!$G52+AK$5-18)*IF((Census!$F52+AK$5)&gt;=Assumptions!$B$11,1,0))*MIN(15/26*Census!$D52*(1+Assumptions!$B$9)^AK$5*(INT((Census!$F52+AK$5))+IF((Census!$F52+AK$5)-INT((Census!$F52+AK$5))&gt;0.5,1,0)),Assumptions!$B$10))</f>
        <v>0</v>
      </c>
      <c r="AL52" s="30">
        <f>IF(AL$5&gt;$B52,0,INDEX(Decrements!$G$6:$G$58,Census!$G52+AL$5-18)/INDEX(Decrements!$G$6:$G$58,Census!$G52-17)*(INDEX(Decrements!$D$6:$D$58,Census!$G52+AL$5-18)+IF(AL$5=$B52,INDEX(Decrements!$F$6:$F$58,Census!$G52+AL$5-18),0)+INDEX(Decrements!$E$6:$E$58,Census!$G52+AL$5-18)*IF((Census!$F52+AL$5)&gt;=Assumptions!$B$11,1,0))*MIN(15/26*Census!$D52*(1+Assumptions!$B$9)^AL$5*(INT((Census!$F52+AL$5))+IF((Census!$F52+AL$5)-INT((Census!$F52+AL$5))&gt;0.5,1,0)),Assumptions!$B$10))</f>
        <v>0</v>
      </c>
      <c r="AM52" s="30">
        <f>IF(AM$5&gt;$B52,0,INDEX(Decrements!$G$6:$G$58,Census!$G52+AM$5-18)/INDEX(Decrements!$G$6:$G$58,Census!$G52-17)*(INDEX(Decrements!$D$6:$D$58,Census!$G52+AM$5-18)+IF(AM$5=$B52,INDEX(Decrements!$F$6:$F$58,Census!$G52+AM$5-18),0)+INDEX(Decrements!$E$6:$E$58,Census!$G52+AM$5-18)*IF((Census!$F52+AM$5)&gt;=Assumptions!$B$11,1,0))*MIN(15/26*Census!$D52*(1+Assumptions!$B$9)^AM$5*(INT((Census!$F52+AM$5))+IF((Census!$F52+AM$5)-INT((Census!$F52+AM$5))&gt;0.5,1,0)),Assumptions!$B$10))</f>
        <v>0</v>
      </c>
      <c r="AN52" s="30">
        <f>IF(AN$5&gt;$B52,0,INDEX(Decrements!$G$6:$G$58,Census!$G52+AN$5-18)/INDEX(Decrements!$G$6:$G$58,Census!$G52-17)*(INDEX(Decrements!$D$6:$D$58,Census!$G52+AN$5-18)+IF(AN$5=$B52,INDEX(Decrements!$F$6:$F$58,Census!$G52+AN$5-18),0)+INDEX(Decrements!$E$6:$E$58,Census!$G52+AN$5-18)*IF((Census!$F52+AN$5)&gt;=Assumptions!$B$11,1,0))*MIN(15/26*Census!$D52*(1+Assumptions!$B$9)^AN$5*(INT((Census!$F52+AN$5))+IF((Census!$F52+AN$5)-INT((Census!$F52+AN$5))&gt;0.5,1,0)),Assumptions!$B$10))</f>
        <v>0</v>
      </c>
      <c r="AO52" s="30">
        <f>IF(AO$5&gt;$B52,0,INDEX(Decrements!$G$6:$G$58,Census!$G52+AO$5-18)/INDEX(Decrements!$G$6:$G$58,Census!$G52-17)*(INDEX(Decrements!$D$6:$D$58,Census!$G52+AO$5-18)+IF(AO$5=$B52,INDEX(Decrements!$F$6:$F$58,Census!$G52+AO$5-18),0)+INDEX(Decrements!$E$6:$E$58,Census!$G52+AO$5-18)*IF((Census!$F52+AO$5)&gt;=Assumptions!$B$11,1,0))*MIN(15/26*Census!$D52*(1+Assumptions!$B$9)^AO$5*(INT((Census!$F52+AO$5))+IF((Census!$F52+AO$5)-INT((Census!$F52+AO$5))&gt;0.5,1,0)),Assumptions!$B$10))</f>
        <v>0</v>
      </c>
      <c r="AP52" s="30">
        <f>IF(AP$5&gt;$B52,0,INDEX(Decrements!$G$6:$G$58,Census!$G52+AP$5-18)/INDEX(Decrements!$G$6:$G$58,Census!$G52-17)*(INDEX(Decrements!$D$6:$D$58,Census!$G52+AP$5-18)+IF(AP$5=$B52,INDEX(Decrements!$F$6:$F$58,Census!$G52+AP$5-18),0)+INDEX(Decrements!$E$6:$E$58,Census!$G52+AP$5-18)*IF((Census!$F52+AP$5)&gt;=Assumptions!$B$11,1,0))*MIN(15/26*Census!$D52*(1+Assumptions!$B$9)^AP$5*(INT((Census!$F52+AP$5))+IF((Census!$F52+AP$5)-INT((Census!$F52+AP$5))&gt;0.5,1,0)),Assumptions!$B$10))</f>
        <v>0</v>
      </c>
      <c r="AQ52" s="30">
        <f>IF(AQ$5&gt;$B52,0,INDEX(Decrements!$G$6:$G$58,Census!$G52+AQ$5-18)/INDEX(Decrements!$G$6:$G$58,Census!$G52-17)*(INDEX(Decrements!$D$6:$D$58,Census!$G52+AQ$5-18)+IF(AQ$5=$B52,INDEX(Decrements!$F$6:$F$58,Census!$G52+AQ$5-18),0)+INDEX(Decrements!$E$6:$E$58,Census!$G52+AQ$5-18)*IF((Census!$F52+AQ$5)&gt;=Assumptions!$B$11,1,0))*MIN(15/26*Census!$D52*(1+Assumptions!$B$9)^AQ$5*(INT((Census!$F52+AQ$5))+IF((Census!$F52+AQ$5)-INT((Census!$F52+AQ$5))&gt;0.5,1,0)),Assumptions!$B$10))</f>
        <v>0</v>
      </c>
      <c r="AR52" s="30">
        <f>IF(AR$5&gt;$B52,0,INDEX(Decrements!$G$6:$G$58,Census!$G52+AR$5-18)/INDEX(Decrements!$G$6:$G$58,Census!$G52-17)*(INDEX(Decrements!$D$6:$D$58,Census!$G52+AR$5-18)+IF(AR$5=$B52,INDEX(Decrements!$F$6:$F$58,Census!$G52+AR$5-18),0)+INDEX(Decrements!$E$6:$E$58,Census!$G52+AR$5-18)*IF((Census!$F52+AR$5)&gt;=Assumptions!$B$11,1,0))*MIN(15/26*Census!$D52*(1+Assumptions!$B$9)^AR$5*(INT((Census!$F52+AR$5))+IF((Census!$F52+AR$5)-INT((Census!$F52+AR$5))&gt;0.5,1,0)),Assumptions!$B$10))</f>
        <v>0</v>
      </c>
      <c r="AS52" s="30">
        <f>IF(AS$5&gt;$B52,0,INDEX(Decrements!$G$6:$G$58,Census!$G52+AS$5-18)/INDEX(Decrements!$G$6:$G$58,Census!$G52-17)*(INDEX(Decrements!$D$6:$D$58,Census!$G52+AS$5-18)+IF(AS$5=$B52,INDEX(Decrements!$F$6:$F$58,Census!$G52+AS$5-18),0)+INDEX(Decrements!$E$6:$E$58,Census!$G52+AS$5-18)*IF((Census!$F52+AS$5)&gt;=Assumptions!$B$11,1,0))*MIN(15/26*Census!$D52*(1+Assumptions!$B$9)^AS$5*(INT((Census!$F52+AS$5))+IF((Census!$F52+AS$5)-INT((Census!$F52+AS$5))&gt;0.5,1,0)),Assumptions!$B$10))</f>
        <v>0</v>
      </c>
      <c r="AT52" s="30">
        <f>IF(AT$5&gt;$B52,0,INDEX(Decrements!$G$6:$G$58,Census!$G52+AT$5-18)/INDEX(Decrements!$G$6:$G$58,Census!$G52-17)*(INDEX(Decrements!$D$6:$D$58,Census!$G52+AT$5-18)+IF(AT$5=$B52,INDEX(Decrements!$F$6:$F$58,Census!$G52+AT$5-18),0)+INDEX(Decrements!$E$6:$E$58,Census!$G52+AT$5-18)*IF((Census!$F52+AT$5)&gt;=Assumptions!$B$11,1,0))*MIN(15/26*Census!$D52*(1+Assumptions!$B$9)^AT$5*(INT((Census!$F52+AT$5))+IF((Census!$F52+AT$5)-INT((Census!$F52+AT$5))&gt;0.5,1,0)),Assumptions!$B$10))</f>
        <v>0</v>
      </c>
      <c r="AU52" s="30">
        <f>IF(AU$5&gt;$B52,0,INDEX(Decrements!$G$6:$G$58,Census!$G52+AU$5-18)/INDEX(Decrements!$G$6:$G$58,Census!$G52-17)*(INDEX(Decrements!$D$6:$D$58,Census!$G52+AU$5-18)+IF(AU$5=$B52,INDEX(Decrements!$F$6:$F$58,Census!$G52+AU$5-18),0)+INDEX(Decrements!$E$6:$E$58,Census!$G52+AU$5-18)*IF((Census!$F52+AU$5)&gt;=Assumptions!$B$11,1,0))*MIN(15/26*Census!$D52*(1+Assumptions!$B$9)^AU$5*(INT((Census!$F52+AU$5))+IF((Census!$F52+AU$5)-INT((Census!$F52+AU$5))&gt;0.5,1,0)),Assumptions!$B$10))</f>
        <v>0</v>
      </c>
    </row>
    <row r="53" spans="1:47" x14ac:dyDescent="0.3">
      <c r="A53" s="10" t="str">
        <f>Census!A53</f>
        <v>E048</v>
      </c>
      <c r="B53" s="29">
        <f>Census!H53</f>
        <v>31</v>
      </c>
      <c r="C53" s="30">
        <f>IF(C$5&gt;$B53,0,INDEX(Decrements!$G$6:$G$58,Census!$G53+C$5-18)/INDEX(Decrements!$G$6:$G$58,Census!$G53-17)*(INDEX(Decrements!$D$6:$D$58,Census!$G53+C$5-18)+IF(C$5=$B53,INDEX(Decrements!$F$6:$F$58,Census!$G53+C$5-18),0)+INDEX(Decrements!$E$6:$E$58,Census!$G53+C$5-18)*IF((Census!$F53+C$5)&gt;=Assumptions!$B$11,1,0))*MIN(15/26*Census!$D53*(1+Assumptions!$B$9)^C$5*(INT((Census!$F53+C$5))+IF((Census!$F53+C$5)-INT((Census!$F53+C$5))&gt;0.5,1,0)),Assumptions!$B$10))</f>
        <v>122.23668418044966</v>
      </c>
      <c r="D53" s="30">
        <f>IF(D$5&gt;$B53,0,INDEX(Decrements!$G$6:$G$58,Census!$G53+D$5-18)/INDEX(Decrements!$G$6:$G$58,Census!$G53-17)*(INDEX(Decrements!$D$6:$D$58,Census!$G53+D$5-18)+IF(D$5=$B53,INDEX(Decrements!$F$6:$F$58,Census!$G53+D$5-18),0)+INDEX(Decrements!$E$6:$E$58,Census!$G53+D$5-18)*IF((Census!$F53+D$5)&gt;=Assumptions!$B$11,1,0))*MIN(15/26*Census!$D53*(1+Assumptions!$B$9)^D$5*(INT((Census!$F53+D$5))+IF((Census!$F53+D$5)-INT((Census!$F53+D$5))&gt;0.5,1,0)),Assumptions!$B$10))</f>
        <v>21977.151006489577</v>
      </c>
      <c r="E53" s="30">
        <f>IF(E$5&gt;$B53,0,INDEX(Decrements!$G$6:$G$58,Census!$G53+E$5-18)/INDEX(Decrements!$G$6:$G$58,Census!$G53-17)*(INDEX(Decrements!$D$6:$D$58,Census!$G53+E$5-18)+IF(E$5=$B53,INDEX(Decrements!$F$6:$F$58,Census!$G53+E$5-18),0)+INDEX(Decrements!$E$6:$E$58,Census!$G53+E$5-18)*IF((Census!$F53+E$5)&gt;=Assumptions!$B$11,1,0))*MIN(15/26*Census!$D53*(1+Assumptions!$B$9)^E$5*(INT((Census!$F53+E$5))+IF((Census!$F53+E$5)-INT((Census!$F53+E$5))&gt;0.5,1,0)),Assumptions!$B$10))</f>
        <v>24633.547311859122</v>
      </c>
      <c r="F53" s="30">
        <f>IF(F$5&gt;$B53,0,INDEX(Decrements!$G$6:$G$58,Census!$G53+F$5-18)/INDEX(Decrements!$G$6:$G$58,Census!$G53-17)*(INDEX(Decrements!$D$6:$D$58,Census!$G53+F$5-18)+IF(F$5=$B53,INDEX(Decrements!$F$6:$F$58,Census!$G53+F$5-18),0)+INDEX(Decrements!$E$6:$E$58,Census!$G53+F$5-18)*IF((Census!$F53+F$5)&gt;=Assumptions!$B$11,1,0))*MIN(15/26*Census!$D53*(1+Assumptions!$B$9)^F$5*(INT((Census!$F53+F$5))+IF((Census!$F53+F$5)-INT((Census!$F53+F$5))&gt;0.5,1,0)),Assumptions!$B$10))</f>
        <v>27047.336342218419</v>
      </c>
      <c r="G53" s="30">
        <f>IF(G$5&gt;$B53,0,INDEX(Decrements!$G$6:$G$58,Census!$G53+G$5-18)/INDEX(Decrements!$G$6:$G$58,Census!$G53-17)*(INDEX(Decrements!$D$6:$D$58,Census!$G53+G$5-18)+IF(G$5=$B53,INDEX(Decrements!$F$6:$F$58,Census!$G53+G$5-18),0)+INDEX(Decrements!$E$6:$E$58,Census!$G53+G$5-18)*IF((Census!$F53+G$5)&gt;=Assumptions!$B$11,1,0))*MIN(15/26*Census!$D53*(1+Assumptions!$B$9)^G$5*(INT((Census!$F53+G$5))+IF((Census!$F53+G$5)-INT((Census!$F53+G$5))&gt;0.5,1,0)),Assumptions!$B$10))</f>
        <v>29233.385861347178</v>
      </c>
      <c r="H53" s="30">
        <f>IF(H$5&gt;$B53,0,INDEX(Decrements!$G$6:$G$58,Census!$G53+H$5-18)/INDEX(Decrements!$G$6:$G$58,Census!$G53-17)*(INDEX(Decrements!$D$6:$D$58,Census!$G53+H$5-18)+IF(H$5=$B53,INDEX(Decrements!$F$6:$F$58,Census!$G53+H$5-18),0)+INDEX(Decrements!$E$6:$E$58,Census!$G53+H$5-18)*IF((Census!$F53+H$5)&gt;=Assumptions!$B$11,1,0))*MIN(15/26*Census!$D53*(1+Assumptions!$B$9)^H$5*(INT((Census!$F53+H$5))+IF((Census!$F53+H$5)-INT((Census!$F53+H$5))&gt;0.5,1,0)),Assumptions!$B$10))</f>
        <v>31205.765327890313</v>
      </c>
      <c r="I53" s="30">
        <f>IF(I$5&gt;$B53,0,INDEX(Decrements!$G$6:$G$58,Census!$G53+I$5-18)/INDEX(Decrements!$G$6:$G$58,Census!$G53-17)*(INDEX(Decrements!$D$6:$D$58,Census!$G53+I$5-18)+IF(I$5=$B53,INDEX(Decrements!$F$6:$F$58,Census!$G53+I$5-18),0)+INDEX(Decrements!$E$6:$E$58,Census!$G53+I$5-18)*IF((Census!$F53+I$5)&gt;=Assumptions!$B$11,1,0))*MIN(15/26*Census!$D53*(1+Assumptions!$B$9)^I$5*(INT((Census!$F53+I$5))+IF((Census!$F53+I$5)-INT((Census!$F53+I$5))&gt;0.5,1,0)),Assumptions!$B$10))</f>
        <v>24064.08284469062</v>
      </c>
      <c r="J53" s="30">
        <f>IF(J$5&gt;$B53,0,INDEX(Decrements!$G$6:$G$58,Census!$G53+J$5-18)/INDEX(Decrements!$G$6:$G$58,Census!$G53-17)*(INDEX(Decrements!$D$6:$D$58,Census!$G53+J$5-18)+IF(J$5=$B53,INDEX(Decrements!$F$6:$F$58,Census!$G53+J$5-18),0)+INDEX(Decrements!$E$6:$E$58,Census!$G53+J$5-18)*IF((Census!$F53+J$5)&gt;=Assumptions!$B$11,1,0))*MIN(15/26*Census!$D53*(1+Assumptions!$B$9)^J$5*(INT((Census!$F53+J$5))+IF((Census!$F53+J$5)-INT((Census!$F53+J$5))&gt;0.5,1,0)),Assumptions!$B$10))</f>
        <v>26075.368160864149</v>
      </c>
      <c r="K53" s="30">
        <f>IF(K$5&gt;$B53,0,INDEX(Decrements!$G$6:$G$58,Census!$G53+K$5-18)/INDEX(Decrements!$G$6:$G$58,Census!$G53-17)*(INDEX(Decrements!$D$6:$D$58,Census!$G53+K$5-18)+IF(K$5=$B53,INDEX(Decrements!$F$6:$F$58,Census!$G53+K$5-18),0)+INDEX(Decrements!$E$6:$E$58,Census!$G53+K$5-18)*IF((Census!$F53+K$5)&gt;=Assumptions!$B$11,1,0))*MIN(15/26*Census!$D53*(1+Assumptions!$B$9)^K$5*(INT((Census!$F53+K$5))+IF((Census!$F53+K$5)-INT((Census!$F53+K$5))&gt;0.5,1,0)),Assumptions!$B$10))</f>
        <v>28058.752331625117</v>
      </c>
      <c r="L53" s="30">
        <f>IF(L$5&gt;$B53,0,INDEX(Decrements!$G$6:$G$58,Census!$G53+L$5-18)/INDEX(Decrements!$G$6:$G$58,Census!$G53-17)*(INDEX(Decrements!$D$6:$D$58,Census!$G53+L$5-18)+IF(L$5=$B53,INDEX(Decrements!$F$6:$F$58,Census!$G53+L$5-18),0)+INDEX(Decrements!$E$6:$E$58,Census!$G53+L$5-18)*IF((Census!$F53+L$5)&gt;=Assumptions!$B$11,1,0))*MIN(15/26*Census!$D53*(1+Assumptions!$B$9)^L$5*(INT((Census!$F53+L$5))+IF((Census!$F53+L$5)-INT((Census!$F53+L$5))&gt;0.5,1,0)),Assumptions!$B$10))</f>
        <v>30014.58462835219</v>
      </c>
      <c r="M53" s="30">
        <f>IF(M$5&gt;$B53,0,INDEX(Decrements!$G$6:$G$58,Census!$G53+M$5-18)/INDEX(Decrements!$G$6:$G$58,Census!$G53-17)*(INDEX(Decrements!$D$6:$D$58,Census!$G53+M$5-18)+IF(M$5=$B53,INDEX(Decrements!$F$6:$F$58,Census!$G53+M$5-18),0)+INDEX(Decrements!$E$6:$E$58,Census!$G53+M$5-18)*IF((Census!$F53+M$5)&gt;=Assumptions!$B$11,1,0))*MIN(15/26*Census!$D53*(1+Assumptions!$B$9)^M$5*(INT((Census!$F53+M$5))+IF((Census!$F53+M$5)-INT((Census!$F53+M$5))&gt;0.5,1,0)),Assumptions!$B$10))</f>
        <v>31943.216565597453</v>
      </c>
      <c r="N53" s="30">
        <f>IF(N$5&gt;$B53,0,INDEX(Decrements!$G$6:$G$58,Census!$G53+N$5-18)/INDEX(Decrements!$G$6:$G$58,Census!$G53-17)*(INDEX(Decrements!$D$6:$D$58,Census!$G53+N$5-18)+IF(N$5=$B53,INDEX(Decrements!$F$6:$F$58,Census!$G53+N$5-18),0)+INDEX(Decrements!$E$6:$E$58,Census!$G53+N$5-18)*IF((Census!$F53+N$5)&gt;=Assumptions!$B$11,1,0))*MIN(15/26*Census!$D53*(1+Assumptions!$B$9)^N$5*(INT((Census!$F53+N$5))+IF((Census!$F53+N$5)-INT((Census!$F53+N$5))&gt;0.5,1,0)),Assumptions!$B$10))</f>
        <v>21363.845190041608</v>
      </c>
      <c r="O53" s="30">
        <f>IF(O$5&gt;$B53,0,INDEX(Decrements!$G$6:$G$58,Census!$G53+O$5-18)/INDEX(Decrements!$G$6:$G$58,Census!$G53-17)*(INDEX(Decrements!$D$6:$D$58,Census!$G53+O$5-18)+IF(O$5=$B53,INDEX(Decrements!$F$6:$F$58,Census!$G53+O$5-18),0)+INDEX(Decrements!$E$6:$E$58,Census!$G53+O$5-18)*IF((Census!$F53+O$5)&gt;=Assumptions!$B$11,1,0))*MIN(15/26*Census!$D53*(1+Assumptions!$B$9)^O$5*(INT((Census!$F53+O$5))+IF((Census!$F53+O$5)-INT((Census!$F53+O$5))&gt;0.5,1,0)),Assumptions!$B$10))</f>
        <v>23298.711318709866</v>
      </c>
      <c r="P53" s="30">
        <f>IF(P$5&gt;$B53,0,INDEX(Decrements!$G$6:$G$58,Census!$G53+P$5-18)/INDEX(Decrements!$G$6:$G$58,Census!$G53-17)*(INDEX(Decrements!$D$6:$D$58,Census!$G53+P$5-18)+IF(P$5=$B53,INDEX(Decrements!$F$6:$F$58,Census!$G53+P$5-18),0)+INDEX(Decrements!$E$6:$E$58,Census!$G53+P$5-18)*IF((Census!$F53+P$5)&gt;=Assumptions!$B$11,1,0))*MIN(15/26*Census!$D53*(1+Assumptions!$B$9)^P$5*(INT((Census!$F53+P$5))+IF((Census!$F53+P$5)-INT((Census!$F53+P$5))&gt;0.5,1,0)),Assumptions!$B$10))</f>
        <v>25322.838594417419</v>
      </c>
      <c r="Q53" s="30">
        <f>IF(Q$5&gt;$B53,0,INDEX(Decrements!$G$6:$G$58,Census!$G53+Q$5-18)/INDEX(Decrements!$G$6:$G$58,Census!$G53-17)*(INDEX(Decrements!$D$6:$D$58,Census!$G53+Q$5-18)+IF(Q$5=$B53,INDEX(Decrements!$F$6:$F$58,Census!$G53+Q$5-18),0)+INDEX(Decrements!$E$6:$E$58,Census!$G53+Q$5-18)*IF((Census!$F53+Q$5)&gt;=Assumptions!$B$11,1,0))*MIN(15/26*Census!$D53*(1+Assumptions!$B$9)^Q$5*(INT((Census!$F53+Q$5))+IF((Census!$F53+Q$5)-INT((Census!$F53+Q$5))&gt;0.5,1,0)),Assumptions!$B$10))</f>
        <v>27259.026335287301</v>
      </c>
      <c r="R53" s="30">
        <f>IF(R$5&gt;$B53,0,INDEX(Decrements!$G$6:$G$58,Census!$G53+R$5-18)/INDEX(Decrements!$G$6:$G$58,Census!$G53-17)*(INDEX(Decrements!$D$6:$D$58,Census!$G53+R$5-18)+IF(R$5=$B53,INDEX(Decrements!$F$6:$F$58,Census!$G53+R$5-18),0)+INDEX(Decrements!$E$6:$E$58,Census!$G53+R$5-18)*IF((Census!$F53+R$5)&gt;=Assumptions!$B$11,1,0))*MIN(15/26*Census!$D53*(1+Assumptions!$B$9)^R$5*(INT((Census!$F53+R$5))+IF((Census!$F53+R$5)-INT((Census!$F53+R$5))&gt;0.5,1,0)),Assumptions!$B$10))</f>
        <v>25913.104960401928</v>
      </c>
      <c r="S53" s="30">
        <f>IF(S$5&gt;$B53,0,INDEX(Decrements!$G$6:$G$58,Census!$G53+S$5-18)/INDEX(Decrements!$G$6:$G$58,Census!$G53-17)*(INDEX(Decrements!$D$6:$D$58,Census!$G53+S$5-18)+IF(S$5=$B53,INDEX(Decrements!$F$6:$F$58,Census!$G53+S$5-18),0)+INDEX(Decrements!$E$6:$E$58,Census!$G53+S$5-18)*IF((Census!$F53+S$5)&gt;=Assumptions!$B$11,1,0))*MIN(15/26*Census!$D53*(1+Assumptions!$B$9)^S$5*(INT((Census!$F53+S$5))+IF((Census!$F53+S$5)-INT((Census!$F53+S$5))&gt;0.5,1,0)),Assumptions!$B$10))</f>
        <v>15148.150291807728</v>
      </c>
      <c r="T53" s="30">
        <f>IF(T$5&gt;$B53,0,INDEX(Decrements!$G$6:$G$58,Census!$G53+T$5-18)/INDEX(Decrements!$G$6:$G$58,Census!$G53-17)*(INDEX(Decrements!$D$6:$D$58,Census!$G53+T$5-18)+IF(T$5=$B53,INDEX(Decrements!$F$6:$F$58,Census!$G53+T$5-18),0)+INDEX(Decrements!$E$6:$E$58,Census!$G53+T$5-18)*IF((Census!$F53+T$5)&gt;=Assumptions!$B$11,1,0))*MIN(15/26*Census!$D53*(1+Assumptions!$B$9)^T$5*(INT((Census!$F53+T$5))+IF((Census!$F53+T$5)-INT((Census!$F53+T$5))&gt;0.5,1,0)),Assumptions!$B$10))</f>
        <v>14733.516792523526</v>
      </c>
      <c r="U53" s="30">
        <f>IF(U$5&gt;$B53,0,INDEX(Decrements!$G$6:$G$58,Census!$G53+U$5-18)/INDEX(Decrements!$G$6:$G$58,Census!$G53-17)*(INDEX(Decrements!$D$6:$D$58,Census!$G53+U$5-18)+IF(U$5=$B53,INDEX(Decrements!$F$6:$F$58,Census!$G53+U$5-18),0)+INDEX(Decrements!$E$6:$E$58,Census!$G53+U$5-18)*IF((Census!$F53+U$5)&gt;=Assumptions!$B$11,1,0))*MIN(15/26*Census!$D53*(1+Assumptions!$B$9)^U$5*(INT((Census!$F53+U$5))+IF((Census!$F53+U$5)-INT((Census!$F53+U$5))&gt;0.5,1,0)),Assumptions!$B$10))</f>
        <v>14334.318240939157</v>
      </c>
      <c r="V53" s="30">
        <f>IF(V$5&gt;$B53,0,INDEX(Decrements!$G$6:$G$58,Census!$G53+V$5-18)/INDEX(Decrements!$G$6:$G$58,Census!$G53-17)*(INDEX(Decrements!$D$6:$D$58,Census!$G53+V$5-18)+IF(V$5=$B53,INDEX(Decrements!$F$6:$F$58,Census!$G53+V$5-18),0)+INDEX(Decrements!$E$6:$E$58,Census!$G53+V$5-18)*IF((Census!$F53+V$5)&gt;=Assumptions!$B$11,1,0))*MIN(15/26*Census!$D53*(1+Assumptions!$B$9)^V$5*(INT((Census!$F53+V$5))+IF((Census!$F53+V$5)-INT((Census!$F53+V$5))&gt;0.5,1,0)),Assumptions!$B$10))</f>
        <v>13950.239265483206</v>
      </c>
      <c r="W53" s="30">
        <f>IF(W$5&gt;$B53,0,INDEX(Decrements!$G$6:$G$58,Census!$G53+W$5-18)/INDEX(Decrements!$G$6:$G$58,Census!$G53-17)*(INDEX(Decrements!$D$6:$D$58,Census!$G53+W$5-18)+IF(W$5=$B53,INDEX(Decrements!$F$6:$F$58,Census!$G53+W$5-18),0)+INDEX(Decrements!$E$6:$E$58,Census!$G53+W$5-18)*IF((Census!$F53+W$5)&gt;=Assumptions!$B$11,1,0))*MIN(15/26*Census!$D53*(1+Assumptions!$B$9)^W$5*(INT((Census!$F53+W$5))+IF((Census!$F53+W$5)-INT((Census!$F53+W$5))&gt;0.5,1,0)),Assumptions!$B$10))</f>
        <v>13580.978429028084</v>
      </c>
      <c r="X53" s="30">
        <f>IF(X$5&gt;$B53,0,INDEX(Decrements!$G$6:$G$58,Census!$G53+X$5-18)/INDEX(Decrements!$G$6:$G$58,Census!$G53-17)*(INDEX(Decrements!$D$6:$D$58,Census!$G53+X$5-18)+IF(X$5=$B53,INDEX(Decrements!$F$6:$F$58,Census!$G53+X$5-18),0)+INDEX(Decrements!$E$6:$E$58,Census!$G53+X$5-18)*IF((Census!$F53+X$5)&gt;=Assumptions!$B$11,1,0))*MIN(15/26*Census!$D53*(1+Assumptions!$B$9)^X$5*(INT((Census!$F53+X$5))+IF((Census!$F53+X$5)-INT((Census!$F53+X$5))&gt;0.5,1,0)),Assumptions!$B$10))</f>
        <v>9202.129517202402</v>
      </c>
      <c r="Y53" s="30">
        <f>IF(Y$5&gt;$B53,0,INDEX(Decrements!$G$6:$G$58,Census!$G53+Y$5-18)/INDEX(Decrements!$G$6:$G$58,Census!$G53-17)*(INDEX(Decrements!$D$6:$D$58,Census!$G53+Y$5-18)+IF(Y$5=$B53,INDEX(Decrements!$F$6:$F$58,Census!$G53+Y$5-18),0)+INDEX(Decrements!$E$6:$E$58,Census!$G53+Y$5-18)*IF((Census!$F53+Y$5)&gt;=Assumptions!$B$11,1,0))*MIN(15/26*Census!$D53*(1+Assumptions!$B$9)^Y$5*(INT((Census!$F53+Y$5))+IF((Census!$F53+Y$5)-INT((Census!$F53+Y$5))&gt;0.5,1,0)),Assumptions!$B$10))</f>
        <v>9087.220456312667</v>
      </c>
      <c r="Z53" s="30">
        <f>IF(Z$5&gt;$B53,0,INDEX(Decrements!$G$6:$G$58,Census!$G53+Z$5-18)/INDEX(Decrements!$G$6:$G$58,Census!$G53-17)*(INDEX(Decrements!$D$6:$D$58,Census!$G53+Z$5-18)+IF(Z$5=$B53,INDEX(Decrements!$F$6:$F$58,Census!$G53+Z$5-18),0)+INDEX(Decrements!$E$6:$E$58,Census!$G53+Z$5-18)*IF((Census!$F53+Z$5)&gt;=Assumptions!$B$11,1,0))*MIN(15/26*Census!$D53*(1+Assumptions!$B$9)^Z$5*(INT((Census!$F53+Z$5))+IF((Census!$F53+Z$5)-INT((Census!$F53+Z$5))&gt;0.5,1,0)),Assumptions!$B$10))</f>
        <v>8979.8039427446183</v>
      </c>
      <c r="AA53" s="30">
        <f>IF(AA$5&gt;$B53,0,INDEX(Decrements!$G$6:$G$58,Census!$G53+AA$5-18)/INDEX(Decrements!$G$6:$G$58,Census!$G53-17)*(INDEX(Decrements!$D$6:$D$58,Census!$G53+AA$5-18)+IF(AA$5=$B53,INDEX(Decrements!$F$6:$F$58,Census!$G53+AA$5-18),0)+INDEX(Decrements!$E$6:$E$58,Census!$G53+AA$5-18)*IF((Census!$F53+AA$5)&gt;=Assumptions!$B$11,1,0))*MIN(15/26*Census!$D53*(1+Assumptions!$B$9)^AA$5*(INT((Census!$F53+AA$5))+IF((Census!$F53+AA$5)-INT((Census!$F53+AA$5))&gt;0.5,1,0)),Assumptions!$B$10))</f>
        <v>8880.0378592498673</v>
      </c>
      <c r="AB53" s="30">
        <f>IF(AB$5&gt;$B53,0,INDEX(Decrements!$G$6:$G$58,Census!$G53+AB$5-18)/INDEX(Decrements!$G$6:$G$58,Census!$G53-17)*(INDEX(Decrements!$D$6:$D$58,Census!$G53+AB$5-18)+IF(AB$5=$B53,INDEX(Decrements!$F$6:$F$58,Census!$G53+AB$5-18),0)+INDEX(Decrements!$E$6:$E$58,Census!$G53+AB$5-18)*IF((Census!$F53+AB$5)&gt;=Assumptions!$B$11,1,0))*MIN(15/26*Census!$D53*(1+Assumptions!$B$9)^AB$5*(INT((Census!$F53+AB$5))+IF((Census!$F53+AB$5)-INT((Census!$F53+AB$5))&gt;0.5,1,0)),Assumptions!$B$10))</f>
        <v>8788.0852986952104</v>
      </c>
      <c r="AC53" s="30">
        <f>IF(AC$5&gt;$B53,0,INDEX(Decrements!$G$6:$G$58,Census!$G53+AC$5-18)/INDEX(Decrements!$G$6:$G$58,Census!$G53-17)*(INDEX(Decrements!$D$6:$D$58,Census!$G53+AC$5-18)+IF(AC$5=$B53,INDEX(Decrements!$F$6:$F$58,Census!$G53+AC$5-18),0)+INDEX(Decrements!$E$6:$E$58,Census!$G53+AC$5-18)*IF((Census!$F53+AC$5)&gt;=Assumptions!$B$11,1,0))*MIN(15/26*Census!$D53*(1+Assumptions!$B$9)^AC$5*(INT((Census!$F53+AC$5))+IF((Census!$F53+AC$5)-INT((Census!$F53+AC$5))&gt;0.5,1,0)),Assumptions!$B$10))</f>
        <v>5133.4566598202482</v>
      </c>
      <c r="AD53" s="30">
        <f>IF(AD$5&gt;$B53,0,INDEX(Decrements!$G$6:$G$58,Census!$G53+AD$5-18)/INDEX(Decrements!$G$6:$G$58,Census!$G53-17)*(INDEX(Decrements!$D$6:$D$58,Census!$G53+AD$5-18)+IF(AD$5=$B53,INDEX(Decrements!$F$6:$F$58,Census!$G53+AD$5-18),0)+INDEX(Decrements!$E$6:$E$58,Census!$G53+AD$5-18)*IF((Census!$F53+AD$5)&gt;=Assumptions!$B$11,1,0))*MIN(15/26*Census!$D53*(1+Assumptions!$B$9)^AD$5*(INT((Census!$F53+AD$5))+IF((Census!$F53+AD$5)-INT((Census!$F53+AD$5))&gt;0.5,1,0)),Assumptions!$B$10))</f>
        <v>5198.1807074972949</v>
      </c>
      <c r="AE53" s="30">
        <f>IF(AE$5&gt;$B53,0,INDEX(Decrements!$G$6:$G$58,Census!$G53+AE$5-18)/INDEX(Decrements!$G$6:$G$58,Census!$G53-17)*(INDEX(Decrements!$D$6:$D$58,Census!$G53+AE$5-18)+IF(AE$5=$B53,INDEX(Decrements!$F$6:$F$58,Census!$G53+AE$5-18),0)+INDEX(Decrements!$E$6:$E$58,Census!$G53+AE$5-18)*IF((Census!$F53+AE$5)&gt;=Assumptions!$B$11,1,0))*MIN(15/26*Census!$D53*(1+Assumptions!$B$9)^AE$5*(INT((Census!$F53+AE$5))+IF((Census!$F53+AE$5)-INT((Census!$F53+AE$5))&gt;0.5,1,0)),Assumptions!$B$10))</f>
        <v>5271.4685365073301</v>
      </c>
      <c r="AF53" s="30">
        <f>IF(AF$5&gt;$B53,0,INDEX(Decrements!$G$6:$G$58,Census!$G53+AF$5-18)/INDEX(Decrements!$G$6:$G$58,Census!$G53-17)*(INDEX(Decrements!$D$6:$D$58,Census!$G53+AF$5-18)+IF(AF$5=$B53,INDEX(Decrements!$F$6:$F$58,Census!$G53+AF$5-18),0)+INDEX(Decrements!$E$6:$E$58,Census!$G53+AF$5-18)*IF((Census!$F53+AF$5)&gt;=Assumptions!$B$11,1,0))*MIN(15/26*Census!$D53*(1+Assumptions!$B$9)^AF$5*(INT((Census!$F53+AF$5))+IF((Census!$F53+AF$5)-INT((Census!$F53+AF$5))&gt;0.5,1,0)),Assumptions!$B$10))</f>
        <v>5353.8182487550612</v>
      </c>
      <c r="AG53" s="30">
        <f>IF(AG$5&gt;$B53,0,INDEX(Decrements!$G$6:$G$58,Census!$G53+AG$5-18)/INDEX(Decrements!$G$6:$G$58,Census!$G53-17)*(INDEX(Decrements!$D$6:$D$58,Census!$G53+AG$5-18)+IF(AG$5=$B53,INDEX(Decrements!$F$6:$F$58,Census!$G53+AG$5-18),0)+INDEX(Decrements!$E$6:$E$58,Census!$G53+AG$5-18)*IF((Census!$F53+AG$5)&gt;=Assumptions!$B$11,1,0))*MIN(15/26*Census!$D53*(1+Assumptions!$B$9)^AG$5*(INT((Census!$F53+AG$5))+IF((Census!$F53+AG$5)-INT((Census!$F53+AG$5))&gt;0.5,1,0)),Assumptions!$B$10))</f>
        <v>337671.4546501594</v>
      </c>
      <c r="AH53" s="30">
        <f>IF(AH$5&gt;$B53,0,INDEX(Decrements!$G$6:$G$58,Census!$G53+AH$5-18)/INDEX(Decrements!$G$6:$G$58,Census!$G53-17)*(INDEX(Decrements!$D$6:$D$58,Census!$G53+AH$5-18)+IF(AH$5=$B53,INDEX(Decrements!$F$6:$F$58,Census!$G53+AH$5-18),0)+INDEX(Decrements!$E$6:$E$58,Census!$G53+AH$5-18)*IF((Census!$F53+AH$5)&gt;=Assumptions!$B$11,1,0))*MIN(15/26*Census!$D53*(1+Assumptions!$B$9)^AH$5*(INT((Census!$F53+AH$5))+IF((Census!$F53+AH$5)-INT((Census!$F53+AH$5))&gt;0.5,1,0)),Assumptions!$B$10))</f>
        <v>0</v>
      </c>
      <c r="AI53" s="30">
        <f>IF(AI$5&gt;$B53,0,INDEX(Decrements!$G$6:$G$58,Census!$G53+AI$5-18)/INDEX(Decrements!$G$6:$G$58,Census!$G53-17)*(INDEX(Decrements!$D$6:$D$58,Census!$G53+AI$5-18)+IF(AI$5=$B53,INDEX(Decrements!$F$6:$F$58,Census!$G53+AI$5-18),0)+INDEX(Decrements!$E$6:$E$58,Census!$G53+AI$5-18)*IF((Census!$F53+AI$5)&gt;=Assumptions!$B$11,1,0))*MIN(15/26*Census!$D53*(1+Assumptions!$B$9)^AI$5*(INT((Census!$F53+AI$5))+IF((Census!$F53+AI$5)-INT((Census!$F53+AI$5))&gt;0.5,1,0)),Assumptions!$B$10))</f>
        <v>0</v>
      </c>
      <c r="AJ53" s="30">
        <f>IF(AJ$5&gt;$B53,0,INDEX(Decrements!$G$6:$G$58,Census!$G53+AJ$5-18)/INDEX(Decrements!$G$6:$G$58,Census!$G53-17)*(INDEX(Decrements!$D$6:$D$58,Census!$G53+AJ$5-18)+IF(AJ$5=$B53,INDEX(Decrements!$F$6:$F$58,Census!$G53+AJ$5-18),0)+INDEX(Decrements!$E$6:$E$58,Census!$G53+AJ$5-18)*IF((Census!$F53+AJ$5)&gt;=Assumptions!$B$11,1,0))*MIN(15/26*Census!$D53*(1+Assumptions!$B$9)^AJ$5*(INT((Census!$F53+AJ$5))+IF((Census!$F53+AJ$5)-INT((Census!$F53+AJ$5))&gt;0.5,1,0)),Assumptions!$B$10))</f>
        <v>0</v>
      </c>
      <c r="AK53" s="30">
        <f>IF(AK$5&gt;$B53,0,INDEX(Decrements!$G$6:$G$58,Census!$G53+AK$5-18)/INDEX(Decrements!$G$6:$G$58,Census!$G53-17)*(INDEX(Decrements!$D$6:$D$58,Census!$G53+AK$5-18)+IF(AK$5=$B53,INDEX(Decrements!$F$6:$F$58,Census!$G53+AK$5-18),0)+INDEX(Decrements!$E$6:$E$58,Census!$G53+AK$5-18)*IF((Census!$F53+AK$5)&gt;=Assumptions!$B$11,1,0))*MIN(15/26*Census!$D53*(1+Assumptions!$B$9)^AK$5*(INT((Census!$F53+AK$5))+IF((Census!$F53+AK$5)-INT((Census!$F53+AK$5))&gt;0.5,1,0)),Assumptions!$B$10))</f>
        <v>0</v>
      </c>
      <c r="AL53" s="30">
        <f>IF(AL$5&gt;$B53,0,INDEX(Decrements!$G$6:$G$58,Census!$G53+AL$5-18)/INDEX(Decrements!$G$6:$G$58,Census!$G53-17)*(INDEX(Decrements!$D$6:$D$58,Census!$G53+AL$5-18)+IF(AL$5=$B53,INDEX(Decrements!$F$6:$F$58,Census!$G53+AL$5-18),0)+INDEX(Decrements!$E$6:$E$58,Census!$G53+AL$5-18)*IF((Census!$F53+AL$5)&gt;=Assumptions!$B$11,1,0))*MIN(15/26*Census!$D53*(1+Assumptions!$B$9)^AL$5*(INT((Census!$F53+AL$5))+IF((Census!$F53+AL$5)-INT((Census!$F53+AL$5))&gt;0.5,1,0)),Assumptions!$B$10))</f>
        <v>0</v>
      </c>
      <c r="AM53" s="30">
        <f>IF(AM$5&gt;$B53,0,INDEX(Decrements!$G$6:$G$58,Census!$G53+AM$5-18)/INDEX(Decrements!$G$6:$G$58,Census!$G53-17)*(INDEX(Decrements!$D$6:$D$58,Census!$G53+AM$5-18)+IF(AM$5=$B53,INDEX(Decrements!$F$6:$F$58,Census!$G53+AM$5-18),0)+INDEX(Decrements!$E$6:$E$58,Census!$G53+AM$5-18)*IF((Census!$F53+AM$5)&gt;=Assumptions!$B$11,1,0))*MIN(15/26*Census!$D53*(1+Assumptions!$B$9)^AM$5*(INT((Census!$F53+AM$5))+IF((Census!$F53+AM$5)-INT((Census!$F53+AM$5))&gt;0.5,1,0)),Assumptions!$B$10))</f>
        <v>0</v>
      </c>
      <c r="AN53" s="30">
        <f>IF(AN$5&gt;$B53,0,INDEX(Decrements!$G$6:$G$58,Census!$G53+AN$5-18)/INDEX(Decrements!$G$6:$G$58,Census!$G53-17)*(INDEX(Decrements!$D$6:$D$58,Census!$G53+AN$5-18)+IF(AN$5=$B53,INDEX(Decrements!$F$6:$F$58,Census!$G53+AN$5-18),0)+INDEX(Decrements!$E$6:$E$58,Census!$G53+AN$5-18)*IF((Census!$F53+AN$5)&gt;=Assumptions!$B$11,1,0))*MIN(15/26*Census!$D53*(1+Assumptions!$B$9)^AN$5*(INT((Census!$F53+AN$5))+IF((Census!$F53+AN$5)-INT((Census!$F53+AN$5))&gt;0.5,1,0)),Assumptions!$B$10))</f>
        <v>0</v>
      </c>
      <c r="AO53" s="30">
        <f>IF(AO$5&gt;$B53,0,INDEX(Decrements!$G$6:$G$58,Census!$G53+AO$5-18)/INDEX(Decrements!$G$6:$G$58,Census!$G53-17)*(INDEX(Decrements!$D$6:$D$58,Census!$G53+AO$5-18)+IF(AO$5=$B53,INDEX(Decrements!$F$6:$F$58,Census!$G53+AO$5-18),0)+INDEX(Decrements!$E$6:$E$58,Census!$G53+AO$5-18)*IF((Census!$F53+AO$5)&gt;=Assumptions!$B$11,1,0))*MIN(15/26*Census!$D53*(1+Assumptions!$B$9)^AO$5*(INT((Census!$F53+AO$5))+IF((Census!$F53+AO$5)-INT((Census!$F53+AO$5))&gt;0.5,1,0)),Assumptions!$B$10))</f>
        <v>0</v>
      </c>
      <c r="AP53" s="30">
        <f>IF(AP$5&gt;$B53,0,INDEX(Decrements!$G$6:$G$58,Census!$G53+AP$5-18)/INDEX(Decrements!$G$6:$G$58,Census!$G53-17)*(INDEX(Decrements!$D$6:$D$58,Census!$G53+AP$5-18)+IF(AP$5=$B53,INDEX(Decrements!$F$6:$F$58,Census!$G53+AP$5-18),0)+INDEX(Decrements!$E$6:$E$58,Census!$G53+AP$5-18)*IF((Census!$F53+AP$5)&gt;=Assumptions!$B$11,1,0))*MIN(15/26*Census!$D53*(1+Assumptions!$B$9)^AP$5*(INT((Census!$F53+AP$5))+IF((Census!$F53+AP$5)-INT((Census!$F53+AP$5))&gt;0.5,1,0)),Assumptions!$B$10))</f>
        <v>0</v>
      </c>
      <c r="AQ53" s="30">
        <f>IF(AQ$5&gt;$B53,0,INDEX(Decrements!$G$6:$G$58,Census!$G53+AQ$5-18)/INDEX(Decrements!$G$6:$G$58,Census!$G53-17)*(INDEX(Decrements!$D$6:$D$58,Census!$G53+AQ$5-18)+IF(AQ$5=$B53,INDEX(Decrements!$F$6:$F$58,Census!$G53+AQ$5-18),0)+INDEX(Decrements!$E$6:$E$58,Census!$G53+AQ$5-18)*IF((Census!$F53+AQ$5)&gt;=Assumptions!$B$11,1,0))*MIN(15/26*Census!$D53*(1+Assumptions!$B$9)^AQ$5*(INT((Census!$F53+AQ$5))+IF((Census!$F53+AQ$5)-INT((Census!$F53+AQ$5))&gt;0.5,1,0)),Assumptions!$B$10))</f>
        <v>0</v>
      </c>
      <c r="AR53" s="30">
        <f>IF(AR$5&gt;$B53,0,INDEX(Decrements!$G$6:$G$58,Census!$G53+AR$5-18)/INDEX(Decrements!$G$6:$G$58,Census!$G53-17)*(INDEX(Decrements!$D$6:$D$58,Census!$G53+AR$5-18)+IF(AR$5=$B53,INDEX(Decrements!$F$6:$F$58,Census!$G53+AR$5-18),0)+INDEX(Decrements!$E$6:$E$58,Census!$G53+AR$5-18)*IF((Census!$F53+AR$5)&gt;=Assumptions!$B$11,1,0))*MIN(15/26*Census!$D53*(1+Assumptions!$B$9)^AR$5*(INT((Census!$F53+AR$5))+IF((Census!$F53+AR$5)-INT((Census!$F53+AR$5))&gt;0.5,1,0)),Assumptions!$B$10))</f>
        <v>0</v>
      </c>
      <c r="AS53" s="30">
        <f>IF(AS$5&gt;$B53,0,INDEX(Decrements!$G$6:$G$58,Census!$G53+AS$5-18)/INDEX(Decrements!$G$6:$G$58,Census!$G53-17)*(INDEX(Decrements!$D$6:$D$58,Census!$G53+AS$5-18)+IF(AS$5=$B53,INDEX(Decrements!$F$6:$F$58,Census!$G53+AS$5-18),0)+INDEX(Decrements!$E$6:$E$58,Census!$G53+AS$5-18)*IF((Census!$F53+AS$5)&gt;=Assumptions!$B$11,1,0))*MIN(15/26*Census!$D53*(1+Assumptions!$B$9)^AS$5*(INT((Census!$F53+AS$5))+IF((Census!$F53+AS$5)-INT((Census!$F53+AS$5))&gt;0.5,1,0)),Assumptions!$B$10))</f>
        <v>0</v>
      </c>
      <c r="AT53" s="30">
        <f>IF(AT$5&gt;$B53,0,INDEX(Decrements!$G$6:$G$58,Census!$G53+AT$5-18)/INDEX(Decrements!$G$6:$G$58,Census!$G53-17)*(INDEX(Decrements!$D$6:$D$58,Census!$G53+AT$5-18)+IF(AT$5=$B53,INDEX(Decrements!$F$6:$F$58,Census!$G53+AT$5-18),0)+INDEX(Decrements!$E$6:$E$58,Census!$G53+AT$5-18)*IF((Census!$F53+AT$5)&gt;=Assumptions!$B$11,1,0))*MIN(15/26*Census!$D53*(1+Assumptions!$B$9)^AT$5*(INT((Census!$F53+AT$5))+IF((Census!$F53+AT$5)-INT((Census!$F53+AT$5))&gt;0.5,1,0)),Assumptions!$B$10))</f>
        <v>0</v>
      </c>
      <c r="AU53" s="30">
        <f>IF(AU$5&gt;$B53,0,INDEX(Decrements!$G$6:$G$58,Census!$G53+AU$5-18)/INDEX(Decrements!$G$6:$G$58,Census!$G53-17)*(INDEX(Decrements!$D$6:$D$58,Census!$G53+AU$5-18)+IF(AU$5=$B53,INDEX(Decrements!$F$6:$F$58,Census!$G53+AU$5-18),0)+INDEX(Decrements!$E$6:$E$58,Census!$G53+AU$5-18)*IF((Census!$F53+AU$5)&gt;=Assumptions!$B$11,1,0))*MIN(15/26*Census!$D53*(1+Assumptions!$B$9)^AU$5*(INT((Census!$F53+AU$5))+IF((Census!$F53+AU$5)-INT((Census!$F53+AU$5))&gt;0.5,1,0)),Assumptions!$B$10))</f>
        <v>0</v>
      </c>
    </row>
    <row r="54" spans="1:47" x14ac:dyDescent="0.3">
      <c r="A54" s="10" t="str">
        <f>Census!A54</f>
        <v>E049</v>
      </c>
      <c r="B54" s="29">
        <f>Census!H54</f>
        <v>21</v>
      </c>
      <c r="C54" s="30">
        <f>IF(C$5&gt;$B54,0,INDEX(Decrements!$G$6:$G$58,Census!$G54+C$5-18)/INDEX(Decrements!$G$6:$G$58,Census!$G54-17)*(INDEX(Decrements!$D$6:$D$58,Census!$G54+C$5-18)+IF(C$5=$B54,INDEX(Decrements!$F$6:$F$58,Census!$G54+C$5-18),0)+INDEX(Decrements!$E$6:$E$58,Census!$G54+C$5-18)*IF((Census!$F54+C$5)&gt;=Assumptions!$B$11,1,0))*MIN(15/26*Census!$D54*(1+Assumptions!$B$9)^C$5*(INT((Census!$F54+C$5))+IF((Census!$F54+C$5)-INT((Census!$F54+C$5))&gt;0.5,1,0)),Assumptions!$B$10))</f>
        <v>38493.814557627891</v>
      </c>
      <c r="D54" s="30">
        <f>IF(D$5&gt;$B54,0,INDEX(Decrements!$G$6:$G$58,Census!$G54+D$5-18)/INDEX(Decrements!$G$6:$G$58,Census!$G54-17)*(INDEX(Decrements!$D$6:$D$58,Census!$G54+D$5-18)+IF(D$5=$B54,INDEX(Decrements!$F$6:$F$58,Census!$G54+D$5-18),0)+INDEX(Decrements!$E$6:$E$58,Census!$G54+D$5-18)*IF((Census!$F54+D$5)&gt;=Assumptions!$B$11,1,0))*MIN(15/26*Census!$D54*(1+Assumptions!$B$9)^D$5*(INT((Census!$F54+D$5))+IF((Census!$F54+D$5)-INT((Census!$F54+D$5))&gt;0.5,1,0)),Assumptions!$B$10))</f>
        <v>26330.04270267428</v>
      </c>
      <c r="E54" s="30">
        <f>IF(E$5&gt;$B54,0,INDEX(Decrements!$G$6:$G$58,Census!$G54+E$5-18)/INDEX(Decrements!$G$6:$G$58,Census!$G54-17)*(INDEX(Decrements!$D$6:$D$58,Census!$G54+E$5-18)+IF(E$5=$B54,INDEX(Decrements!$F$6:$F$58,Census!$G54+E$5-18),0)+INDEX(Decrements!$E$6:$E$58,Census!$G54+E$5-18)*IF((Census!$F54+E$5)&gt;=Assumptions!$B$11,1,0))*MIN(15/26*Census!$D54*(1+Assumptions!$B$9)^E$5*(INT((Census!$F54+E$5))+IF((Census!$F54+E$5)-INT((Census!$F54+E$5))&gt;0.5,1,0)),Assumptions!$B$10))</f>
        <v>29277.717033063989</v>
      </c>
      <c r="F54" s="30">
        <f>IF(F$5&gt;$B54,0,INDEX(Decrements!$G$6:$G$58,Census!$G54+F$5-18)/INDEX(Decrements!$G$6:$G$58,Census!$G54-17)*(INDEX(Decrements!$D$6:$D$58,Census!$G54+F$5-18)+IF(F$5=$B54,INDEX(Decrements!$F$6:$F$58,Census!$G54+F$5-18),0)+INDEX(Decrements!$E$6:$E$58,Census!$G54+F$5-18)*IF((Census!$F54+F$5)&gt;=Assumptions!$B$11,1,0))*MIN(15/26*Census!$D54*(1+Assumptions!$B$9)^F$5*(INT((Census!$F54+F$5))+IF((Census!$F54+F$5)-INT((Census!$F54+F$5))&gt;0.5,1,0)),Assumptions!$B$10))</f>
        <v>32365.23727294488</v>
      </c>
      <c r="G54" s="30">
        <f>IF(G$5&gt;$B54,0,INDEX(Decrements!$G$6:$G$58,Census!$G54+G$5-18)/INDEX(Decrements!$G$6:$G$58,Census!$G54-17)*(INDEX(Decrements!$D$6:$D$58,Census!$G54+G$5-18)+IF(G$5=$B54,INDEX(Decrements!$F$6:$F$58,Census!$G54+G$5-18),0)+INDEX(Decrements!$E$6:$E$58,Census!$G54+G$5-18)*IF((Census!$F54+G$5)&gt;=Assumptions!$B$11,1,0))*MIN(15/26*Census!$D54*(1+Assumptions!$B$9)^G$5*(INT((Census!$F54+G$5))+IF((Census!$F54+G$5)-INT((Census!$F54+G$5))&gt;0.5,1,0)),Assumptions!$B$10))</f>
        <v>35598.794175798146</v>
      </c>
      <c r="H54" s="30">
        <f>IF(H$5&gt;$B54,0,INDEX(Decrements!$G$6:$G$58,Census!$G54+H$5-18)/INDEX(Decrements!$G$6:$G$58,Census!$G54-17)*(INDEX(Decrements!$D$6:$D$58,Census!$G54+H$5-18)+IF(H$5=$B54,INDEX(Decrements!$F$6:$F$58,Census!$G54+H$5-18),0)+INDEX(Decrements!$E$6:$E$58,Census!$G54+H$5-18)*IF((Census!$F54+H$5)&gt;=Assumptions!$B$11,1,0))*MIN(15/26*Census!$D54*(1+Assumptions!$B$9)^H$5*(INT((Census!$F54+H$5))+IF((Census!$F54+H$5)-INT((Census!$F54+H$5))&gt;0.5,1,0)),Assumptions!$B$10))</f>
        <v>38984.941022511564</v>
      </c>
      <c r="I54" s="30">
        <f>IF(I$5&gt;$B54,0,INDEX(Decrements!$G$6:$G$58,Census!$G54+I$5-18)/INDEX(Decrements!$G$6:$G$58,Census!$G54-17)*(INDEX(Decrements!$D$6:$D$58,Census!$G54+I$5-18)+IF(I$5=$B54,INDEX(Decrements!$F$6:$F$58,Census!$G54+I$5-18),0)+INDEX(Decrements!$E$6:$E$58,Census!$G54+I$5-18)*IF((Census!$F54+I$5)&gt;=Assumptions!$B$11,1,0))*MIN(15/26*Census!$D54*(1+Assumptions!$B$9)^I$5*(INT((Census!$F54+I$5))+IF((Census!$F54+I$5)-INT((Census!$F54+I$5))&gt;0.5,1,0)),Assumptions!$B$10))</f>
        <v>26151.085879381204</v>
      </c>
      <c r="J54" s="30">
        <f>IF(J$5&gt;$B54,0,INDEX(Decrements!$G$6:$G$58,Census!$G54+J$5-18)/INDEX(Decrements!$G$6:$G$58,Census!$G54-17)*(INDEX(Decrements!$D$6:$D$58,Census!$G54+J$5-18)+IF(J$5=$B54,INDEX(Decrements!$F$6:$F$58,Census!$G54+J$5-18),0)+INDEX(Decrements!$E$6:$E$58,Census!$G54+J$5-18)*IF((Census!$F54+J$5)&gt;=Assumptions!$B$11,1,0))*MIN(15/26*Census!$D54*(1+Assumptions!$B$9)^J$5*(INT((Census!$F54+J$5))+IF((Census!$F54+J$5)-INT((Census!$F54+J$5))&gt;0.5,1,0)),Assumptions!$B$10))</f>
        <v>29085.992195101568</v>
      </c>
      <c r="K54" s="30">
        <f>IF(K$5&gt;$B54,0,INDEX(Decrements!$G$6:$G$58,Census!$G54+K$5-18)/INDEX(Decrements!$G$6:$G$58,Census!$G54-17)*(INDEX(Decrements!$D$6:$D$58,Census!$G54+K$5-18)+IF(K$5=$B54,INDEX(Decrements!$F$6:$F$58,Census!$G54+K$5-18),0)+INDEX(Decrements!$E$6:$E$58,Census!$G54+K$5-18)*IF((Census!$F54+K$5)&gt;=Assumptions!$B$11,1,0))*MIN(15/26*Census!$D54*(1+Assumptions!$B$9)^K$5*(INT((Census!$F54+K$5))+IF((Census!$F54+K$5)-INT((Census!$F54+K$5))&gt;0.5,1,0)),Assumptions!$B$10))</f>
        <v>32259.62794613808</v>
      </c>
      <c r="L54" s="30">
        <f>IF(L$5&gt;$B54,0,INDEX(Decrements!$G$6:$G$58,Census!$G54+L$5-18)/INDEX(Decrements!$G$6:$G$58,Census!$G54-17)*(INDEX(Decrements!$D$6:$D$58,Census!$G54+L$5-18)+IF(L$5=$B54,INDEX(Decrements!$F$6:$F$58,Census!$G54+L$5-18),0)+INDEX(Decrements!$E$6:$E$58,Census!$G54+L$5-18)*IF((Census!$F54+L$5)&gt;=Assumptions!$B$11,1,0))*MIN(15/26*Census!$D54*(1+Assumptions!$B$9)^L$5*(INT((Census!$F54+L$5))+IF((Census!$F54+L$5)-INT((Census!$F54+L$5))&gt;0.5,1,0)),Assumptions!$B$10))</f>
        <v>35691.443985702099</v>
      </c>
      <c r="M54" s="30">
        <f>IF(M$5&gt;$B54,0,INDEX(Decrements!$G$6:$G$58,Census!$G54+M$5-18)/INDEX(Decrements!$G$6:$G$58,Census!$G54-17)*(INDEX(Decrements!$D$6:$D$58,Census!$G54+M$5-18)+IF(M$5=$B54,INDEX(Decrements!$F$6:$F$58,Census!$G54+M$5-18),0)+INDEX(Decrements!$E$6:$E$58,Census!$G54+M$5-18)*IF((Census!$F54+M$5)&gt;=Assumptions!$B$11,1,0))*MIN(15/26*Census!$D54*(1+Assumptions!$B$9)^M$5*(INT((Census!$F54+M$5))+IF((Census!$F54+M$5)-INT((Census!$F54+M$5))&gt;0.5,1,0)),Assumptions!$B$10))</f>
        <v>39402.753913147055</v>
      </c>
      <c r="N54" s="30">
        <f>IF(N$5&gt;$B54,0,INDEX(Decrements!$G$6:$G$58,Census!$G54+N$5-18)/INDEX(Decrements!$G$6:$G$58,Census!$G54-17)*(INDEX(Decrements!$D$6:$D$58,Census!$G54+N$5-18)+IF(N$5=$B54,INDEX(Decrements!$F$6:$F$58,Census!$G54+N$5-18),0)+INDEX(Decrements!$E$6:$E$58,Census!$G54+N$5-18)*IF((Census!$F54+N$5)&gt;=Assumptions!$B$11,1,0))*MIN(15/26*Census!$D54*(1+Assumptions!$B$9)^N$5*(INT((Census!$F54+N$5))+IF((Census!$F54+N$5)-INT((Census!$F54+N$5))&gt;0.5,1,0)),Assumptions!$B$10))</f>
        <v>27315.505595322913</v>
      </c>
      <c r="O54" s="30">
        <f>IF(O$5&gt;$B54,0,INDEX(Decrements!$G$6:$G$58,Census!$G54+O$5-18)/INDEX(Decrements!$G$6:$G$58,Census!$G54-17)*(INDEX(Decrements!$D$6:$D$58,Census!$G54+O$5-18)+IF(O$5=$B54,INDEX(Decrements!$F$6:$F$58,Census!$G54+O$5-18),0)+INDEX(Decrements!$E$6:$E$58,Census!$G54+O$5-18)*IF((Census!$F54+O$5)&gt;=Assumptions!$B$11,1,0))*MIN(15/26*Census!$D54*(1+Assumptions!$B$9)^O$5*(INT((Census!$F54+O$5))+IF((Census!$F54+O$5)-INT((Census!$F54+O$5))&gt;0.5,1,0)),Assumptions!$B$10))</f>
        <v>26974.410733549972</v>
      </c>
      <c r="P54" s="30">
        <f>IF(P$5&gt;$B54,0,INDEX(Decrements!$G$6:$G$58,Census!$G54+P$5-18)/INDEX(Decrements!$G$6:$G$58,Census!$G54-17)*(INDEX(Decrements!$D$6:$D$58,Census!$G54+P$5-18)+IF(P$5=$B54,INDEX(Decrements!$F$6:$F$58,Census!$G54+P$5-18),0)+INDEX(Decrements!$E$6:$E$58,Census!$G54+P$5-18)*IF((Census!$F54+P$5)&gt;=Assumptions!$B$11,1,0))*MIN(15/26*Census!$D54*(1+Assumptions!$B$9)^P$5*(INT((Census!$F54+P$5))+IF((Census!$F54+P$5)-INT((Census!$F54+P$5))&gt;0.5,1,0)),Assumptions!$B$10))</f>
        <v>26655.556671355662</v>
      </c>
      <c r="Q54" s="30">
        <f>IF(Q$5&gt;$B54,0,INDEX(Decrements!$G$6:$G$58,Census!$G54+Q$5-18)/INDEX(Decrements!$G$6:$G$58,Census!$G54-17)*(INDEX(Decrements!$D$6:$D$58,Census!$G54+Q$5-18)+IF(Q$5=$B54,INDEX(Decrements!$F$6:$F$58,Census!$G54+Q$5-18),0)+INDEX(Decrements!$E$6:$E$58,Census!$G54+Q$5-18)*IF((Census!$F54+Q$5)&gt;=Assumptions!$B$11,1,0))*MIN(15/26*Census!$D54*(1+Assumptions!$B$9)^Q$5*(INT((Census!$F54+Q$5))+IF((Census!$F54+Q$5)-INT((Census!$F54+Q$5))&gt;0.5,1,0)),Assumptions!$B$10))</f>
        <v>26359.412066258559</v>
      </c>
      <c r="R54" s="30">
        <f>IF(R$5&gt;$B54,0,INDEX(Decrements!$G$6:$G$58,Census!$G54+R$5-18)/INDEX(Decrements!$G$6:$G$58,Census!$G54-17)*(INDEX(Decrements!$D$6:$D$58,Census!$G54+R$5-18)+IF(R$5=$B54,INDEX(Decrements!$F$6:$F$58,Census!$G54+R$5-18),0)+INDEX(Decrements!$E$6:$E$58,Census!$G54+R$5-18)*IF((Census!$F54+R$5)&gt;=Assumptions!$B$11,1,0))*MIN(15/26*Census!$D54*(1+Assumptions!$B$9)^R$5*(INT((Census!$F54+R$5))+IF((Census!$F54+R$5)-INT((Census!$F54+R$5))&gt;0.5,1,0)),Assumptions!$B$10))</f>
        <v>26086.461041428975</v>
      </c>
      <c r="S54" s="30">
        <f>IF(S$5&gt;$B54,0,INDEX(Decrements!$G$6:$G$58,Census!$G54+S$5-18)/INDEX(Decrements!$G$6:$G$58,Census!$G54-17)*(INDEX(Decrements!$D$6:$D$58,Census!$G54+S$5-18)+IF(S$5=$B54,INDEX(Decrements!$F$6:$F$58,Census!$G54+S$5-18),0)+INDEX(Decrements!$E$6:$E$58,Census!$G54+S$5-18)*IF((Census!$F54+S$5)&gt;=Assumptions!$B$11,1,0))*MIN(15/26*Census!$D54*(1+Assumptions!$B$9)^S$5*(INT((Census!$F54+S$5))+IF((Census!$F54+S$5)-INT((Census!$F54+S$5))&gt;0.5,1,0)),Assumptions!$B$10))</f>
        <v>15238.09938259788</v>
      </c>
      <c r="T54" s="30">
        <f>IF(T$5&gt;$B54,0,INDEX(Decrements!$G$6:$G$58,Census!$G54+T$5-18)/INDEX(Decrements!$G$6:$G$58,Census!$G54-17)*(INDEX(Decrements!$D$6:$D$58,Census!$G54+T$5-18)+IF(T$5=$B54,INDEX(Decrements!$F$6:$F$58,Census!$G54+T$5-18),0)+INDEX(Decrements!$E$6:$E$58,Census!$G54+T$5-18)*IF((Census!$F54+T$5)&gt;=Assumptions!$B$11,1,0))*MIN(15/26*Census!$D54*(1+Assumptions!$B$9)^T$5*(INT((Census!$F54+T$5))+IF((Census!$F54+T$5)-INT((Census!$F54+T$5))&gt;0.5,1,0)),Assumptions!$B$10))</f>
        <v>15430.22557286387</v>
      </c>
      <c r="U54" s="30">
        <f>IF(U$5&gt;$B54,0,INDEX(Decrements!$G$6:$G$58,Census!$G54+U$5-18)/INDEX(Decrements!$G$6:$G$58,Census!$G54-17)*(INDEX(Decrements!$D$6:$D$58,Census!$G54+U$5-18)+IF(U$5=$B54,INDEX(Decrements!$F$6:$F$58,Census!$G54+U$5-18),0)+INDEX(Decrements!$E$6:$E$58,Census!$G54+U$5-18)*IF((Census!$F54+U$5)&gt;=Assumptions!$B$11,1,0))*MIN(15/26*Census!$D54*(1+Assumptions!$B$9)^U$5*(INT((Census!$F54+U$5))+IF((Census!$F54+U$5)-INT((Census!$F54+U$5))&gt;0.5,1,0)),Assumptions!$B$10))</f>
        <v>15647.772402611306</v>
      </c>
      <c r="V54" s="30">
        <f>IF(V$5&gt;$B54,0,INDEX(Decrements!$G$6:$G$58,Census!$G54+V$5-18)/INDEX(Decrements!$G$6:$G$58,Census!$G54-17)*(INDEX(Decrements!$D$6:$D$58,Census!$G54+V$5-18)+IF(V$5=$B54,INDEX(Decrements!$F$6:$F$58,Census!$G54+V$5-18),0)+INDEX(Decrements!$E$6:$E$58,Census!$G54+V$5-18)*IF((Census!$F54+V$5)&gt;=Assumptions!$B$11,1,0))*MIN(15/26*Census!$D54*(1+Assumptions!$B$9)^V$5*(INT((Census!$F54+V$5))+IF((Census!$F54+V$5)-INT((Census!$F54+V$5))&gt;0.5,1,0)),Assumptions!$B$10))</f>
        <v>15892.218432355952</v>
      </c>
      <c r="W54" s="30">
        <f>IF(W$5&gt;$B54,0,INDEX(Decrements!$G$6:$G$58,Census!$G54+W$5-18)/INDEX(Decrements!$G$6:$G$58,Census!$G54-17)*(INDEX(Decrements!$D$6:$D$58,Census!$G54+W$5-18)+IF(W$5=$B54,INDEX(Decrements!$F$6:$F$58,Census!$G54+W$5-18),0)+INDEX(Decrements!$E$6:$E$58,Census!$G54+W$5-18)*IF((Census!$F54+W$5)&gt;=Assumptions!$B$11,1,0))*MIN(15/26*Census!$D54*(1+Assumptions!$B$9)^W$5*(INT((Census!$F54+W$5))+IF((Census!$F54+W$5)-INT((Census!$F54+W$5))&gt;0.5,1,0)),Assumptions!$B$10))</f>
        <v>1002340.4356170596</v>
      </c>
      <c r="X54" s="30">
        <f>IF(X$5&gt;$B54,0,INDEX(Decrements!$G$6:$G$58,Census!$G54+X$5-18)/INDEX(Decrements!$G$6:$G$58,Census!$G54-17)*(INDEX(Decrements!$D$6:$D$58,Census!$G54+X$5-18)+IF(X$5=$B54,INDEX(Decrements!$F$6:$F$58,Census!$G54+X$5-18),0)+INDEX(Decrements!$E$6:$E$58,Census!$G54+X$5-18)*IF((Census!$F54+X$5)&gt;=Assumptions!$B$11,1,0))*MIN(15/26*Census!$D54*(1+Assumptions!$B$9)^X$5*(INT((Census!$F54+X$5))+IF((Census!$F54+X$5)-INT((Census!$F54+X$5))&gt;0.5,1,0)),Assumptions!$B$10))</f>
        <v>0</v>
      </c>
      <c r="Y54" s="30">
        <f>IF(Y$5&gt;$B54,0,INDEX(Decrements!$G$6:$G$58,Census!$G54+Y$5-18)/INDEX(Decrements!$G$6:$G$58,Census!$G54-17)*(INDEX(Decrements!$D$6:$D$58,Census!$G54+Y$5-18)+IF(Y$5=$B54,INDEX(Decrements!$F$6:$F$58,Census!$G54+Y$5-18),0)+INDEX(Decrements!$E$6:$E$58,Census!$G54+Y$5-18)*IF((Census!$F54+Y$5)&gt;=Assumptions!$B$11,1,0))*MIN(15/26*Census!$D54*(1+Assumptions!$B$9)^Y$5*(INT((Census!$F54+Y$5))+IF((Census!$F54+Y$5)-INT((Census!$F54+Y$5))&gt;0.5,1,0)),Assumptions!$B$10))</f>
        <v>0</v>
      </c>
      <c r="Z54" s="30">
        <f>IF(Z$5&gt;$B54,0,INDEX(Decrements!$G$6:$G$58,Census!$G54+Z$5-18)/INDEX(Decrements!$G$6:$G$58,Census!$G54-17)*(INDEX(Decrements!$D$6:$D$58,Census!$G54+Z$5-18)+IF(Z$5=$B54,INDEX(Decrements!$F$6:$F$58,Census!$G54+Z$5-18),0)+INDEX(Decrements!$E$6:$E$58,Census!$G54+Z$5-18)*IF((Census!$F54+Z$5)&gt;=Assumptions!$B$11,1,0))*MIN(15/26*Census!$D54*(1+Assumptions!$B$9)^Z$5*(INT((Census!$F54+Z$5))+IF((Census!$F54+Z$5)-INT((Census!$F54+Z$5))&gt;0.5,1,0)),Assumptions!$B$10))</f>
        <v>0</v>
      </c>
      <c r="AA54" s="30">
        <f>IF(AA$5&gt;$B54,0,INDEX(Decrements!$G$6:$G$58,Census!$G54+AA$5-18)/INDEX(Decrements!$G$6:$G$58,Census!$G54-17)*(INDEX(Decrements!$D$6:$D$58,Census!$G54+AA$5-18)+IF(AA$5=$B54,INDEX(Decrements!$F$6:$F$58,Census!$G54+AA$5-18),0)+INDEX(Decrements!$E$6:$E$58,Census!$G54+AA$5-18)*IF((Census!$F54+AA$5)&gt;=Assumptions!$B$11,1,0))*MIN(15/26*Census!$D54*(1+Assumptions!$B$9)^AA$5*(INT((Census!$F54+AA$5))+IF((Census!$F54+AA$5)-INT((Census!$F54+AA$5))&gt;0.5,1,0)),Assumptions!$B$10))</f>
        <v>0</v>
      </c>
      <c r="AB54" s="30">
        <f>IF(AB$5&gt;$B54,0,INDEX(Decrements!$G$6:$G$58,Census!$G54+AB$5-18)/INDEX(Decrements!$G$6:$G$58,Census!$G54-17)*(INDEX(Decrements!$D$6:$D$58,Census!$G54+AB$5-18)+IF(AB$5=$B54,INDEX(Decrements!$F$6:$F$58,Census!$G54+AB$5-18),0)+INDEX(Decrements!$E$6:$E$58,Census!$G54+AB$5-18)*IF((Census!$F54+AB$5)&gt;=Assumptions!$B$11,1,0))*MIN(15/26*Census!$D54*(1+Assumptions!$B$9)^AB$5*(INT((Census!$F54+AB$5))+IF((Census!$F54+AB$5)-INT((Census!$F54+AB$5))&gt;0.5,1,0)),Assumptions!$B$10))</f>
        <v>0</v>
      </c>
      <c r="AC54" s="30">
        <f>IF(AC$5&gt;$B54,0,INDEX(Decrements!$G$6:$G$58,Census!$G54+AC$5-18)/INDEX(Decrements!$G$6:$G$58,Census!$G54-17)*(INDEX(Decrements!$D$6:$D$58,Census!$G54+AC$5-18)+IF(AC$5=$B54,INDEX(Decrements!$F$6:$F$58,Census!$G54+AC$5-18),0)+INDEX(Decrements!$E$6:$E$58,Census!$G54+AC$5-18)*IF((Census!$F54+AC$5)&gt;=Assumptions!$B$11,1,0))*MIN(15/26*Census!$D54*(1+Assumptions!$B$9)^AC$5*(INT((Census!$F54+AC$5))+IF((Census!$F54+AC$5)-INT((Census!$F54+AC$5))&gt;0.5,1,0)),Assumptions!$B$10))</f>
        <v>0</v>
      </c>
      <c r="AD54" s="30">
        <f>IF(AD$5&gt;$B54,0,INDEX(Decrements!$G$6:$G$58,Census!$G54+AD$5-18)/INDEX(Decrements!$G$6:$G$58,Census!$G54-17)*(INDEX(Decrements!$D$6:$D$58,Census!$G54+AD$5-18)+IF(AD$5=$B54,INDEX(Decrements!$F$6:$F$58,Census!$G54+AD$5-18),0)+INDEX(Decrements!$E$6:$E$58,Census!$G54+AD$5-18)*IF((Census!$F54+AD$5)&gt;=Assumptions!$B$11,1,0))*MIN(15/26*Census!$D54*(1+Assumptions!$B$9)^AD$5*(INT((Census!$F54+AD$5))+IF((Census!$F54+AD$5)-INT((Census!$F54+AD$5))&gt;0.5,1,0)),Assumptions!$B$10))</f>
        <v>0</v>
      </c>
      <c r="AE54" s="30">
        <f>IF(AE$5&gt;$B54,0,INDEX(Decrements!$G$6:$G$58,Census!$G54+AE$5-18)/INDEX(Decrements!$G$6:$G$58,Census!$G54-17)*(INDEX(Decrements!$D$6:$D$58,Census!$G54+AE$5-18)+IF(AE$5=$B54,INDEX(Decrements!$F$6:$F$58,Census!$G54+AE$5-18),0)+INDEX(Decrements!$E$6:$E$58,Census!$G54+AE$5-18)*IF((Census!$F54+AE$5)&gt;=Assumptions!$B$11,1,0))*MIN(15/26*Census!$D54*(1+Assumptions!$B$9)^AE$5*(INT((Census!$F54+AE$5))+IF((Census!$F54+AE$5)-INT((Census!$F54+AE$5))&gt;0.5,1,0)),Assumptions!$B$10))</f>
        <v>0</v>
      </c>
      <c r="AF54" s="30">
        <f>IF(AF$5&gt;$B54,0,INDEX(Decrements!$G$6:$G$58,Census!$G54+AF$5-18)/INDEX(Decrements!$G$6:$G$58,Census!$G54-17)*(INDEX(Decrements!$D$6:$D$58,Census!$G54+AF$5-18)+IF(AF$5=$B54,INDEX(Decrements!$F$6:$F$58,Census!$G54+AF$5-18),0)+INDEX(Decrements!$E$6:$E$58,Census!$G54+AF$5-18)*IF((Census!$F54+AF$5)&gt;=Assumptions!$B$11,1,0))*MIN(15/26*Census!$D54*(1+Assumptions!$B$9)^AF$5*(INT((Census!$F54+AF$5))+IF((Census!$F54+AF$5)-INT((Census!$F54+AF$5))&gt;0.5,1,0)),Assumptions!$B$10))</f>
        <v>0</v>
      </c>
      <c r="AG54" s="30">
        <f>IF(AG$5&gt;$B54,0,INDEX(Decrements!$G$6:$G$58,Census!$G54+AG$5-18)/INDEX(Decrements!$G$6:$G$58,Census!$G54-17)*(INDEX(Decrements!$D$6:$D$58,Census!$G54+AG$5-18)+IF(AG$5=$B54,INDEX(Decrements!$F$6:$F$58,Census!$G54+AG$5-18),0)+INDEX(Decrements!$E$6:$E$58,Census!$G54+AG$5-18)*IF((Census!$F54+AG$5)&gt;=Assumptions!$B$11,1,0))*MIN(15/26*Census!$D54*(1+Assumptions!$B$9)^AG$5*(INT((Census!$F54+AG$5))+IF((Census!$F54+AG$5)-INT((Census!$F54+AG$5))&gt;0.5,1,0)),Assumptions!$B$10))</f>
        <v>0</v>
      </c>
      <c r="AH54" s="30">
        <f>IF(AH$5&gt;$B54,0,INDEX(Decrements!$G$6:$G$58,Census!$G54+AH$5-18)/INDEX(Decrements!$G$6:$G$58,Census!$G54-17)*(INDEX(Decrements!$D$6:$D$58,Census!$G54+AH$5-18)+IF(AH$5=$B54,INDEX(Decrements!$F$6:$F$58,Census!$G54+AH$5-18),0)+INDEX(Decrements!$E$6:$E$58,Census!$G54+AH$5-18)*IF((Census!$F54+AH$5)&gt;=Assumptions!$B$11,1,0))*MIN(15/26*Census!$D54*(1+Assumptions!$B$9)^AH$5*(INT((Census!$F54+AH$5))+IF((Census!$F54+AH$5)-INT((Census!$F54+AH$5))&gt;0.5,1,0)),Assumptions!$B$10))</f>
        <v>0</v>
      </c>
      <c r="AI54" s="30">
        <f>IF(AI$5&gt;$B54,0,INDEX(Decrements!$G$6:$G$58,Census!$G54+AI$5-18)/INDEX(Decrements!$G$6:$G$58,Census!$G54-17)*(INDEX(Decrements!$D$6:$D$58,Census!$G54+AI$5-18)+IF(AI$5=$B54,INDEX(Decrements!$F$6:$F$58,Census!$G54+AI$5-18),0)+INDEX(Decrements!$E$6:$E$58,Census!$G54+AI$5-18)*IF((Census!$F54+AI$5)&gt;=Assumptions!$B$11,1,0))*MIN(15/26*Census!$D54*(1+Assumptions!$B$9)^AI$5*(INT((Census!$F54+AI$5))+IF((Census!$F54+AI$5)-INT((Census!$F54+AI$5))&gt;0.5,1,0)),Assumptions!$B$10))</f>
        <v>0</v>
      </c>
      <c r="AJ54" s="30">
        <f>IF(AJ$5&gt;$B54,0,INDEX(Decrements!$G$6:$G$58,Census!$G54+AJ$5-18)/INDEX(Decrements!$G$6:$G$58,Census!$G54-17)*(INDEX(Decrements!$D$6:$D$58,Census!$G54+AJ$5-18)+IF(AJ$5=$B54,INDEX(Decrements!$F$6:$F$58,Census!$G54+AJ$5-18),0)+INDEX(Decrements!$E$6:$E$58,Census!$G54+AJ$5-18)*IF((Census!$F54+AJ$5)&gt;=Assumptions!$B$11,1,0))*MIN(15/26*Census!$D54*(1+Assumptions!$B$9)^AJ$5*(INT((Census!$F54+AJ$5))+IF((Census!$F54+AJ$5)-INT((Census!$F54+AJ$5))&gt;0.5,1,0)),Assumptions!$B$10))</f>
        <v>0</v>
      </c>
      <c r="AK54" s="30">
        <f>IF(AK$5&gt;$B54,0,INDEX(Decrements!$G$6:$G$58,Census!$G54+AK$5-18)/INDEX(Decrements!$G$6:$G$58,Census!$G54-17)*(INDEX(Decrements!$D$6:$D$58,Census!$G54+AK$5-18)+IF(AK$5=$B54,INDEX(Decrements!$F$6:$F$58,Census!$G54+AK$5-18),0)+INDEX(Decrements!$E$6:$E$58,Census!$G54+AK$5-18)*IF((Census!$F54+AK$5)&gt;=Assumptions!$B$11,1,0))*MIN(15/26*Census!$D54*(1+Assumptions!$B$9)^AK$5*(INT((Census!$F54+AK$5))+IF((Census!$F54+AK$5)-INT((Census!$F54+AK$5))&gt;0.5,1,0)),Assumptions!$B$10))</f>
        <v>0</v>
      </c>
      <c r="AL54" s="30">
        <f>IF(AL$5&gt;$B54,0,INDEX(Decrements!$G$6:$G$58,Census!$G54+AL$5-18)/INDEX(Decrements!$G$6:$G$58,Census!$G54-17)*(INDEX(Decrements!$D$6:$D$58,Census!$G54+AL$5-18)+IF(AL$5=$B54,INDEX(Decrements!$F$6:$F$58,Census!$G54+AL$5-18),0)+INDEX(Decrements!$E$6:$E$58,Census!$G54+AL$5-18)*IF((Census!$F54+AL$5)&gt;=Assumptions!$B$11,1,0))*MIN(15/26*Census!$D54*(1+Assumptions!$B$9)^AL$5*(INT((Census!$F54+AL$5))+IF((Census!$F54+AL$5)-INT((Census!$F54+AL$5))&gt;0.5,1,0)),Assumptions!$B$10))</f>
        <v>0</v>
      </c>
      <c r="AM54" s="30">
        <f>IF(AM$5&gt;$B54,0,INDEX(Decrements!$G$6:$G$58,Census!$G54+AM$5-18)/INDEX(Decrements!$G$6:$G$58,Census!$G54-17)*(INDEX(Decrements!$D$6:$D$58,Census!$G54+AM$5-18)+IF(AM$5=$B54,INDEX(Decrements!$F$6:$F$58,Census!$G54+AM$5-18),0)+INDEX(Decrements!$E$6:$E$58,Census!$G54+AM$5-18)*IF((Census!$F54+AM$5)&gt;=Assumptions!$B$11,1,0))*MIN(15/26*Census!$D54*(1+Assumptions!$B$9)^AM$5*(INT((Census!$F54+AM$5))+IF((Census!$F54+AM$5)-INT((Census!$F54+AM$5))&gt;0.5,1,0)),Assumptions!$B$10))</f>
        <v>0</v>
      </c>
      <c r="AN54" s="30">
        <f>IF(AN$5&gt;$B54,0,INDEX(Decrements!$G$6:$G$58,Census!$G54+AN$5-18)/INDEX(Decrements!$G$6:$G$58,Census!$G54-17)*(INDEX(Decrements!$D$6:$D$58,Census!$G54+AN$5-18)+IF(AN$5=$B54,INDEX(Decrements!$F$6:$F$58,Census!$G54+AN$5-18),0)+INDEX(Decrements!$E$6:$E$58,Census!$G54+AN$5-18)*IF((Census!$F54+AN$5)&gt;=Assumptions!$B$11,1,0))*MIN(15/26*Census!$D54*(1+Assumptions!$B$9)^AN$5*(INT((Census!$F54+AN$5))+IF((Census!$F54+AN$5)-INT((Census!$F54+AN$5))&gt;0.5,1,0)),Assumptions!$B$10))</f>
        <v>0</v>
      </c>
      <c r="AO54" s="30">
        <f>IF(AO$5&gt;$B54,0,INDEX(Decrements!$G$6:$G$58,Census!$G54+AO$5-18)/INDEX(Decrements!$G$6:$G$58,Census!$G54-17)*(INDEX(Decrements!$D$6:$D$58,Census!$G54+AO$5-18)+IF(AO$5=$B54,INDEX(Decrements!$F$6:$F$58,Census!$G54+AO$5-18),0)+INDEX(Decrements!$E$6:$E$58,Census!$G54+AO$5-18)*IF((Census!$F54+AO$5)&gt;=Assumptions!$B$11,1,0))*MIN(15/26*Census!$D54*(1+Assumptions!$B$9)^AO$5*(INT((Census!$F54+AO$5))+IF((Census!$F54+AO$5)-INT((Census!$F54+AO$5))&gt;0.5,1,0)),Assumptions!$B$10))</f>
        <v>0</v>
      </c>
      <c r="AP54" s="30">
        <f>IF(AP$5&gt;$B54,0,INDEX(Decrements!$G$6:$G$58,Census!$G54+AP$5-18)/INDEX(Decrements!$G$6:$G$58,Census!$G54-17)*(INDEX(Decrements!$D$6:$D$58,Census!$G54+AP$5-18)+IF(AP$5=$B54,INDEX(Decrements!$F$6:$F$58,Census!$G54+AP$5-18),0)+INDEX(Decrements!$E$6:$E$58,Census!$G54+AP$5-18)*IF((Census!$F54+AP$5)&gt;=Assumptions!$B$11,1,0))*MIN(15/26*Census!$D54*(1+Assumptions!$B$9)^AP$5*(INT((Census!$F54+AP$5))+IF((Census!$F54+AP$5)-INT((Census!$F54+AP$5))&gt;0.5,1,0)),Assumptions!$B$10))</f>
        <v>0</v>
      </c>
      <c r="AQ54" s="30">
        <f>IF(AQ$5&gt;$B54,0,INDEX(Decrements!$G$6:$G$58,Census!$G54+AQ$5-18)/INDEX(Decrements!$G$6:$G$58,Census!$G54-17)*(INDEX(Decrements!$D$6:$D$58,Census!$G54+AQ$5-18)+IF(AQ$5=$B54,INDEX(Decrements!$F$6:$F$58,Census!$G54+AQ$5-18),0)+INDEX(Decrements!$E$6:$E$58,Census!$G54+AQ$5-18)*IF((Census!$F54+AQ$5)&gt;=Assumptions!$B$11,1,0))*MIN(15/26*Census!$D54*(1+Assumptions!$B$9)^AQ$5*(INT((Census!$F54+AQ$5))+IF((Census!$F54+AQ$5)-INT((Census!$F54+AQ$5))&gt;0.5,1,0)),Assumptions!$B$10))</f>
        <v>0</v>
      </c>
      <c r="AR54" s="30">
        <f>IF(AR$5&gt;$B54,0,INDEX(Decrements!$G$6:$G$58,Census!$G54+AR$5-18)/INDEX(Decrements!$G$6:$G$58,Census!$G54-17)*(INDEX(Decrements!$D$6:$D$58,Census!$G54+AR$5-18)+IF(AR$5=$B54,INDEX(Decrements!$F$6:$F$58,Census!$G54+AR$5-18),0)+INDEX(Decrements!$E$6:$E$58,Census!$G54+AR$5-18)*IF((Census!$F54+AR$5)&gt;=Assumptions!$B$11,1,0))*MIN(15/26*Census!$D54*(1+Assumptions!$B$9)^AR$5*(INT((Census!$F54+AR$5))+IF((Census!$F54+AR$5)-INT((Census!$F54+AR$5))&gt;0.5,1,0)),Assumptions!$B$10))</f>
        <v>0</v>
      </c>
      <c r="AS54" s="30">
        <f>IF(AS$5&gt;$B54,0,INDEX(Decrements!$G$6:$G$58,Census!$G54+AS$5-18)/INDEX(Decrements!$G$6:$G$58,Census!$G54-17)*(INDEX(Decrements!$D$6:$D$58,Census!$G54+AS$5-18)+IF(AS$5=$B54,INDEX(Decrements!$F$6:$F$58,Census!$G54+AS$5-18),0)+INDEX(Decrements!$E$6:$E$58,Census!$G54+AS$5-18)*IF((Census!$F54+AS$5)&gt;=Assumptions!$B$11,1,0))*MIN(15/26*Census!$D54*(1+Assumptions!$B$9)^AS$5*(INT((Census!$F54+AS$5))+IF((Census!$F54+AS$5)-INT((Census!$F54+AS$5))&gt;0.5,1,0)),Assumptions!$B$10))</f>
        <v>0</v>
      </c>
      <c r="AT54" s="30">
        <f>IF(AT$5&gt;$B54,0,INDEX(Decrements!$G$6:$G$58,Census!$G54+AT$5-18)/INDEX(Decrements!$G$6:$G$58,Census!$G54-17)*(INDEX(Decrements!$D$6:$D$58,Census!$G54+AT$5-18)+IF(AT$5=$B54,INDEX(Decrements!$F$6:$F$58,Census!$G54+AT$5-18),0)+INDEX(Decrements!$E$6:$E$58,Census!$G54+AT$5-18)*IF((Census!$F54+AT$5)&gt;=Assumptions!$B$11,1,0))*MIN(15/26*Census!$D54*(1+Assumptions!$B$9)^AT$5*(INT((Census!$F54+AT$5))+IF((Census!$F54+AT$5)-INT((Census!$F54+AT$5))&gt;0.5,1,0)),Assumptions!$B$10))</f>
        <v>0</v>
      </c>
      <c r="AU54" s="30">
        <f>IF(AU$5&gt;$B54,0,INDEX(Decrements!$G$6:$G$58,Census!$G54+AU$5-18)/INDEX(Decrements!$G$6:$G$58,Census!$G54-17)*(INDEX(Decrements!$D$6:$D$58,Census!$G54+AU$5-18)+IF(AU$5=$B54,INDEX(Decrements!$F$6:$F$58,Census!$G54+AU$5-18),0)+INDEX(Decrements!$E$6:$E$58,Census!$G54+AU$5-18)*IF((Census!$F54+AU$5)&gt;=Assumptions!$B$11,1,0))*MIN(15/26*Census!$D54*(1+Assumptions!$B$9)^AU$5*(INT((Census!$F54+AU$5))+IF((Census!$F54+AU$5)-INT((Census!$F54+AU$5))&gt;0.5,1,0)),Assumptions!$B$10))</f>
        <v>0</v>
      </c>
    </row>
    <row r="55" spans="1:47" x14ac:dyDescent="0.3">
      <c r="A55" s="10" t="str">
        <f>Census!A55</f>
        <v>E050</v>
      </c>
      <c r="B55" s="29">
        <f>Census!H55</f>
        <v>28</v>
      </c>
      <c r="C55" s="30">
        <f>IF(C$5&gt;$B55,0,INDEX(Decrements!$G$6:$G$58,Census!$G55+C$5-18)/INDEX(Decrements!$G$6:$G$58,Census!$G55-17)*(INDEX(Decrements!$D$6:$D$58,Census!$G55+C$5-18)+IF(C$5=$B55,INDEX(Decrements!$F$6:$F$58,Census!$G55+C$5-18),0)+INDEX(Decrements!$E$6:$E$58,Census!$G55+C$5-18)*IF((Census!$F55+C$5)&gt;=Assumptions!$B$11,1,0))*MIN(15/26*Census!$D55*(1+Assumptions!$B$9)^C$5*(INT((Census!$F55+C$5))+IF((Census!$F55+C$5)-INT((Census!$F55+C$5))&gt;0.5,1,0)),Assumptions!$B$10))</f>
        <v>32239.49592093168</v>
      </c>
      <c r="D55" s="30">
        <f>IF(D$5&gt;$B55,0,INDEX(Decrements!$G$6:$G$58,Census!$G55+D$5-18)/INDEX(Decrements!$G$6:$G$58,Census!$G55-17)*(INDEX(Decrements!$D$6:$D$58,Census!$G55+D$5-18)+IF(D$5=$B55,INDEX(Decrements!$F$6:$F$58,Census!$G55+D$5-18),0)+INDEX(Decrements!$E$6:$E$58,Census!$G55+D$5-18)*IF((Census!$F55+D$5)&gt;=Assumptions!$B$11,1,0))*MIN(15/26*Census!$D55*(1+Assumptions!$B$9)^D$5*(INT((Census!$F55+D$5))+IF((Census!$F55+D$5)-INT((Census!$F55+D$5))&gt;0.5,1,0)),Assumptions!$B$10))</f>
        <v>34845.191863156426</v>
      </c>
      <c r="E55" s="30">
        <f>IF(E$5&gt;$B55,0,INDEX(Decrements!$G$6:$G$58,Census!$G55+E$5-18)/INDEX(Decrements!$G$6:$G$58,Census!$G55-17)*(INDEX(Decrements!$D$6:$D$58,Census!$G55+E$5-18)+IF(E$5=$B55,INDEX(Decrements!$F$6:$F$58,Census!$G55+E$5-18),0)+INDEX(Decrements!$E$6:$E$58,Census!$G55+E$5-18)*IF((Census!$F55+E$5)&gt;=Assumptions!$B$11,1,0))*MIN(15/26*Census!$D55*(1+Assumptions!$B$9)^E$5*(INT((Census!$F55+E$5))+IF((Census!$F55+E$5)-INT((Census!$F55+E$5))&gt;0.5,1,0)),Assumptions!$B$10))</f>
        <v>37196.200441657027</v>
      </c>
      <c r="F55" s="30">
        <f>IF(F$5&gt;$B55,0,INDEX(Decrements!$G$6:$G$58,Census!$G55+F$5-18)/INDEX(Decrements!$G$6:$G$58,Census!$G55-17)*(INDEX(Decrements!$D$6:$D$58,Census!$G55+F$5-18)+IF(F$5=$B55,INDEX(Decrements!$F$6:$F$58,Census!$G55+F$5-18),0)+INDEX(Decrements!$E$6:$E$58,Census!$G55+F$5-18)*IF((Census!$F55+F$5)&gt;=Assumptions!$B$11,1,0))*MIN(15/26*Census!$D55*(1+Assumptions!$B$9)^F$5*(INT((Census!$F55+F$5))+IF((Census!$F55+F$5)-INT((Census!$F55+F$5))&gt;0.5,1,0)),Assumptions!$B$10))</f>
        <v>28683.560218142095</v>
      </c>
      <c r="G55" s="30">
        <f>IF(G$5&gt;$B55,0,INDEX(Decrements!$G$6:$G$58,Census!$G55+G$5-18)/INDEX(Decrements!$G$6:$G$58,Census!$G55-17)*(INDEX(Decrements!$D$6:$D$58,Census!$G55+G$5-18)+IF(G$5=$B55,INDEX(Decrements!$F$6:$F$58,Census!$G55+G$5-18),0)+INDEX(Decrements!$E$6:$E$58,Census!$G55+G$5-18)*IF((Census!$F55+G$5)&gt;=Assumptions!$B$11,1,0))*MIN(15/26*Census!$D55*(1+Assumptions!$B$9)^G$5*(INT((Census!$F55+G$5))+IF((Census!$F55+G$5)-INT((Census!$F55+G$5))&gt;0.5,1,0)),Assumptions!$B$10))</f>
        <v>31080.943233096976</v>
      </c>
      <c r="H55" s="30">
        <f>IF(H$5&gt;$B55,0,INDEX(Decrements!$G$6:$G$58,Census!$G55+H$5-18)/INDEX(Decrements!$G$6:$G$58,Census!$G55-17)*(INDEX(Decrements!$D$6:$D$58,Census!$G55+H$5-18)+IF(H$5=$B55,INDEX(Decrements!$F$6:$F$58,Census!$G55+H$5-18),0)+INDEX(Decrements!$E$6:$E$58,Census!$G55+H$5-18)*IF((Census!$F55+H$5)&gt;=Assumptions!$B$11,1,0))*MIN(15/26*Census!$D55*(1+Assumptions!$B$9)^H$5*(INT((Census!$F55+H$5))+IF((Census!$F55+H$5)-INT((Census!$F55+H$5))&gt;0.5,1,0)),Assumptions!$B$10))</f>
        <v>33445.069041044997</v>
      </c>
      <c r="I55" s="30">
        <f>IF(I$5&gt;$B55,0,INDEX(Decrements!$G$6:$G$58,Census!$G55+I$5-18)/INDEX(Decrements!$G$6:$G$58,Census!$G55-17)*(INDEX(Decrements!$D$6:$D$58,Census!$G55+I$5-18)+IF(I$5=$B55,INDEX(Decrements!$F$6:$F$58,Census!$G55+I$5-18),0)+INDEX(Decrements!$E$6:$E$58,Census!$G55+I$5-18)*IF((Census!$F55+I$5)&gt;=Assumptions!$B$11,1,0))*MIN(15/26*Census!$D55*(1+Assumptions!$B$9)^I$5*(INT((Census!$F55+I$5))+IF((Census!$F55+I$5)-INT((Census!$F55+I$5))&gt;0.5,1,0)),Assumptions!$B$10))</f>
        <v>35776.353961473025</v>
      </c>
      <c r="J55" s="30">
        <f>IF(J$5&gt;$B55,0,INDEX(Decrements!$G$6:$G$58,Census!$G55+J$5-18)/INDEX(Decrements!$G$6:$G$58,Census!$G55-17)*(INDEX(Decrements!$D$6:$D$58,Census!$G55+J$5-18)+IF(J$5=$B55,INDEX(Decrements!$F$6:$F$58,Census!$G55+J$5-18),0)+INDEX(Decrements!$E$6:$E$58,Census!$G55+J$5-18)*IF((Census!$F55+J$5)&gt;=Assumptions!$B$11,1,0))*MIN(15/26*Census!$D55*(1+Assumptions!$B$9)^J$5*(INT((Census!$F55+J$5))+IF((Census!$F55+J$5)-INT((Census!$F55+J$5))&gt;0.5,1,0)),Assumptions!$B$10))</f>
        <v>38075.216987653643</v>
      </c>
      <c r="K55" s="30">
        <f>IF(K$5&gt;$B55,0,INDEX(Decrements!$G$6:$G$58,Census!$G55+K$5-18)/INDEX(Decrements!$G$6:$G$58,Census!$G55-17)*(INDEX(Decrements!$D$6:$D$58,Census!$G55+K$5-18)+IF(K$5=$B55,INDEX(Decrements!$F$6:$F$58,Census!$G55+K$5-18),0)+INDEX(Decrements!$E$6:$E$58,Census!$G55+K$5-18)*IF((Census!$F55+K$5)&gt;=Assumptions!$B$11,1,0))*MIN(15/26*Census!$D55*(1+Assumptions!$B$9)^K$5*(INT((Census!$F55+K$5))+IF((Census!$F55+K$5)-INT((Census!$F55+K$5))&gt;0.5,1,0)),Assumptions!$B$10))</f>
        <v>25464.969679275651</v>
      </c>
      <c r="L55" s="30">
        <f>IF(L$5&gt;$B55,0,INDEX(Decrements!$G$6:$G$58,Census!$G55+L$5-18)/INDEX(Decrements!$G$6:$G$58,Census!$G55-17)*(INDEX(Decrements!$D$6:$D$58,Census!$G55+L$5-18)+IF(L$5=$B55,INDEX(Decrements!$F$6:$F$58,Census!$G55+L$5-18),0)+INDEX(Decrements!$E$6:$E$58,Census!$G55+L$5-18)*IF((Census!$F55+L$5)&gt;=Assumptions!$B$11,1,0))*MIN(15/26*Census!$D55*(1+Assumptions!$B$9)^L$5*(INT((Census!$F55+L$5))+IF((Census!$F55+L$5)-INT((Census!$F55+L$5))&gt;0.5,1,0)),Assumptions!$B$10))</f>
        <v>27771.263647505755</v>
      </c>
      <c r="M55" s="30">
        <f>IF(M$5&gt;$B55,0,INDEX(Decrements!$G$6:$G$58,Census!$G55+M$5-18)/INDEX(Decrements!$G$6:$G$58,Census!$G55-17)*(INDEX(Decrements!$D$6:$D$58,Census!$G55+M$5-18)+IF(M$5=$B55,INDEX(Decrements!$F$6:$F$58,Census!$G55+M$5-18),0)+INDEX(Decrements!$E$6:$E$58,Census!$G55+M$5-18)*IF((Census!$F55+M$5)&gt;=Assumptions!$B$11,1,0))*MIN(15/26*Census!$D55*(1+Assumptions!$B$9)^M$5*(INT((Census!$F55+M$5))+IF((Census!$F55+M$5)-INT((Census!$F55+M$5))&gt;0.5,1,0)),Assumptions!$B$10))</f>
        <v>30183.953837140431</v>
      </c>
      <c r="N55" s="30">
        <f>IF(N$5&gt;$B55,0,INDEX(Decrements!$G$6:$G$58,Census!$G55+N$5-18)/INDEX(Decrements!$G$6:$G$58,Census!$G55-17)*(INDEX(Decrements!$D$6:$D$58,Census!$G55+N$5-18)+IF(N$5=$B55,INDEX(Decrements!$F$6:$F$58,Census!$G55+N$5-18),0)+INDEX(Decrements!$E$6:$E$58,Census!$G55+N$5-18)*IF((Census!$F55+N$5)&gt;=Assumptions!$B$11,1,0))*MIN(15/26*Census!$D55*(1+Assumptions!$B$9)^N$5*(INT((Census!$F55+N$5))+IF((Census!$F55+N$5)-INT((Census!$F55+N$5))&gt;0.5,1,0)),Assumptions!$B$10))</f>
        <v>32707.736683721032</v>
      </c>
      <c r="O55" s="30">
        <f>IF(O$5&gt;$B55,0,INDEX(Decrements!$G$6:$G$58,Census!$G55+O$5-18)/INDEX(Decrements!$G$6:$G$58,Census!$G55-17)*(INDEX(Decrements!$D$6:$D$58,Census!$G55+O$5-18)+IF(O$5=$B55,INDEX(Decrements!$F$6:$F$58,Census!$G55+O$5-18),0)+INDEX(Decrements!$E$6:$E$58,Census!$G55+O$5-18)*IF((Census!$F55+O$5)&gt;=Assumptions!$B$11,1,0))*MIN(15/26*Census!$D55*(1+Assumptions!$B$9)^O$5*(INT((Census!$F55+O$5))+IF((Census!$F55+O$5)-INT((Census!$F55+O$5))&gt;0.5,1,0)),Assumptions!$B$10))</f>
        <v>35347.585846268455</v>
      </c>
      <c r="P55" s="30">
        <f>IF(P$5&gt;$B55,0,INDEX(Decrements!$G$6:$G$58,Census!$G55+P$5-18)/INDEX(Decrements!$G$6:$G$58,Census!$G55-17)*(INDEX(Decrements!$D$6:$D$58,Census!$G55+P$5-18)+IF(P$5=$B55,INDEX(Decrements!$F$6:$F$58,Census!$G55+P$5-18),0)+INDEX(Decrements!$E$6:$E$58,Census!$G55+P$5-18)*IF((Census!$F55+P$5)&gt;=Assumptions!$B$11,1,0))*MIN(15/26*Census!$D55*(1+Assumptions!$B$9)^P$5*(INT((Census!$F55+P$5))+IF((Census!$F55+P$5)-INT((Census!$F55+P$5))&gt;0.5,1,0)),Assumptions!$B$10))</f>
        <v>22550.715686535121</v>
      </c>
      <c r="Q55" s="30">
        <f>IF(Q$5&gt;$B55,0,INDEX(Decrements!$G$6:$G$58,Census!$G55+Q$5-18)/INDEX(Decrements!$G$6:$G$58,Census!$G55-17)*(INDEX(Decrements!$D$6:$D$58,Census!$G55+Q$5-18)+IF(Q$5=$B55,INDEX(Decrements!$F$6:$F$58,Census!$G55+Q$5-18),0)+INDEX(Decrements!$E$6:$E$58,Census!$G55+Q$5-18)*IF((Census!$F55+Q$5)&gt;=Assumptions!$B$11,1,0))*MIN(15/26*Census!$D55*(1+Assumptions!$B$9)^Q$5*(INT((Census!$F55+Q$5))+IF((Census!$F55+Q$5)-INT((Census!$F55+Q$5))&gt;0.5,1,0)),Assumptions!$B$10))</f>
        <v>21933.45998360432</v>
      </c>
      <c r="R55" s="30">
        <f>IF(R$5&gt;$B55,0,INDEX(Decrements!$G$6:$G$58,Census!$G55+R$5-18)/INDEX(Decrements!$G$6:$G$58,Census!$G55-17)*(INDEX(Decrements!$D$6:$D$58,Census!$G55+R$5-18)+IF(R$5=$B55,INDEX(Decrements!$F$6:$F$58,Census!$G55+R$5-18),0)+INDEX(Decrements!$E$6:$E$58,Census!$G55+R$5-18)*IF((Census!$F55+R$5)&gt;=Assumptions!$B$11,1,0))*MIN(15/26*Census!$D55*(1+Assumptions!$B$9)^R$5*(INT((Census!$F55+R$5))+IF((Census!$F55+R$5)-INT((Census!$F55+R$5))&gt;0.5,1,0)),Assumptions!$B$10))</f>
        <v>21339.181945306518</v>
      </c>
      <c r="S55" s="30">
        <f>IF(S$5&gt;$B55,0,INDEX(Decrements!$G$6:$G$58,Census!$G55+S$5-18)/INDEX(Decrements!$G$6:$G$58,Census!$G55-17)*(INDEX(Decrements!$D$6:$D$58,Census!$G55+S$5-18)+IF(S$5=$B55,INDEX(Decrements!$F$6:$F$58,Census!$G55+S$5-18),0)+INDEX(Decrements!$E$6:$E$58,Census!$G55+S$5-18)*IF((Census!$F55+S$5)&gt;=Assumptions!$B$11,1,0))*MIN(15/26*Census!$D55*(1+Assumptions!$B$9)^S$5*(INT((Census!$F55+S$5))+IF((Census!$F55+S$5)-INT((Census!$F55+S$5))&gt;0.5,1,0)),Assumptions!$B$10))</f>
        <v>20767.412084971365</v>
      </c>
      <c r="T55" s="30">
        <f>IF(T$5&gt;$B55,0,INDEX(Decrements!$G$6:$G$58,Census!$G55+T$5-18)/INDEX(Decrements!$G$6:$G$58,Census!$G55-17)*(INDEX(Decrements!$D$6:$D$58,Census!$G55+T$5-18)+IF(T$5=$B55,INDEX(Decrements!$F$6:$F$58,Census!$G55+T$5-18),0)+INDEX(Decrements!$E$6:$E$58,Census!$G55+T$5-18)*IF((Census!$F55+T$5)&gt;=Assumptions!$B$11,1,0))*MIN(15/26*Census!$D55*(1+Assumptions!$B$9)^T$5*(INT((Census!$F55+T$5))+IF((Census!$F55+T$5)-INT((Census!$F55+T$5))&gt;0.5,1,0)),Assumptions!$B$10))</f>
        <v>20217.701659826253</v>
      </c>
      <c r="U55" s="30">
        <f>IF(U$5&gt;$B55,0,INDEX(Decrements!$G$6:$G$58,Census!$G55+U$5-18)/INDEX(Decrements!$G$6:$G$58,Census!$G55-17)*(INDEX(Decrements!$D$6:$D$58,Census!$G55+U$5-18)+IF(U$5=$B55,INDEX(Decrements!$F$6:$F$58,Census!$G55+U$5-18),0)+INDEX(Decrements!$E$6:$E$58,Census!$G55+U$5-18)*IF((Census!$F55+U$5)&gt;=Assumptions!$B$11,1,0))*MIN(15/26*Census!$D55*(1+Assumptions!$B$9)^U$5*(INT((Census!$F55+U$5))+IF((Census!$F55+U$5)-INT((Census!$F55+U$5))&gt;0.5,1,0)),Assumptions!$B$10))</f>
        <v>13699.006311373214</v>
      </c>
      <c r="V55" s="30">
        <f>IF(V$5&gt;$B55,0,INDEX(Decrements!$G$6:$G$58,Census!$G55+V$5-18)/INDEX(Decrements!$G$6:$G$58,Census!$G55-17)*(INDEX(Decrements!$D$6:$D$58,Census!$G55+V$5-18)+IF(V$5=$B55,INDEX(Decrements!$F$6:$F$58,Census!$G55+V$5-18),0)+INDEX(Decrements!$E$6:$E$58,Census!$G55+V$5-18)*IF((Census!$F55+V$5)&gt;=Assumptions!$B$11,1,0))*MIN(15/26*Census!$D55*(1+Assumptions!$B$9)^V$5*(INT((Census!$F55+V$5))+IF((Census!$F55+V$5)-INT((Census!$F55+V$5))&gt;0.5,1,0)),Assumptions!$B$10))</f>
        <v>13527.943738582888</v>
      </c>
      <c r="W55" s="30">
        <f>IF(W$5&gt;$B55,0,INDEX(Decrements!$G$6:$G$58,Census!$G55+W$5-18)/INDEX(Decrements!$G$6:$G$58,Census!$G55-17)*(INDEX(Decrements!$D$6:$D$58,Census!$G55+W$5-18)+IF(W$5=$B55,INDEX(Decrements!$F$6:$F$58,Census!$G55+W$5-18),0)+INDEX(Decrements!$E$6:$E$58,Census!$G55+W$5-18)*IF((Census!$F55+W$5)&gt;=Assumptions!$B$11,1,0))*MIN(15/26*Census!$D55*(1+Assumptions!$B$9)^W$5*(INT((Census!$F55+W$5))+IF((Census!$F55+W$5)-INT((Census!$F55+W$5))&gt;0.5,1,0)),Assumptions!$B$10))</f>
        <v>13368.035154970408</v>
      </c>
      <c r="X55" s="30">
        <f>IF(X$5&gt;$B55,0,INDEX(Decrements!$G$6:$G$58,Census!$G55+X$5-18)/INDEX(Decrements!$G$6:$G$58,Census!$G55-17)*(INDEX(Decrements!$D$6:$D$58,Census!$G55+X$5-18)+IF(X$5=$B55,INDEX(Decrements!$F$6:$F$58,Census!$G55+X$5-18),0)+INDEX(Decrements!$E$6:$E$58,Census!$G55+X$5-18)*IF((Census!$F55+X$5)&gt;=Assumptions!$B$11,1,0))*MIN(15/26*Census!$D55*(1+Assumptions!$B$9)^X$5*(INT((Census!$F55+X$5))+IF((Census!$F55+X$5)-INT((Census!$F55+X$5))&gt;0.5,1,0)),Assumptions!$B$10))</f>
        <v>13219.515597089739</v>
      </c>
      <c r="Y55" s="30">
        <f>IF(Y$5&gt;$B55,0,INDEX(Decrements!$G$6:$G$58,Census!$G55+Y$5-18)/INDEX(Decrements!$G$6:$G$58,Census!$G55-17)*(INDEX(Decrements!$D$6:$D$58,Census!$G55+Y$5-18)+IF(Y$5=$B55,INDEX(Decrements!$F$6:$F$58,Census!$G55+Y$5-18),0)+INDEX(Decrements!$E$6:$E$58,Census!$G55+Y$5-18)*IF((Census!$F55+Y$5)&gt;=Assumptions!$B$11,1,0))*MIN(15/26*Census!$D55*(1+Assumptions!$B$9)^Y$5*(INT((Census!$F55+Y$5))+IF((Census!$F55+Y$5)-INT((Census!$F55+Y$5))&gt;0.5,1,0)),Assumptions!$B$10))</f>
        <v>13082.627857677857</v>
      </c>
      <c r="Z55" s="30">
        <f>IF(Z$5&gt;$B55,0,INDEX(Decrements!$G$6:$G$58,Census!$G55+Z$5-18)/INDEX(Decrements!$G$6:$G$58,Census!$G55-17)*(INDEX(Decrements!$D$6:$D$58,Census!$G55+Z$5-18)+IF(Z$5=$B55,INDEX(Decrements!$F$6:$F$58,Census!$G55+Z$5-18),0)+INDEX(Decrements!$E$6:$E$58,Census!$G55+Z$5-18)*IF((Census!$F55+Z$5)&gt;=Assumptions!$B$11,1,0))*MIN(15/26*Census!$D55*(1+Assumptions!$B$9)^Z$5*(INT((Census!$F55+Z$5))+IF((Census!$F55+Z$5)-INT((Census!$F55+Z$5))&gt;0.5,1,0)),Assumptions!$B$10))</f>
        <v>7642.0631822858595</v>
      </c>
      <c r="AA55" s="30">
        <f>IF(AA$5&gt;$B55,0,INDEX(Decrements!$G$6:$G$58,Census!$G55+AA$5-18)/INDEX(Decrements!$G$6:$G$58,Census!$G55-17)*(INDEX(Decrements!$D$6:$D$58,Census!$G55+AA$5-18)+IF(AA$5=$B55,INDEX(Decrements!$F$6:$F$58,Census!$G55+AA$5-18),0)+INDEX(Decrements!$E$6:$E$58,Census!$G55+AA$5-18)*IF((Census!$F55+AA$5)&gt;=Assumptions!$B$11,1,0))*MIN(15/26*Census!$D55*(1+Assumptions!$B$9)^AA$5*(INT((Census!$F55+AA$5))+IF((Census!$F55+AA$5)-INT((Census!$F55+AA$5))&gt;0.5,1,0)),Assumptions!$B$10))</f>
        <v>7738.416437906526</v>
      </c>
      <c r="AB55" s="30">
        <f>IF(AB$5&gt;$B55,0,INDEX(Decrements!$G$6:$G$58,Census!$G55+AB$5-18)/INDEX(Decrements!$G$6:$G$58,Census!$G55-17)*(INDEX(Decrements!$D$6:$D$58,Census!$G55+AB$5-18)+IF(AB$5=$B55,INDEX(Decrements!$F$6:$F$58,Census!$G55+AB$5-18),0)+INDEX(Decrements!$E$6:$E$58,Census!$G55+AB$5-18)*IF((Census!$F55+AB$5)&gt;=Assumptions!$B$11,1,0))*MIN(15/26*Census!$D55*(1+Assumptions!$B$9)^AB$5*(INT((Census!$F55+AB$5))+IF((Census!$F55+AB$5)-INT((Census!$F55+AB$5))&gt;0.5,1,0)),Assumptions!$B$10))</f>
        <v>7847.5184050412518</v>
      </c>
      <c r="AC55" s="30">
        <f>IF(AC$5&gt;$B55,0,INDEX(Decrements!$G$6:$G$58,Census!$G55+AC$5-18)/INDEX(Decrements!$G$6:$G$58,Census!$G55-17)*(INDEX(Decrements!$D$6:$D$58,Census!$G55+AC$5-18)+IF(AC$5=$B55,INDEX(Decrements!$F$6:$F$58,Census!$G55+AC$5-18),0)+INDEX(Decrements!$E$6:$E$58,Census!$G55+AC$5-18)*IF((Census!$F55+AC$5)&gt;=Assumptions!$B$11,1,0))*MIN(15/26*Census!$D55*(1+Assumptions!$B$9)^AC$5*(INT((Census!$F55+AC$5))+IF((Census!$F55+AC$5)-INT((Census!$F55+AC$5))&gt;0.5,1,0)),Assumptions!$B$10))</f>
        <v>7970.1105969586306</v>
      </c>
      <c r="AD55" s="30">
        <f>IF(AD$5&gt;$B55,0,INDEX(Decrements!$G$6:$G$58,Census!$G55+AD$5-18)/INDEX(Decrements!$G$6:$G$58,Census!$G55-17)*(INDEX(Decrements!$D$6:$D$58,Census!$G55+AD$5-18)+IF(AD$5=$B55,INDEX(Decrements!$F$6:$F$58,Census!$G55+AD$5-18),0)+INDEX(Decrements!$E$6:$E$58,Census!$G55+AD$5-18)*IF((Census!$F55+AD$5)&gt;=Assumptions!$B$11,1,0))*MIN(15/26*Census!$D55*(1+Assumptions!$B$9)^AD$5*(INT((Census!$F55+AD$5))+IF((Census!$F55+AD$5)-INT((Census!$F55+AD$5))&gt;0.5,1,0)),Assumptions!$B$10))</f>
        <v>502684.01240992476</v>
      </c>
      <c r="AE55" s="30">
        <f>IF(AE$5&gt;$B55,0,INDEX(Decrements!$G$6:$G$58,Census!$G55+AE$5-18)/INDEX(Decrements!$G$6:$G$58,Census!$G55-17)*(INDEX(Decrements!$D$6:$D$58,Census!$G55+AE$5-18)+IF(AE$5=$B55,INDEX(Decrements!$F$6:$F$58,Census!$G55+AE$5-18),0)+INDEX(Decrements!$E$6:$E$58,Census!$G55+AE$5-18)*IF((Census!$F55+AE$5)&gt;=Assumptions!$B$11,1,0))*MIN(15/26*Census!$D55*(1+Assumptions!$B$9)^AE$5*(INT((Census!$F55+AE$5))+IF((Census!$F55+AE$5)-INT((Census!$F55+AE$5))&gt;0.5,1,0)),Assumptions!$B$10))</f>
        <v>0</v>
      </c>
      <c r="AF55" s="30">
        <f>IF(AF$5&gt;$B55,0,INDEX(Decrements!$G$6:$G$58,Census!$G55+AF$5-18)/INDEX(Decrements!$G$6:$G$58,Census!$G55-17)*(INDEX(Decrements!$D$6:$D$58,Census!$G55+AF$5-18)+IF(AF$5=$B55,INDEX(Decrements!$F$6:$F$58,Census!$G55+AF$5-18),0)+INDEX(Decrements!$E$6:$E$58,Census!$G55+AF$5-18)*IF((Census!$F55+AF$5)&gt;=Assumptions!$B$11,1,0))*MIN(15/26*Census!$D55*(1+Assumptions!$B$9)^AF$5*(INT((Census!$F55+AF$5))+IF((Census!$F55+AF$5)-INT((Census!$F55+AF$5))&gt;0.5,1,0)),Assumptions!$B$10))</f>
        <v>0</v>
      </c>
      <c r="AG55" s="30">
        <f>IF(AG$5&gt;$B55,0,INDEX(Decrements!$G$6:$G$58,Census!$G55+AG$5-18)/INDEX(Decrements!$G$6:$G$58,Census!$G55-17)*(INDEX(Decrements!$D$6:$D$58,Census!$G55+AG$5-18)+IF(AG$5=$B55,INDEX(Decrements!$F$6:$F$58,Census!$G55+AG$5-18),0)+INDEX(Decrements!$E$6:$E$58,Census!$G55+AG$5-18)*IF((Census!$F55+AG$5)&gt;=Assumptions!$B$11,1,0))*MIN(15/26*Census!$D55*(1+Assumptions!$B$9)^AG$5*(INT((Census!$F55+AG$5))+IF((Census!$F55+AG$5)-INT((Census!$F55+AG$5))&gt;0.5,1,0)),Assumptions!$B$10))</f>
        <v>0</v>
      </c>
      <c r="AH55" s="30">
        <f>IF(AH$5&gt;$B55,0,INDEX(Decrements!$G$6:$G$58,Census!$G55+AH$5-18)/INDEX(Decrements!$G$6:$G$58,Census!$G55-17)*(INDEX(Decrements!$D$6:$D$58,Census!$G55+AH$5-18)+IF(AH$5=$B55,INDEX(Decrements!$F$6:$F$58,Census!$G55+AH$5-18),0)+INDEX(Decrements!$E$6:$E$58,Census!$G55+AH$5-18)*IF((Census!$F55+AH$5)&gt;=Assumptions!$B$11,1,0))*MIN(15/26*Census!$D55*(1+Assumptions!$B$9)^AH$5*(INT((Census!$F55+AH$5))+IF((Census!$F55+AH$5)-INT((Census!$F55+AH$5))&gt;0.5,1,0)),Assumptions!$B$10))</f>
        <v>0</v>
      </c>
      <c r="AI55" s="30">
        <f>IF(AI$5&gt;$B55,0,INDEX(Decrements!$G$6:$G$58,Census!$G55+AI$5-18)/INDEX(Decrements!$G$6:$G$58,Census!$G55-17)*(INDEX(Decrements!$D$6:$D$58,Census!$G55+AI$5-18)+IF(AI$5=$B55,INDEX(Decrements!$F$6:$F$58,Census!$G55+AI$5-18),0)+INDEX(Decrements!$E$6:$E$58,Census!$G55+AI$5-18)*IF((Census!$F55+AI$5)&gt;=Assumptions!$B$11,1,0))*MIN(15/26*Census!$D55*(1+Assumptions!$B$9)^AI$5*(INT((Census!$F55+AI$5))+IF((Census!$F55+AI$5)-INT((Census!$F55+AI$5))&gt;0.5,1,0)),Assumptions!$B$10))</f>
        <v>0</v>
      </c>
      <c r="AJ55" s="30">
        <f>IF(AJ$5&gt;$B55,0,INDEX(Decrements!$G$6:$G$58,Census!$G55+AJ$5-18)/INDEX(Decrements!$G$6:$G$58,Census!$G55-17)*(INDEX(Decrements!$D$6:$D$58,Census!$G55+AJ$5-18)+IF(AJ$5=$B55,INDEX(Decrements!$F$6:$F$58,Census!$G55+AJ$5-18),0)+INDEX(Decrements!$E$6:$E$58,Census!$G55+AJ$5-18)*IF((Census!$F55+AJ$5)&gt;=Assumptions!$B$11,1,0))*MIN(15/26*Census!$D55*(1+Assumptions!$B$9)^AJ$5*(INT((Census!$F55+AJ$5))+IF((Census!$F55+AJ$5)-INT((Census!$F55+AJ$5))&gt;0.5,1,0)),Assumptions!$B$10))</f>
        <v>0</v>
      </c>
      <c r="AK55" s="30">
        <f>IF(AK$5&gt;$B55,0,INDEX(Decrements!$G$6:$G$58,Census!$G55+AK$5-18)/INDEX(Decrements!$G$6:$G$58,Census!$G55-17)*(INDEX(Decrements!$D$6:$D$58,Census!$G55+AK$5-18)+IF(AK$5=$B55,INDEX(Decrements!$F$6:$F$58,Census!$G55+AK$5-18),0)+INDEX(Decrements!$E$6:$E$58,Census!$G55+AK$5-18)*IF((Census!$F55+AK$5)&gt;=Assumptions!$B$11,1,0))*MIN(15/26*Census!$D55*(1+Assumptions!$B$9)^AK$5*(INT((Census!$F55+AK$5))+IF((Census!$F55+AK$5)-INT((Census!$F55+AK$5))&gt;0.5,1,0)),Assumptions!$B$10))</f>
        <v>0</v>
      </c>
      <c r="AL55" s="30">
        <f>IF(AL$5&gt;$B55,0,INDEX(Decrements!$G$6:$G$58,Census!$G55+AL$5-18)/INDEX(Decrements!$G$6:$G$58,Census!$G55-17)*(INDEX(Decrements!$D$6:$D$58,Census!$G55+AL$5-18)+IF(AL$5=$B55,INDEX(Decrements!$F$6:$F$58,Census!$G55+AL$5-18),0)+INDEX(Decrements!$E$6:$E$58,Census!$G55+AL$5-18)*IF((Census!$F55+AL$5)&gt;=Assumptions!$B$11,1,0))*MIN(15/26*Census!$D55*(1+Assumptions!$B$9)^AL$5*(INT((Census!$F55+AL$5))+IF((Census!$F55+AL$5)-INT((Census!$F55+AL$5))&gt;0.5,1,0)),Assumptions!$B$10))</f>
        <v>0</v>
      </c>
      <c r="AM55" s="30">
        <f>IF(AM$5&gt;$B55,0,INDEX(Decrements!$G$6:$G$58,Census!$G55+AM$5-18)/INDEX(Decrements!$G$6:$G$58,Census!$G55-17)*(INDEX(Decrements!$D$6:$D$58,Census!$G55+AM$5-18)+IF(AM$5=$B55,INDEX(Decrements!$F$6:$F$58,Census!$G55+AM$5-18),0)+INDEX(Decrements!$E$6:$E$58,Census!$G55+AM$5-18)*IF((Census!$F55+AM$5)&gt;=Assumptions!$B$11,1,0))*MIN(15/26*Census!$D55*(1+Assumptions!$B$9)^AM$5*(INT((Census!$F55+AM$5))+IF((Census!$F55+AM$5)-INT((Census!$F55+AM$5))&gt;0.5,1,0)),Assumptions!$B$10))</f>
        <v>0</v>
      </c>
      <c r="AN55" s="30">
        <f>IF(AN$5&gt;$B55,0,INDEX(Decrements!$G$6:$G$58,Census!$G55+AN$5-18)/INDEX(Decrements!$G$6:$G$58,Census!$G55-17)*(INDEX(Decrements!$D$6:$D$58,Census!$G55+AN$5-18)+IF(AN$5=$B55,INDEX(Decrements!$F$6:$F$58,Census!$G55+AN$5-18),0)+INDEX(Decrements!$E$6:$E$58,Census!$G55+AN$5-18)*IF((Census!$F55+AN$5)&gt;=Assumptions!$B$11,1,0))*MIN(15/26*Census!$D55*(1+Assumptions!$B$9)^AN$5*(INT((Census!$F55+AN$5))+IF((Census!$F55+AN$5)-INT((Census!$F55+AN$5))&gt;0.5,1,0)),Assumptions!$B$10))</f>
        <v>0</v>
      </c>
      <c r="AO55" s="30">
        <f>IF(AO$5&gt;$B55,0,INDEX(Decrements!$G$6:$G$58,Census!$G55+AO$5-18)/INDEX(Decrements!$G$6:$G$58,Census!$G55-17)*(INDEX(Decrements!$D$6:$D$58,Census!$G55+AO$5-18)+IF(AO$5=$B55,INDEX(Decrements!$F$6:$F$58,Census!$G55+AO$5-18),0)+INDEX(Decrements!$E$6:$E$58,Census!$G55+AO$5-18)*IF((Census!$F55+AO$5)&gt;=Assumptions!$B$11,1,0))*MIN(15/26*Census!$D55*(1+Assumptions!$B$9)^AO$5*(INT((Census!$F55+AO$5))+IF((Census!$F55+AO$5)-INT((Census!$F55+AO$5))&gt;0.5,1,0)),Assumptions!$B$10))</f>
        <v>0</v>
      </c>
      <c r="AP55" s="30">
        <f>IF(AP$5&gt;$B55,0,INDEX(Decrements!$G$6:$G$58,Census!$G55+AP$5-18)/INDEX(Decrements!$G$6:$G$58,Census!$G55-17)*(INDEX(Decrements!$D$6:$D$58,Census!$G55+AP$5-18)+IF(AP$5=$B55,INDEX(Decrements!$F$6:$F$58,Census!$G55+AP$5-18),0)+INDEX(Decrements!$E$6:$E$58,Census!$G55+AP$5-18)*IF((Census!$F55+AP$5)&gt;=Assumptions!$B$11,1,0))*MIN(15/26*Census!$D55*(1+Assumptions!$B$9)^AP$5*(INT((Census!$F55+AP$5))+IF((Census!$F55+AP$5)-INT((Census!$F55+AP$5))&gt;0.5,1,0)),Assumptions!$B$10))</f>
        <v>0</v>
      </c>
      <c r="AQ55" s="30">
        <f>IF(AQ$5&gt;$B55,0,INDEX(Decrements!$G$6:$G$58,Census!$G55+AQ$5-18)/INDEX(Decrements!$G$6:$G$58,Census!$G55-17)*(INDEX(Decrements!$D$6:$D$58,Census!$G55+AQ$5-18)+IF(AQ$5=$B55,INDEX(Decrements!$F$6:$F$58,Census!$G55+AQ$5-18),0)+INDEX(Decrements!$E$6:$E$58,Census!$G55+AQ$5-18)*IF((Census!$F55+AQ$5)&gt;=Assumptions!$B$11,1,0))*MIN(15/26*Census!$D55*(1+Assumptions!$B$9)^AQ$5*(INT((Census!$F55+AQ$5))+IF((Census!$F55+AQ$5)-INT((Census!$F55+AQ$5))&gt;0.5,1,0)),Assumptions!$B$10))</f>
        <v>0</v>
      </c>
      <c r="AR55" s="30">
        <f>IF(AR$5&gt;$B55,0,INDEX(Decrements!$G$6:$G$58,Census!$G55+AR$5-18)/INDEX(Decrements!$G$6:$G$58,Census!$G55-17)*(INDEX(Decrements!$D$6:$D$58,Census!$G55+AR$5-18)+IF(AR$5=$B55,INDEX(Decrements!$F$6:$F$58,Census!$G55+AR$5-18),0)+INDEX(Decrements!$E$6:$E$58,Census!$G55+AR$5-18)*IF((Census!$F55+AR$5)&gt;=Assumptions!$B$11,1,0))*MIN(15/26*Census!$D55*(1+Assumptions!$B$9)^AR$5*(INT((Census!$F55+AR$5))+IF((Census!$F55+AR$5)-INT((Census!$F55+AR$5))&gt;0.5,1,0)),Assumptions!$B$10))</f>
        <v>0</v>
      </c>
      <c r="AS55" s="30">
        <f>IF(AS$5&gt;$B55,0,INDEX(Decrements!$G$6:$G$58,Census!$G55+AS$5-18)/INDEX(Decrements!$G$6:$G$58,Census!$G55-17)*(INDEX(Decrements!$D$6:$D$58,Census!$G55+AS$5-18)+IF(AS$5=$B55,INDEX(Decrements!$F$6:$F$58,Census!$G55+AS$5-18),0)+INDEX(Decrements!$E$6:$E$58,Census!$G55+AS$5-18)*IF((Census!$F55+AS$5)&gt;=Assumptions!$B$11,1,0))*MIN(15/26*Census!$D55*(1+Assumptions!$B$9)^AS$5*(INT((Census!$F55+AS$5))+IF((Census!$F55+AS$5)-INT((Census!$F55+AS$5))&gt;0.5,1,0)),Assumptions!$B$10))</f>
        <v>0</v>
      </c>
      <c r="AT55" s="30">
        <f>IF(AT$5&gt;$B55,0,INDEX(Decrements!$G$6:$G$58,Census!$G55+AT$5-18)/INDEX(Decrements!$G$6:$G$58,Census!$G55-17)*(INDEX(Decrements!$D$6:$D$58,Census!$G55+AT$5-18)+IF(AT$5=$B55,INDEX(Decrements!$F$6:$F$58,Census!$G55+AT$5-18),0)+INDEX(Decrements!$E$6:$E$58,Census!$G55+AT$5-18)*IF((Census!$F55+AT$5)&gt;=Assumptions!$B$11,1,0))*MIN(15/26*Census!$D55*(1+Assumptions!$B$9)^AT$5*(INT((Census!$F55+AT$5))+IF((Census!$F55+AT$5)-INT((Census!$F55+AT$5))&gt;0.5,1,0)),Assumptions!$B$10))</f>
        <v>0</v>
      </c>
      <c r="AU55" s="30">
        <f>IF(AU$5&gt;$B55,0,INDEX(Decrements!$G$6:$G$58,Census!$G55+AU$5-18)/INDEX(Decrements!$G$6:$G$58,Census!$G55-17)*(INDEX(Decrements!$D$6:$D$58,Census!$G55+AU$5-18)+IF(AU$5=$B55,INDEX(Decrements!$F$6:$F$58,Census!$G55+AU$5-18),0)+INDEX(Decrements!$E$6:$E$58,Census!$G55+AU$5-18)*IF((Census!$F55+AU$5)&gt;=Assumptions!$B$11,1,0))*MIN(15/26*Census!$D55*(1+Assumptions!$B$9)^AU$5*(INT((Census!$F55+AU$5))+IF((Census!$F55+AU$5)-INT((Census!$F55+AU$5))&gt;0.5,1,0)),Assumptions!$B$10))</f>
        <v>0</v>
      </c>
    </row>
    <row r="56" spans="1:47" x14ac:dyDescent="0.3">
      <c r="A56" s="10" t="str">
        <f>Census!A56</f>
        <v>E051</v>
      </c>
      <c r="B56" s="29">
        <f>Census!H56</f>
        <v>30</v>
      </c>
      <c r="C56" s="30">
        <f>IF(C$5&gt;$B56,0,INDEX(Decrements!$G$6:$G$58,Census!$G56+C$5-18)/INDEX(Decrements!$G$6:$G$58,Census!$G56-17)*(INDEX(Decrements!$D$6:$D$58,Census!$G56+C$5-18)+IF(C$5=$B56,INDEX(Decrements!$F$6:$F$58,Census!$G56+C$5-18),0)+INDEX(Decrements!$E$6:$E$58,Census!$G56+C$5-18)*IF((Census!$F56+C$5)&gt;=Assumptions!$B$11,1,0))*MIN(15/26*Census!$D56*(1+Assumptions!$B$9)^C$5*(INT((Census!$F56+C$5))+IF((Census!$F56+C$5)-INT((Census!$F56+C$5))&gt;0.5,1,0)),Assumptions!$B$10))</f>
        <v>52.896236752450996</v>
      </c>
      <c r="D56" s="30">
        <f>IF(D$5&gt;$B56,0,INDEX(Decrements!$G$6:$G$58,Census!$G56+D$5-18)/INDEX(Decrements!$G$6:$G$58,Census!$G56-17)*(INDEX(Decrements!$D$6:$D$58,Census!$G56+D$5-18)+IF(D$5=$B56,INDEX(Decrements!$F$6:$F$58,Census!$G56+D$5-18),0)+INDEX(Decrements!$E$6:$E$58,Census!$G56+D$5-18)*IF((Census!$F56+D$5)&gt;=Assumptions!$B$11,1,0))*MIN(15/26*Census!$D56*(1+Assumptions!$B$9)^D$5*(INT((Census!$F56+D$5))+IF((Census!$F56+D$5)-INT((Census!$F56+D$5))&gt;0.5,1,0)),Assumptions!$B$10))</f>
        <v>70.975996654779365</v>
      </c>
      <c r="E56" s="30">
        <f>IF(E$5&gt;$B56,0,INDEX(Decrements!$G$6:$G$58,Census!$G56+E$5-18)/INDEX(Decrements!$G$6:$G$58,Census!$G56-17)*(INDEX(Decrements!$D$6:$D$58,Census!$G56+E$5-18)+IF(E$5=$B56,INDEX(Decrements!$F$6:$F$58,Census!$G56+E$5-18),0)+INDEX(Decrements!$E$6:$E$58,Census!$G56+E$5-18)*IF((Census!$F56+E$5)&gt;=Assumptions!$B$11,1,0))*MIN(15/26*Census!$D56*(1+Assumptions!$B$9)^E$5*(INT((Census!$F56+E$5))+IF((Census!$F56+E$5)-INT((Census!$F56+E$5))&gt;0.5,1,0)),Assumptions!$B$10))</f>
        <v>12444.524703667574</v>
      </c>
      <c r="F56" s="30">
        <f>IF(F$5&gt;$B56,0,INDEX(Decrements!$G$6:$G$58,Census!$G56+F$5-18)/INDEX(Decrements!$G$6:$G$58,Census!$G56-17)*(INDEX(Decrements!$D$6:$D$58,Census!$G56+F$5-18)+IF(F$5=$B56,INDEX(Decrements!$F$6:$F$58,Census!$G56+F$5-18),0)+INDEX(Decrements!$E$6:$E$58,Census!$G56+F$5-18)*IF((Census!$F56+F$5)&gt;=Assumptions!$B$11,1,0))*MIN(15/26*Census!$D56*(1+Assumptions!$B$9)^F$5*(INT((Census!$F56+F$5))+IF((Census!$F56+F$5)-INT((Census!$F56+F$5))&gt;0.5,1,0)),Assumptions!$B$10))</f>
        <v>14347.018394533425</v>
      </c>
      <c r="G56" s="30">
        <f>IF(G$5&gt;$B56,0,INDEX(Decrements!$G$6:$G$58,Census!$G56+G$5-18)/INDEX(Decrements!$G$6:$G$58,Census!$G56-17)*(INDEX(Decrements!$D$6:$D$58,Census!$G56+G$5-18)+IF(G$5=$B56,INDEX(Decrements!$F$6:$F$58,Census!$G56+G$5-18),0)+INDEX(Decrements!$E$6:$E$58,Census!$G56+G$5-18)*IF((Census!$F56+G$5)&gt;=Assumptions!$B$11,1,0))*MIN(15/26*Census!$D56*(1+Assumptions!$B$9)^G$5*(INT((Census!$F56+G$5))+IF((Census!$F56+G$5)-INT((Census!$F56+G$5))&gt;0.5,1,0)),Assumptions!$B$10))</f>
        <v>16080.7638178867</v>
      </c>
      <c r="H56" s="30">
        <f>IF(H$5&gt;$B56,0,INDEX(Decrements!$G$6:$G$58,Census!$G56+H$5-18)/INDEX(Decrements!$G$6:$G$58,Census!$G56-17)*(INDEX(Decrements!$D$6:$D$58,Census!$G56+H$5-18)+IF(H$5=$B56,INDEX(Decrements!$F$6:$F$58,Census!$G56+H$5-18),0)+INDEX(Decrements!$E$6:$E$58,Census!$G56+H$5-18)*IF((Census!$F56+H$5)&gt;=Assumptions!$B$11,1,0))*MIN(15/26*Census!$D56*(1+Assumptions!$B$9)^H$5*(INT((Census!$F56+H$5))+IF((Census!$F56+H$5)-INT((Census!$F56+H$5))&gt;0.5,1,0)),Assumptions!$B$10))</f>
        <v>12883.694287365932</v>
      </c>
      <c r="I56" s="30">
        <f>IF(I$5&gt;$B56,0,INDEX(Decrements!$G$6:$G$58,Census!$G56+I$5-18)/INDEX(Decrements!$G$6:$G$58,Census!$G56-17)*(INDEX(Decrements!$D$6:$D$58,Census!$G56+I$5-18)+IF(I$5=$B56,INDEX(Decrements!$F$6:$F$58,Census!$G56+I$5-18),0)+INDEX(Decrements!$E$6:$E$58,Census!$G56+I$5-18)*IF((Census!$F56+I$5)&gt;=Assumptions!$B$11,1,0))*MIN(15/26*Census!$D56*(1+Assumptions!$B$9)^I$5*(INT((Census!$F56+I$5))+IF((Census!$F56+I$5)-INT((Census!$F56+I$5))&gt;0.5,1,0)),Assumptions!$B$10))</f>
        <v>14396.784620684126</v>
      </c>
      <c r="J56" s="30">
        <f>IF(J$5&gt;$B56,0,INDEX(Decrements!$G$6:$G$58,Census!$G56+J$5-18)/INDEX(Decrements!$G$6:$G$58,Census!$G56-17)*(INDEX(Decrements!$D$6:$D$58,Census!$G56+J$5-18)+IF(J$5=$B56,INDEX(Decrements!$F$6:$F$58,Census!$G56+J$5-18),0)+INDEX(Decrements!$E$6:$E$58,Census!$G56+J$5-18)*IF((Census!$F56+J$5)&gt;=Assumptions!$B$11,1,0))*MIN(15/26*Census!$D56*(1+Assumptions!$B$9)^J$5*(INT((Census!$F56+J$5))+IF((Census!$F56+J$5)-INT((Census!$F56+J$5))&gt;0.5,1,0)),Assumptions!$B$10))</f>
        <v>15889.081713948321</v>
      </c>
      <c r="K56" s="30">
        <f>IF(K$5&gt;$B56,0,INDEX(Decrements!$G$6:$G$58,Census!$G56+K$5-18)/INDEX(Decrements!$G$6:$G$58,Census!$G56-17)*(INDEX(Decrements!$D$6:$D$58,Census!$G56+K$5-18)+IF(K$5=$B56,INDEX(Decrements!$F$6:$F$58,Census!$G56+K$5-18),0)+INDEX(Decrements!$E$6:$E$58,Census!$G56+K$5-18)*IF((Census!$F56+K$5)&gt;=Assumptions!$B$11,1,0))*MIN(15/26*Census!$D56*(1+Assumptions!$B$9)^K$5*(INT((Census!$F56+K$5))+IF((Census!$F56+K$5)-INT((Census!$F56+K$5))&gt;0.5,1,0)),Assumptions!$B$10))</f>
        <v>17360.841902912518</v>
      </c>
      <c r="L56" s="30">
        <f>IF(L$5&gt;$B56,0,INDEX(Decrements!$G$6:$G$58,Census!$G56+L$5-18)/INDEX(Decrements!$G$6:$G$58,Census!$G56-17)*(INDEX(Decrements!$D$6:$D$58,Census!$G56+L$5-18)+IF(L$5=$B56,INDEX(Decrements!$F$6:$F$58,Census!$G56+L$5-18),0)+INDEX(Decrements!$E$6:$E$58,Census!$G56+L$5-18)*IF((Census!$F56+L$5)&gt;=Assumptions!$B$11,1,0))*MIN(15/26*Census!$D56*(1+Assumptions!$B$9)^L$5*(INT((Census!$F56+L$5))+IF((Census!$F56+L$5)-INT((Census!$F56+L$5))&gt;0.5,1,0)),Assumptions!$B$10))</f>
        <v>18812.323053682921</v>
      </c>
      <c r="M56" s="30">
        <f>IF(M$5&gt;$B56,0,INDEX(Decrements!$G$6:$G$58,Census!$G56+M$5-18)/INDEX(Decrements!$G$6:$G$58,Census!$G56-17)*(INDEX(Decrements!$D$6:$D$58,Census!$G56+M$5-18)+IF(M$5=$B56,INDEX(Decrements!$F$6:$F$58,Census!$G56+M$5-18),0)+INDEX(Decrements!$E$6:$E$58,Census!$G56+M$5-18)*IF((Census!$F56+M$5)&gt;=Assumptions!$B$11,1,0))*MIN(15/26*Census!$D56*(1+Assumptions!$B$9)^M$5*(INT((Census!$F56+M$5))+IF((Census!$F56+M$5)-INT((Census!$F56+M$5))&gt;0.5,1,0)),Assumptions!$B$10))</f>
        <v>12778.403190230572</v>
      </c>
      <c r="N56" s="30">
        <f>IF(N$5&gt;$B56,0,INDEX(Decrements!$G$6:$G$58,Census!$G56+N$5-18)/INDEX(Decrements!$G$6:$G$58,Census!$G56-17)*(INDEX(Decrements!$D$6:$D$58,Census!$G56+N$5-18)+IF(N$5=$B56,INDEX(Decrements!$F$6:$F$58,Census!$G56+N$5-18),0)+INDEX(Decrements!$E$6:$E$58,Census!$G56+N$5-18)*IF((Census!$F56+N$5)&gt;=Assumptions!$B$11,1,0))*MIN(15/26*Census!$D56*(1+Assumptions!$B$9)^N$5*(INT((Census!$F56+N$5))+IF((Census!$F56+N$5)-INT((Census!$F56+N$5))&gt;0.5,1,0)),Assumptions!$B$10))</f>
        <v>14124.881394816821</v>
      </c>
      <c r="O56" s="30">
        <f>IF(O$5&gt;$B56,0,INDEX(Decrements!$G$6:$G$58,Census!$G56+O$5-18)/INDEX(Decrements!$G$6:$G$58,Census!$G56-17)*(INDEX(Decrements!$D$6:$D$58,Census!$G56+O$5-18)+IF(O$5=$B56,INDEX(Decrements!$F$6:$F$58,Census!$G56+O$5-18),0)+INDEX(Decrements!$E$6:$E$58,Census!$G56+O$5-18)*IF((Census!$F56+O$5)&gt;=Assumptions!$B$11,1,0))*MIN(15/26*Census!$D56*(1+Assumptions!$B$9)^O$5*(INT((Census!$F56+O$5))+IF((Census!$F56+O$5)-INT((Census!$F56+O$5))&gt;0.5,1,0)),Assumptions!$B$10))</f>
        <v>15534.773872887141</v>
      </c>
      <c r="P56" s="30">
        <f>IF(P$5&gt;$B56,0,INDEX(Decrements!$G$6:$G$58,Census!$G56+P$5-18)/INDEX(Decrements!$G$6:$G$58,Census!$G56-17)*(INDEX(Decrements!$D$6:$D$58,Census!$G56+P$5-18)+IF(P$5=$B56,INDEX(Decrements!$F$6:$F$58,Census!$G56+P$5-18),0)+INDEX(Decrements!$E$6:$E$58,Census!$G56+P$5-18)*IF((Census!$F56+P$5)&gt;=Assumptions!$B$11,1,0))*MIN(15/26*Census!$D56*(1+Assumptions!$B$9)^P$5*(INT((Census!$F56+P$5))+IF((Census!$F56+P$5)-INT((Census!$F56+P$5))&gt;0.5,1,0)),Assumptions!$B$10))</f>
        <v>17010.885779572825</v>
      </c>
      <c r="Q56" s="30">
        <f>IF(Q$5&gt;$B56,0,INDEX(Decrements!$G$6:$G$58,Census!$G56+Q$5-18)/INDEX(Decrements!$G$6:$G$58,Census!$G56-17)*(INDEX(Decrements!$D$6:$D$58,Census!$G56+Q$5-18)+IF(Q$5=$B56,INDEX(Decrements!$F$6:$F$58,Census!$G56+Q$5-18),0)+INDEX(Decrements!$E$6:$E$58,Census!$G56+Q$5-18)*IF((Census!$F56+Q$5)&gt;=Assumptions!$B$11,1,0))*MIN(15/26*Census!$D56*(1+Assumptions!$B$9)^Q$5*(INT((Census!$F56+Q$5))+IF((Census!$F56+Q$5)-INT((Census!$F56+Q$5))&gt;0.5,1,0)),Assumptions!$B$10))</f>
        <v>18556.186878557528</v>
      </c>
      <c r="R56" s="30">
        <f>IF(R$5&gt;$B56,0,INDEX(Decrements!$G$6:$G$58,Census!$G56+R$5-18)/INDEX(Decrements!$G$6:$G$58,Census!$G56-17)*(INDEX(Decrements!$D$6:$D$58,Census!$G56+R$5-18)+IF(R$5=$B56,INDEX(Decrements!$F$6:$F$58,Census!$G56+R$5-18),0)+INDEX(Decrements!$E$6:$E$58,Census!$G56+R$5-18)*IF((Census!$F56+R$5)&gt;=Assumptions!$B$11,1,0))*MIN(15/26*Census!$D56*(1+Assumptions!$B$9)^R$5*(INT((Census!$F56+R$5))+IF((Census!$F56+R$5)-INT((Census!$F56+R$5))&gt;0.5,1,0)),Assumptions!$B$10))</f>
        <v>12404.413300971615</v>
      </c>
      <c r="S56" s="30">
        <f>IF(S$5&gt;$B56,0,INDEX(Decrements!$G$6:$G$58,Census!$G56+S$5-18)/INDEX(Decrements!$G$6:$G$58,Census!$G56-17)*(INDEX(Decrements!$D$6:$D$58,Census!$G56+S$5-18)+IF(S$5=$B56,INDEX(Decrements!$F$6:$F$58,Census!$G56+S$5-18),0)+INDEX(Decrements!$E$6:$E$58,Census!$G56+S$5-18)*IF((Census!$F56+S$5)&gt;=Assumptions!$B$11,1,0))*MIN(15/26*Census!$D56*(1+Assumptions!$B$9)^S$5*(INT((Census!$F56+S$5))+IF((Census!$F56+S$5)-INT((Census!$F56+S$5))&gt;0.5,1,0)),Assumptions!$B$10))</f>
        <v>13753.964417551437</v>
      </c>
      <c r="T56" s="30">
        <f>IF(T$5&gt;$B56,0,INDEX(Decrements!$G$6:$G$58,Census!$G56+T$5-18)/INDEX(Decrements!$G$6:$G$58,Census!$G56-17)*(INDEX(Decrements!$D$6:$D$58,Census!$G56+T$5-18)+IF(T$5=$B56,INDEX(Decrements!$F$6:$F$58,Census!$G56+T$5-18),0)+INDEX(Decrements!$E$6:$E$58,Census!$G56+T$5-18)*IF((Census!$F56+T$5)&gt;=Assumptions!$B$11,1,0))*MIN(15/26*Census!$D56*(1+Assumptions!$B$9)^T$5*(INT((Census!$F56+T$5))+IF((Census!$F56+T$5)-INT((Census!$F56+T$5))&gt;0.5,1,0)),Assumptions!$B$10))</f>
        <v>15212.432576403522</v>
      </c>
      <c r="U56" s="30">
        <f>IF(U$5&gt;$B56,0,INDEX(Decrements!$G$6:$G$58,Census!$G56+U$5-18)/INDEX(Decrements!$G$6:$G$58,Census!$G56-17)*(INDEX(Decrements!$D$6:$D$58,Census!$G56+U$5-18)+IF(U$5=$B56,INDEX(Decrements!$F$6:$F$58,Census!$G56+U$5-18),0)+INDEX(Decrements!$E$6:$E$58,Census!$G56+U$5-18)*IF((Census!$F56+U$5)&gt;=Assumptions!$B$11,1,0))*MIN(15/26*Census!$D56*(1+Assumptions!$B$9)^U$5*(INT((Census!$F56+U$5))+IF((Census!$F56+U$5)-INT((Census!$F56+U$5))&gt;0.5,1,0)),Assumptions!$B$10))</f>
        <v>16424.078548851645</v>
      </c>
      <c r="V56" s="30">
        <f>IF(V$5&gt;$B56,0,INDEX(Decrements!$G$6:$G$58,Census!$G56+V$5-18)/INDEX(Decrements!$G$6:$G$58,Census!$G56-17)*(INDEX(Decrements!$D$6:$D$58,Census!$G56+V$5-18)+IF(V$5=$B56,INDEX(Decrements!$F$6:$F$58,Census!$G56+V$5-18),0)+INDEX(Decrements!$E$6:$E$58,Census!$G56+V$5-18)*IF((Census!$F56+V$5)&gt;=Assumptions!$B$11,1,0))*MIN(15/26*Census!$D56*(1+Assumptions!$B$9)^V$5*(INT((Census!$F56+V$5))+IF((Census!$F56+V$5)-INT((Census!$F56+V$5))&gt;0.5,1,0)),Assumptions!$B$10))</f>
        <v>15989.335540682634</v>
      </c>
      <c r="W56" s="30">
        <f>IF(W$5&gt;$B56,0,INDEX(Decrements!$G$6:$G$58,Census!$G56+W$5-18)/INDEX(Decrements!$G$6:$G$58,Census!$G56-17)*(INDEX(Decrements!$D$6:$D$58,Census!$G56+W$5-18)+IF(W$5=$B56,INDEX(Decrements!$F$6:$F$58,Census!$G56+W$5-18),0)+INDEX(Decrements!$E$6:$E$58,Census!$G56+W$5-18)*IF((Census!$F56+W$5)&gt;=Assumptions!$B$11,1,0))*MIN(15/26*Census!$D56*(1+Assumptions!$B$9)^W$5*(INT((Census!$F56+W$5))+IF((Census!$F56+W$5)-INT((Census!$F56+W$5))&gt;0.5,1,0)),Assumptions!$B$10))</f>
        <v>10833.971742778096</v>
      </c>
      <c r="X56" s="30">
        <f>IF(X$5&gt;$B56,0,INDEX(Decrements!$G$6:$G$58,Census!$G56+X$5-18)/INDEX(Decrements!$G$6:$G$58,Census!$G56-17)*(INDEX(Decrements!$D$6:$D$58,Census!$G56+X$5-18)+IF(X$5=$B56,INDEX(Decrements!$F$6:$F$58,Census!$G56+X$5-18),0)+INDEX(Decrements!$E$6:$E$58,Census!$G56+X$5-18)*IF((Census!$F56+X$5)&gt;=Assumptions!$B$11,1,0))*MIN(15/26*Census!$D56*(1+Assumptions!$B$9)^X$5*(INT((Census!$F56+X$5))+IF((Census!$F56+X$5)-INT((Census!$F56+X$5))&gt;0.5,1,0)),Assumptions!$B$10))</f>
        <v>10698.685501007501</v>
      </c>
      <c r="Y56" s="30">
        <f>IF(Y$5&gt;$B56,0,INDEX(Decrements!$G$6:$G$58,Census!$G56+Y$5-18)/INDEX(Decrements!$G$6:$G$58,Census!$G56-17)*(INDEX(Decrements!$D$6:$D$58,Census!$G56+Y$5-18)+IF(Y$5=$B56,INDEX(Decrements!$F$6:$F$58,Census!$G56+Y$5-18),0)+INDEX(Decrements!$E$6:$E$58,Census!$G56+Y$5-18)*IF((Census!$F56+Y$5)&gt;=Assumptions!$B$11,1,0))*MIN(15/26*Census!$D56*(1+Assumptions!$B$9)^Y$5*(INT((Census!$F56+Y$5))+IF((Census!$F56+Y$5)-INT((Census!$F56+Y$5))&gt;0.5,1,0)),Assumptions!$B$10))</f>
        <v>10572.220483260417</v>
      </c>
      <c r="Z56" s="30">
        <f>IF(Z$5&gt;$B56,0,INDEX(Decrements!$G$6:$G$58,Census!$G56+Z$5-18)/INDEX(Decrements!$G$6:$G$58,Census!$G56-17)*(INDEX(Decrements!$D$6:$D$58,Census!$G56+Z$5-18)+IF(Z$5=$B56,INDEX(Decrements!$F$6:$F$58,Census!$G56+Z$5-18),0)+INDEX(Decrements!$E$6:$E$58,Census!$G56+Z$5-18)*IF((Census!$F56+Z$5)&gt;=Assumptions!$B$11,1,0))*MIN(15/26*Census!$D56*(1+Assumptions!$B$9)^Z$5*(INT((Census!$F56+Z$5))+IF((Census!$F56+Z$5)-INT((Census!$F56+Z$5))&gt;0.5,1,0)),Assumptions!$B$10))</f>
        <v>10454.762570127461</v>
      </c>
      <c r="AA56" s="30">
        <f>IF(AA$5&gt;$B56,0,INDEX(Decrements!$G$6:$G$58,Census!$G56+AA$5-18)/INDEX(Decrements!$G$6:$G$58,Census!$G56-17)*(INDEX(Decrements!$D$6:$D$58,Census!$G56+AA$5-18)+IF(AA$5=$B56,INDEX(Decrements!$F$6:$F$58,Census!$G56+AA$5-18),0)+INDEX(Decrements!$E$6:$E$58,Census!$G56+AA$5-18)*IF((Census!$F56+AA$5)&gt;=Assumptions!$B$11,1,0))*MIN(15/26*Census!$D56*(1+Assumptions!$B$9)^AA$5*(INT((Census!$F56+AA$5))+IF((Census!$F56+AA$5)-INT((Census!$F56+AA$5))&gt;0.5,1,0)),Assumptions!$B$10))</f>
        <v>10346.503776240357</v>
      </c>
      <c r="AB56" s="30">
        <f>IF(AB$5&gt;$B56,0,INDEX(Decrements!$G$6:$G$58,Census!$G56+AB$5-18)/INDEX(Decrements!$G$6:$G$58,Census!$G56-17)*(INDEX(Decrements!$D$6:$D$58,Census!$G56+AB$5-18)+IF(AB$5=$B56,INDEX(Decrements!$F$6:$F$58,Census!$G56+AB$5-18),0)+INDEX(Decrements!$E$6:$E$58,Census!$G56+AB$5-18)*IF((Census!$F56+AB$5)&gt;=Assumptions!$B$11,1,0))*MIN(15/26*Census!$D56*(1+Assumptions!$B$9)^AB$5*(INT((Census!$F56+AB$5))+IF((Census!$F56+AB$5)-INT((Census!$F56+AB$5))&gt;0.5,1,0)),Assumptions!$B$10))</f>
        <v>6043.7884830137318</v>
      </c>
      <c r="AC56" s="30">
        <f>IF(AC$5&gt;$B56,0,INDEX(Decrements!$G$6:$G$58,Census!$G56+AC$5-18)/INDEX(Decrements!$G$6:$G$58,Census!$G56-17)*(INDEX(Decrements!$D$6:$D$58,Census!$G56+AC$5-18)+IF(AC$5=$B56,INDEX(Decrements!$F$6:$F$58,Census!$G56+AC$5-18),0)+INDEX(Decrements!$E$6:$E$58,Census!$G56+AC$5-18)*IF((Census!$F56+AC$5)&gt;=Assumptions!$B$11,1,0))*MIN(15/26*Census!$D56*(1+Assumptions!$B$9)^AC$5*(INT((Census!$F56+AC$5))+IF((Census!$F56+AC$5)-INT((Census!$F56+AC$5))&gt;0.5,1,0)),Assumptions!$B$10))</f>
        <v>6119.9902472141257</v>
      </c>
      <c r="AD56" s="30">
        <f>IF(AD$5&gt;$B56,0,INDEX(Decrements!$G$6:$G$58,Census!$G56+AD$5-18)/INDEX(Decrements!$G$6:$G$58,Census!$G56-17)*(INDEX(Decrements!$D$6:$D$58,Census!$G56+AD$5-18)+IF(AD$5=$B56,INDEX(Decrements!$F$6:$F$58,Census!$G56+AD$5-18),0)+INDEX(Decrements!$E$6:$E$58,Census!$G56+AD$5-18)*IF((Census!$F56+AD$5)&gt;=Assumptions!$B$11,1,0))*MIN(15/26*Census!$D56*(1+Assumptions!$B$9)^AD$5*(INT((Census!$F56+AD$5))+IF((Census!$F56+AD$5)-INT((Census!$F56+AD$5))&gt;0.5,1,0)),Assumptions!$B$10))</f>
        <v>6206.274434705726</v>
      </c>
      <c r="AE56" s="30">
        <f>IF(AE$5&gt;$B56,0,INDEX(Decrements!$G$6:$G$58,Census!$G56+AE$5-18)/INDEX(Decrements!$G$6:$G$58,Census!$G56-17)*(INDEX(Decrements!$D$6:$D$58,Census!$G56+AE$5-18)+IF(AE$5=$B56,INDEX(Decrements!$F$6:$F$58,Census!$G56+AE$5-18),0)+INDEX(Decrements!$E$6:$E$58,Census!$G56+AE$5-18)*IF((Census!$F56+AE$5)&gt;=Assumptions!$B$11,1,0))*MIN(15/26*Census!$D56*(1+Assumptions!$B$9)^AE$5*(INT((Census!$F56+AE$5))+IF((Census!$F56+AE$5)-INT((Census!$F56+AE$5))&gt;0.5,1,0)),Assumptions!$B$10))</f>
        <v>6303.2274773519975</v>
      </c>
      <c r="AF56" s="30">
        <f>IF(AF$5&gt;$B56,0,INDEX(Decrements!$G$6:$G$58,Census!$G56+AF$5-18)/INDEX(Decrements!$G$6:$G$58,Census!$G56-17)*(INDEX(Decrements!$D$6:$D$58,Census!$G56+AF$5-18)+IF(AF$5=$B56,INDEX(Decrements!$F$6:$F$58,Census!$G56+AF$5-18),0)+INDEX(Decrements!$E$6:$E$58,Census!$G56+AF$5-18)*IF((Census!$F56+AF$5)&gt;=Assumptions!$B$11,1,0))*MIN(15/26*Census!$D56*(1+Assumptions!$B$9)^AF$5*(INT((Census!$F56+AF$5))+IF((Census!$F56+AF$5)-INT((Census!$F56+AF$5))&gt;0.5,1,0)),Assumptions!$B$10))</f>
        <v>397551.78311539261</v>
      </c>
      <c r="AG56" s="30">
        <f>IF(AG$5&gt;$B56,0,INDEX(Decrements!$G$6:$G$58,Census!$G56+AG$5-18)/INDEX(Decrements!$G$6:$G$58,Census!$G56-17)*(INDEX(Decrements!$D$6:$D$58,Census!$G56+AG$5-18)+IF(AG$5=$B56,INDEX(Decrements!$F$6:$F$58,Census!$G56+AG$5-18),0)+INDEX(Decrements!$E$6:$E$58,Census!$G56+AG$5-18)*IF((Census!$F56+AG$5)&gt;=Assumptions!$B$11,1,0))*MIN(15/26*Census!$D56*(1+Assumptions!$B$9)^AG$5*(INT((Census!$F56+AG$5))+IF((Census!$F56+AG$5)-INT((Census!$F56+AG$5))&gt;0.5,1,0)),Assumptions!$B$10))</f>
        <v>0</v>
      </c>
      <c r="AH56" s="30">
        <f>IF(AH$5&gt;$B56,0,INDEX(Decrements!$G$6:$G$58,Census!$G56+AH$5-18)/INDEX(Decrements!$G$6:$G$58,Census!$G56-17)*(INDEX(Decrements!$D$6:$D$58,Census!$G56+AH$5-18)+IF(AH$5=$B56,INDEX(Decrements!$F$6:$F$58,Census!$G56+AH$5-18),0)+INDEX(Decrements!$E$6:$E$58,Census!$G56+AH$5-18)*IF((Census!$F56+AH$5)&gt;=Assumptions!$B$11,1,0))*MIN(15/26*Census!$D56*(1+Assumptions!$B$9)^AH$5*(INT((Census!$F56+AH$5))+IF((Census!$F56+AH$5)-INT((Census!$F56+AH$5))&gt;0.5,1,0)),Assumptions!$B$10))</f>
        <v>0</v>
      </c>
      <c r="AI56" s="30">
        <f>IF(AI$5&gt;$B56,0,INDEX(Decrements!$G$6:$G$58,Census!$G56+AI$5-18)/INDEX(Decrements!$G$6:$G$58,Census!$G56-17)*(INDEX(Decrements!$D$6:$D$58,Census!$G56+AI$5-18)+IF(AI$5=$B56,INDEX(Decrements!$F$6:$F$58,Census!$G56+AI$5-18),0)+INDEX(Decrements!$E$6:$E$58,Census!$G56+AI$5-18)*IF((Census!$F56+AI$5)&gt;=Assumptions!$B$11,1,0))*MIN(15/26*Census!$D56*(1+Assumptions!$B$9)^AI$5*(INT((Census!$F56+AI$5))+IF((Census!$F56+AI$5)-INT((Census!$F56+AI$5))&gt;0.5,1,0)),Assumptions!$B$10))</f>
        <v>0</v>
      </c>
      <c r="AJ56" s="30">
        <f>IF(AJ$5&gt;$B56,0,INDEX(Decrements!$G$6:$G$58,Census!$G56+AJ$5-18)/INDEX(Decrements!$G$6:$G$58,Census!$G56-17)*(INDEX(Decrements!$D$6:$D$58,Census!$G56+AJ$5-18)+IF(AJ$5=$B56,INDEX(Decrements!$F$6:$F$58,Census!$G56+AJ$5-18),0)+INDEX(Decrements!$E$6:$E$58,Census!$G56+AJ$5-18)*IF((Census!$F56+AJ$5)&gt;=Assumptions!$B$11,1,0))*MIN(15/26*Census!$D56*(1+Assumptions!$B$9)^AJ$5*(INT((Census!$F56+AJ$5))+IF((Census!$F56+AJ$5)-INT((Census!$F56+AJ$5))&gt;0.5,1,0)),Assumptions!$B$10))</f>
        <v>0</v>
      </c>
      <c r="AK56" s="30">
        <f>IF(AK$5&gt;$B56,0,INDEX(Decrements!$G$6:$G$58,Census!$G56+AK$5-18)/INDEX(Decrements!$G$6:$G$58,Census!$G56-17)*(INDEX(Decrements!$D$6:$D$58,Census!$G56+AK$5-18)+IF(AK$5=$B56,INDEX(Decrements!$F$6:$F$58,Census!$G56+AK$5-18),0)+INDEX(Decrements!$E$6:$E$58,Census!$G56+AK$5-18)*IF((Census!$F56+AK$5)&gt;=Assumptions!$B$11,1,0))*MIN(15/26*Census!$D56*(1+Assumptions!$B$9)^AK$5*(INT((Census!$F56+AK$5))+IF((Census!$F56+AK$5)-INT((Census!$F56+AK$5))&gt;0.5,1,0)),Assumptions!$B$10))</f>
        <v>0</v>
      </c>
      <c r="AL56" s="30">
        <f>IF(AL$5&gt;$B56,0,INDEX(Decrements!$G$6:$G$58,Census!$G56+AL$5-18)/INDEX(Decrements!$G$6:$G$58,Census!$G56-17)*(INDEX(Decrements!$D$6:$D$58,Census!$G56+AL$5-18)+IF(AL$5=$B56,INDEX(Decrements!$F$6:$F$58,Census!$G56+AL$5-18),0)+INDEX(Decrements!$E$6:$E$58,Census!$G56+AL$5-18)*IF((Census!$F56+AL$5)&gt;=Assumptions!$B$11,1,0))*MIN(15/26*Census!$D56*(1+Assumptions!$B$9)^AL$5*(INT((Census!$F56+AL$5))+IF((Census!$F56+AL$5)-INT((Census!$F56+AL$5))&gt;0.5,1,0)),Assumptions!$B$10))</f>
        <v>0</v>
      </c>
      <c r="AM56" s="30">
        <f>IF(AM$5&gt;$B56,0,INDEX(Decrements!$G$6:$G$58,Census!$G56+AM$5-18)/INDEX(Decrements!$G$6:$G$58,Census!$G56-17)*(INDEX(Decrements!$D$6:$D$58,Census!$G56+AM$5-18)+IF(AM$5=$B56,INDEX(Decrements!$F$6:$F$58,Census!$G56+AM$5-18),0)+INDEX(Decrements!$E$6:$E$58,Census!$G56+AM$5-18)*IF((Census!$F56+AM$5)&gt;=Assumptions!$B$11,1,0))*MIN(15/26*Census!$D56*(1+Assumptions!$B$9)^AM$5*(INT((Census!$F56+AM$5))+IF((Census!$F56+AM$5)-INT((Census!$F56+AM$5))&gt;0.5,1,0)),Assumptions!$B$10))</f>
        <v>0</v>
      </c>
      <c r="AN56" s="30">
        <f>IF(AN$5&gt;$B56,0,INDEX(Decrements!$G$6:$G$58,Census!$G56+AN$5-18)/INDEX(Decrements!$G$6:$G$58,Census!$G56-17)*(INDEX(Decrements!$D$6:$D$58,Census!$G56+AN$5-18)+IF(AN$5=$B56,INDEX(Decrements!$F$6:$F$58,Census!$G56+AN$5-18),0)+INDEX(Decrements!$E$6:$E$58,Census!$G56+AN$5-18)*IF((Census!$F56+AN$5)&gt;=Assumptions!$B$11,1,0))*MIN(15/26*Census!$D56*(1+Assumptions!$B$9)^AN$5*(INT((Census!$F56+AN$5))+IF((Census!$F56+AN$5)-INT((Census!$F56+AN$5))&gt;0.5,1,0)),Assumptions!$B$10))</f>
        <v>0</v>
      </c>
      <c r="AO56" s="30">
        <f>IF(AO$5&gt;$B56,0,INDEX(Decrements!$G$6:$G$58,Census!$G56+AO$5-18)/INDEX(Decrements!$G$6:$G$58,Census!$G56-17)*(INDEX(Decrements!$D$6:$D$58,Census!$G56+AO$5-18)+IF(AO$5=$B56,INDEX(Decrements!$F$6:$F$58,Census!$G56+AO$5-18),0)+INDEX(Decrements!$E$6:$E$58,Census!$G56+AO$5-18)*IF((Census!$F56+AO$5)&gt;=Assumptions!$B$11,1,0))*MIN(15/26*Census!$D56*(1+Assumptions!$B$9)^AO$5*(INT((Census!$F56+AO$5))+IF((Census!$F56+AO$5)-INT((Census!$F56+AO$5))&gt;0.5,1,0)),Assumptions!$B$10))</f>
        <v>0</v>
      </c>
      <c r="AP56" s="30">
        <f>IF(AP$5&gt;$B56,0,INDEX(Decrements!$G$6:$G$58,Census!$G56+AP$5-18)/INDEX(Decrements!$G$6:$G$58,Census!$G56-17)*(INDEX(Decrements!$D$6:$D$58,Census!$G56+AP$5-18)+IF(AP$5=$B56,INDEX(Decrements!$F$6:$F$58,Census!$G56+AP$5-18),0)+INDEX(Decrements!$E$6:$E$58,Census!$G56+AP$5-18)*IF((Census!$F56+AP$5)&gt;=Assumptions!$B$11,1,0))*MIN(15/26*Census!$D56*(1+Assumptions!$B$9)^AP$5*(INT((Census!$F56+AP$5))+IF((Census!$F56+AP$5)-INT((Census!$F56+AP$5))&gt;0.5,1,0)),Assumptions!$B$10))</f>
        <v>0</v>
      </c>
      <c r="AQ56" s="30">
        <f>IF(AQ$5&gt;$B56,0,INDEX(Decrements!$G$6:$G$58,Census!$G56+AQ$5-18)/INDEX(Decrements!$G$6:$G$58,Census!$G56-17)*(INDEX(Decrements!$D$6:$D$58,Census!$G56+AQ$5-18)+IF(AQ$5=$B56,INDEX(Decrements!$F$6:$F$58,Census!$G56+AQ$5-18),0)+INDEX(Decrements!$E$6:$E$58,Census!$G56+AQ$5-18)*IF((Census!$F56+AQ$5)&gt;=Assumptions!$B$11,1,0))*MIN(15/26*Census!$D56*(1+Assumptions!$B$9)^AQ$5*(INT((Census!$F56+AQ$5))+IF((Census!$F56+AQ$5)-INT((Census!$F56+AQ$5))&gt;0.5,1,0)),Assumptions!$B$10))</f>
        <v>0</v>
      </c>
      <c r="AR56" s="30">
        <f>IF(AR$5&gt;$B56,0,INDEX(Decrements!$G$6:$G$58,Census!$G56+AR$5-18)/INDEX(Decrements!$G$6:$G$58,Census!$G56-17)*(INDEX(Decrements!$D$6:$D$58,Census!$G56+AR$5-18)+IF(AR$5=$B56,INDEX(Decrements!$F$6:$F$58,Census!$G56+AR$5-18),0)+INDEX(Decrements!$E$6:$E$58,Census!$G56+AR$5-18)*IF((Census!$F56+AR$5)&gt;=Assumptions!$B$11,1,0))*MIN(15/26*Census!$D56*(1+Assumptions!$B$9)^AR$5*(INT((Census!$F56+AR$5))+IF((Census!$F56+AR$5)-INT((Census!$F56+AR$5))&gt;0.5,1,0)),Assumptions!$B$10))</f>
        <v>0</v>
      </c>
      <c r="AS56" s="30">
        <f>IF(AS$5&gt;$B56,0,INDEX(Decrements!$G$6:$G$58,Census!$G56+AS$5-18)/INDEX(Decrements!$G$6:$G$58,Census!$G56-17)*(INDEX(Decrements!$D$6:$D$58,Census!$G56+AS$5-18)+IF(AS$5=$B56,INDEX(Decrements!$F$6:$F$58,Census!$G56+AS$5-18),0)+INDEX(Decrements!$E$6:$E$58,Census!$G56+AS$5-18)*IF((Census!$F56+AS$5)&gt;=Assumptions!$B$11,1,0))*MIN(15/26*Census!$D56*(1+Assumptions!$B$9)^AS$5*(INT((Census!$F56+AS$5))+IF((Census!$F56+AS$5)-INT((Census!$F56+AS$5))&gt;0.5,1,0)),Assumptions!$B$10))</f>
        <v>0</v>
      </c>
      <c r="AT56" s="30">
        <f>IF(AT$5&gt;$B56,0,INDEX(Decrements!$G$6:$G$58,Census!$G56+AT$5-18)/INDEX(Decrements!$G$6:$G$58,Census!$G56-17)*(INDEX(Decrements!$D$6:$D$58,Census!$G56+AT$5-18)+IF(AT$5=$B56,INDEX(Decrements!$F$6:$F$58,Census!$G56+AT$5-18),0)+INDEX(Decrements!$E$6:$E$58,Census!$G56+AT$5-18)*IF((Census!$F56+AT$5)&gt;=Assumptions!$B$11,1,0))*MIN(15/26*Census!$D56*(1+Assumptions!$B$9)^AT$5*(INT((Census!$F56+AT$5))+IF((Census!$F56+AT$5)-INT((Census!$F56+AT$5))&gt;0.5,1,0)),Assumptions!$B$10))</f>
        <v>0</v>
      </c>
      <c r="AU56" s="30">
        <f>IF(AU$5&gt;$B56,0,INDEX(Decrements!$G$6:$G$58,Census!$G56+AU$5-18)/INDEX(Decrements!$G$6:$G$58,Census!$G56-17)*(INDEX(Decrements!$D$6:$D$58,Census!$G56+AU$5-18)+IF(AU$5=$B56,INDEX(Decrements!$F$6:$F$58,Census!$G56+AU$5-18),0)+INDEX(Decrements!$E$6:$E$58,Census!$G56+AU$5-18)*IF((Census!$F56+AU$5)&gt;=Assumptions!$B$11,1,0))*MIN(15/26*Census!$D56*(1+Assumptions!$B$9)^AU$5*(INT((Census!$F56+AU$5))+IF((Census!$F56+AU$5)-INT((Census!$F56+AU$5))&gt;0.5,1,0)),Assumptions!$B$10))</f>
        <v>0</v>
      </c>
    </row>
    <row r="57" spans="1:47" x14ac:dyDescent="0.3">
      <c r="A57" s="10" t="str">
        <f>Census!A57</f>
        <v>E052</v>
      </c>
      <c r="B57" s="29">
        <f>Census!H57</f>
        <v>33</v>
      </c>
      <c r="C57" s="30">
        <f>IF(C$5&gt;$B57,0,INDEX(Decrements!$G$6:$G$58,Census!$G57+C$5-18)/INDEX(Decrements!$G$6:$G$58,Census!$G57-17)*(INDEX(Decrements!$D$6:$D$58,Census!$G57+C$5-18)+IF(C$5=$B57,INDEX(Decrements!$F$6:$F$58,Census!$G57+C$5-18),0)+INDEX(Decrements!$E$6:$E$58,Census!$G57+C$5-18)*IF((Census!$F57+C$5)&gt;=Assumptions!$B$11,1,0))*MIN(15/26*Census!$D57*(1+Assumptions!$B$9)^C$5*(INT((Census!$F57+C$5))+IF((Census!$F57+C$5)-INT((Census!$F57+C$5))&gt;0.5,1,0)),Assumptions!$B$10))</f>
        <v>26625.82142213147</v>
      </c>
      <c r="D57" s="30">
        <f>IF(D$5&gt;$B57,0,INDEX(Decrements!$G$6:$G$58,Census!$G57+D$5-18)/INDEX(Decrements!$G$6:$G$58,Census!$G57-17)*(INDEX(Decrements!$D$6:$D$58,Census!$G57+D$5-18)+IF(D$5=$B57,INDEX(Decrements!$F$6:$F$58,Census!$G57+D$5-18),0)+INDEX(Decrements!$E$6:$E$58,Census!$G57+D$5-18)*IF((Census!$F57+D$5)&gt;=Assumptions!$B$11,1,0))*MIN(15/26*Census!$D57*(1+Assumptions!$B$9)^D$5*(INT((Census!$F57+D$5))+IF((Census!$F57+D$5)-INT((Census!$F57+D$5))&gt;0.5,1,0)),Assumptions!$B$10))</f>
        <v>28501.432322891349</v>
      </c>
      <c r="E57" s="30">
        <f>IF(E$5&gt;$B57,0,INDEX(Decrements!$G$6:$G$58,Census!$G57+E$5-18)/INDEX(Decrements!$G$6:$G$58,Census!$G57-17)*(INDEX(Decrements!$D$6:$D$58,Census!$G57+E$5-18)+IF(E$5=$B57,INDEX(Decrements!$F$6:$F$58,Census!$G57+E$5-18),0)+INDEX(Decrements!$E$6:$E$58,Census!$G57+E$5-18)*IF((Census!$F57+E$5)&gt;=Assumptions!$B$11,1,0))*MIN(15/26*Census!$D57*(1+Assumptions!$B$9)^E$5*(INT((Census!$F57+E$5))+IF((Census!$F57+E$5)-INT((Census!$F57+E$5))&gt;0.5,1,0)),Assumptions!$B$10))</f>
        <v>29886.172000467617</v>
      </c>
      <c r="F57" s="30">
        <f>IF(F$5&gt;$B57,0,INDEX(Decrements!$G$6:$G$58,Census!$G57+F$5-18)/INDEX(Decrements!$G$6:$G$58,Census!$G57-17)*(INDEX(Decrements!$D$6:$D$58,Census!$G57+F$5-18)+IF(F$5=$B57,INDEX(Decrements!$F$6:$F$58,Census!$G57+F$5-18),0)+INDEX(Decrements!$E$6:$E$58,Census!$G57+F$5-18)*IF((Census!$F57+F$5)&gt;=Assumptions!$B$11,1,0))*MIN(15/26*Census!$D57*(1+Assumptions!$B$9)^F$5*(INT((Census!$F57+F$5))+IF((Census!$F57+F$5)-INT((Census!$F57+F$5))&gt;0.5,1,0)),Assumptions!$B$10))</f>
        <v>22663.775385719153</v>
      </c>
      <c r="G57" s="30">
        <f>IF(G$5&gt;$B57,0,INDEX(Decrements!$G$6:$G$58,Census!$G57+G$5-18)/INDEX(Decrements!$G$6:$G$58,Census!$G57-17)*(INDEX(Decrements!$D$6:$D$58,Census!$G57+G$5-18)+IF(G$5=$B57,INDEX(Decrements!$F$6:$F$58,Census!$G57+G$5-18),0)+INDEX(Decrements!$E$6:$E$58,Census!$G57+G$5-18)*IF((Census!$F57+G$5)&gt;=Assumptions!$B$11,1,0))*MIN(15/26*Census!$D57*(1+Assumptions!$B$9)^G$5*(INT((Census!$F57+G$5))+IF((Census!$F57+G$5)-INT((Census!$F57+G$5))&gt;0.5,1,0)),Assumptions!$B$10))</f>
        <v>24193.490042046516</v>
      </c>
      <c r="H57" s="30">
        <f>IF(H$5&gt;$B57,0,INDEX(Decrements!$G$6:$G$58,Census!$G57+H$5-18)/INDEX(Decrements!$G$6:$G$58,Census!$G57-17)*(INDEX(Decrements!$D$6:$D$58,Census!$G57+H$5-18)+IF(H$5=$B57,INDEX(Decrements!$F$6:$F$58,Census!$G57+H$5-18),0)+INDEX(Decrements!$E$6:$E$58,Census!$G57+H$5-18)*IF((Census!$F57+H$5)&gt;=Assumptions!$B$11,1,0))*MIN(15/26*Census!$D57*(1+Assumptions!$B$9)^H$5*(INT((Census!$F57+H$5))+IF((Census!$F57+H$5)-INT((Census!$F57+H$5))&gt;0.5,1,0)),Assumptions!$B$10))</f>
        <v>25568.002839522207</v>
      </c>
      <c r="I57" s="30">
        <f>IF(I$5&gt;$B57,0,INDEX(Decrements!$G$6:$G$58,Census!$G57+I$5-18)/INDEX(Decrements!$G$6:$G$58,Census!$G57-17)*(INDEX(Decrements!$D$6:$D$58,Census!$G57+I$5-18)+IF(I$5=$B57,INDEX(Decrements!$F$6:$F$58,Census!$G57+I$5-18),0)+INDEX(Decrements!$E$6:$E$58,Census!$G57+I$5-18)*IF((Census!$F57+I$5)&gt;=Assumptions!$B$11,1,0))*MIN(15/26*Census!$D57*(1+Assumptions!$B$9)^I$5*(INT((Census!$F57+I$5))+IF((Census!$F57+I$5)-INT((Census!$F57+I$5))&gt;0.5,1,0)),Assumptions!$B$10))</f>
        <v>26797.079313267619</v>
      </c>
      <c r="J57" s="30">
        <f>IF(J$5&gt;$B57,0,INDEX(Decrements!$G$6:$G$58,Census!$G57+J$5-18)/INDEX(Decrements!$G$6:$G$58,Census!$G57-17)*(INDEX(Decrements!$D$6:$D$58,Census!$G57+J$5-18)+IF(J$5=$B57,INDEX(Decrements!$F$6:$F$58,Census!$G57+J$5-18),0)+INDEX(Decrements!$E$6:$E$58,Census!$G57+J$5-18)*IF((Census!$F57+J$5)&gt;=Assumptions!$B$11,1,0))*MIN(15/26*Census!$D57*(1+Assumptions!$B$9)^J$5*(INT((Census!$F57+J$5))+IF((Census!$F57+J$5)-INT((Census!$F57+J$5))&gt;0.5,1,0)),Assumptions!$B$10))</f>
        <v>27889.953910116557</v>
      </c>
      <c r="K57" s="30">
        <f>IF(K$5&gt;$B57,0,INDEX(Decrements!$G$6:$G$58,Census!$G57+K$5-18)/INDEX(Decrements!$G$6:$G$58,Census!$G57-17)*(INDEX(Decrements!$D$6:$D$58,Census!$G57+K$5-18)+IF(K$5=$B57,INDEX(Decrements!$F$6:$F$58,Census!$G57+K$5-18),0)+INDEX(Decrements!$E$6:$E$58,Census!$G57+K$5-18)*IF((Census!$F57+K$5)&gt;=Assumptions!$B$11,1,0))*MIN(15/26*Census!$D57*(1+Assumptions!$B$9)^K$5*(INT((Census!$F57+K$5))+IF((Census!$F57+K$5)-INT((Census!$F57+K$5))&gt;0.5,1,0)),Assumptions!$B$10))</f>
        <v>21055.922363160618</v>
      </c>
      <c r="L57" s="30">
        <f>IF(L$5&gt;$B57,0,INDEX(Decrements!$G$6:$G$58,Census!$G57+L$5-18)/INDEX(Decrements!$G$6:$G$58,Census!$G57-17)*(INDEX(Decrements!$D$6:$D$58,Census!$G57+L$5-18)+IF(L$5=$B57,INDEX(Decrements!$F$6:$F$58,Census!$G57+L$5-18),0)+INDEX(Decrements!$E$6:$E$58,Census!$G57+L$5-18)*IF((Census!$F57+L$5)&gt;=Assumptions!$B$11,1,0))*MIN(15/26*Census!$D57*(1+Assumptions!$B$9)^L$5*(INT((Census!$F57+L$5))+IF((Census!$F57+L$5)-INT((Census!$F57+L$5))&gt;0.5,1,0)),Assumptions!$B$10))</f>
        <v>22408.359744599165</v>
      </c>
      <c r="M57" s="30">
        <f>IF(M$5&gt;$B57,0,INDEX(Decrements!$G$6:$G$58,Census!$G57+M$5-18)/INDEX(Decrements!$G$6:$G$58,Census!$G57-17)*(INDEX(Decrements!$D$6:$D$58,Census!$G57+M$5-18)+IF(M$5=$B57,INDEX(Decrements!$F$6:$F$58,Census!$G57+M$5-18),0)+INDEX(Decrements!$E$6:$E$58,Census!$G57+M$5-18)*IF((Census!$F57+M$5)&gt;=Assumptions!$B$11,1,0))*MIN(15/26*Census!$D57*(1+Assumptions!$B$9)^M$5*(INT((Census!$F57+M$5))+IF((Census!$F57+M$5)-INT((Census!$F57+M$5))&gt;0.5,1,0)),Assumptions!$B$10))</f>
        <v>23741.851927416301</v>
      </c>
      <c r="N57" s="30">
        <f>IF(N$5&gt;$B57,0,INDEX(Decrements!$G$6:$G$58,Census!$G57+N$5-18)/INDEX(Decrements!$G$6:$G$58,Census!$G57-17)*(INDEX(Decrements!$D$6:$D$58,Census!$G57+N$5-18)+IF(N$5=$B57,INDEX(Decrements!$F$6:$F$58,Census!$G57+N$5-18),0)+INDEX(Decrements!$E$6:$E$58,Census!$G57+N$5-18)*IF((Census!$F57+N$5)&gt;=Assumptions!$B$11,1,0))*MIN(15/26*Census!$D57*(1+Assumptions!$B$9)^N$5*(INT((Census!$F57+N$5))+IF((Census!$F57+N$5)-INT((Census!$F57+N$5))&gt;0.5,1,0)),Assumptions!$B$10))</f>
        <v>25056.639766888999</v>
      </c>
      <c r="O57" s="30">
        <f>IF(O$5&gt;$B57,0,INDEX(Decrements!$G$6:$G$58,Census!$G57+O$5-18)/INDEX(Decrements!$G$6:$G$58,Census!$G57-17)*(INDEX(Decrements!$D$6:$D$58,Census!$G57+O$5-18)+IF(O$5=$B57,INDEX(Decrements!$F$6:$F$58,Census!$G57+O$5-18),0)+INDEX(Decrements!$E$6:$E$58,Census!$G57+O$5-18)*IF((Census!$F57+O$5)&gt;=Assumptions!$B$11,1,0))*MIN(15/26*Census!$D57*(1+Assumptions!$B$9)^O$5*(INT((Census!$F57+O$5))+IF((Census!$F57+O$5)-INT((Census!$F57+O$5))&gt;0.5,1,0)),Assumptions!$B$10))</f>
        <v>26352.965773454787</v>
      </c>
      <c r="P57" s="30">
        <f>IF(P$5&gt;$B57,0,INDEX(Decrements!$G$6:$G$58,Census!$G57+P$5-18)/INDEX(Decrements!$G$6:$G$58,Census!$G57-17)*(INDEX(Decrements!$D$6:$D$58,Census!$G57+P$5-18)+IF(P$5=$B57,INDEX(Decrements!$F$6:$F$58,Census!$G57+P$5-18),0)+INDEX(Decrements!$E$6:$E$58,Census!$G57+P$5-18)*IF((Census!$F57+P$5)&gt;=Assumptions!$B$11,1,0))*MIN(15/26*Census!$D57*(1+Assumptions!$B$9)^P$5*(INT((Census!$F57+P$5))+IF((Census!$F57+P$5)-INT((Census!$F57+P$5))&gt;0.5,1,0)),Assumptions!$B$10))</f>
        <v>17441.452381932009</v>
      </c>
      <c r="Q57" s="30">
        <f>IF(Q$5&gt;$B57,0,INDEX(Decrements!$G$6:$G$58,Census!$G57+Q$5-18)/INDEX(Decrements!$G$6:$G$58,Census!$G57-17)*(INDEX(Decrements!$D$6:$D$58,Census!$G57+Q$5-18)+IF(Q$5=$B57,INDEX(Decrements!$F$6:$F$58,Census!$G57+Q$5-18),0)+INDEX(Decrements!$E$6:$E$58,Census!$G57+Q$5-18)*IF((Census!$F57+Q$5)&gt;=Assumptions!$B$11,1,0))*MIN(15/26*Census!$D57*(1+Assumptions!$B$9)^Q$5*(INT((Census!$F57+Q$5))+IF((Census!$F57+Q$5)-INT((Census!$F57+Q$5))&gt;0.5,1,0)),Assumptions!$B$10))</f>
        <v>18844.411561380821</v>
      </c>
      <c r="R57" s="30">
        <f>IF(R$5&gt;$B57,0,INDEX(Decrements!$G$6:$G$58,Census!$G57+R$5-18)/INDEX(Decrements!$G$6:$G$58,Census!$G57-17)*(INDEX(Decrements!$D$6:$D$58,Census!$G57+R$5-18)+IF(R$5=$B57,INDEX(Decrements!$F$6:$F$58,Census!$G57+R$5-18),0)+INDEX(Decrements!$E$6:$E$58,Census!$G57+R$5-18)*IF((Census!$F57+R$5)&gt;=Assumptions!$B$11,1,0))*MIN(15/26*Census!$D57*(1+Assumptions!$B$9)^R$5*(INT((Census!$F57+R$5))+IF((Census!$F57+R$5)-INT((Census!$F57+R$5))&gt;0.5,1,0)),Assumptions!$B$10))</f>
        <v>20310.881975368131</v>
      </c>
      <c r="S57" s="30">
        <f>IF(S$5&gt;$B57,0,INDEX(Decrements!$G$6:$G$58,Census!$G57+S$5-18)/INDEX(Decrements!$G$6:$G$58,Census!$G57-17)*(INDEX(Decrements!$D$6:$D$58,Census!$G57+S$5-18)+IF(S$5=$B57,INDEX(Decrements!$F$6:$F$58,Census!$G57+S$5-18),0)+INDEX(Decrements!$E$6:$E$58,Census!$G57+S$5-18)*IF((Census!$F57+S$5)&gt;=Assumptions!$B$11,1,0))*MIN(15/26*Census!$D57*(1+Assumptions!$B$9)^S$5*(INT((Census!$F57+S$5))+IF((Census!$F57+S$5)-INT((Census!$F57+S$5))&gt;0.5,1,0)),Assumptions!$B$10))</f>
        <v>19667.531629819685</v>
      </c>
      <c r="T57" s="30">
        <f>IF(T$5&gt;$B57,0,INDEX(Decrements!$G$6:$G$58,Census!$G57+T$5-18)/INDEX(Decrements!$G$6:$G$58,Census!$G57-17)*(INDEX(Decrements!$D$6:$D$58,Census!$G57+T$5-18)+IF(T$5=$B57,INDEX(Decrements!$F$6:$F$58,Census!$G57+T$5-18),0)+INDEX(Decrements!$E$6:$E$58,Census!$G57+T$5-18)*IF((Census!$F57+T$5)&gt;=Assumptions!$B$11,1,0))*MIN(15/26*Census!$D57*(1+Assumptions!$B$9)^T$5*(INT((Census!$F57+T$5))+IF((Census!$F57+T$5)-INT((Census!$F57+T$5))&gt;0.5,1,0)),Assumptions!$B$10))</f>
        <v>18696.442241438217</v>
      </c>
      <c r="U57" s="30">
        <f>IF(U$5&gt;$B57,0,INDEX(Decrements!$G$6:$G$58,Census!$G57+U$5-18)/INDEX(Decrements!$G$6:$G$58,Census!$G57-17)*(INDEX(Decrements!$D$6:$D$58,Census!$G57+U$5-18)+IF(U$5=$B57,INDEX(Decrements!$F$6:$F$58,Census!$G57+U$5-18),0)+INDEX(Decrements!$E$6:$E$58,Census!$G57+U$5-18)*IF((Census!$F57+U$5)&gt;=Assumptions!$B$11,1,0))*MIN(15/26*Census!$D57*(1+Assumptions!$B$9)^U$5*(INT((Census!$F57+U$5))+IF((Census!$F57+U$5)-INT((Census!$F57+U$5))&gt;0.5,1,0)),Assumptions!$B$10))</f>
        <v>10929.470529610198</v>
      </c>
      <c r="V57" s="30">
        <f>IF(V$5&gt;$B57,0,INDEX(Decrements!$G$6:$G$58,Census!$G57+V$5-18)/INDEX(Decrements!$G$6:$G$58,Census!$G57-17)*(INDEX(Decrements!$D$6:$D$58,Census!$G57+V$5-18)+IF(V$5=$B57,INDEX(Decrements!$F$6:$F$58,Census!$G57+V$5-18),0)+INDEX(Decrements!$E$6:$E$58,Census!$G57+V$5-18)*IF((Census!$F57+V$5)&gt;=Assumptions!$B$11,1,0))*MIN(15/26*Census!$D57*(1+Assumptions!$B$9)^V$5*(INT((Census!$F57+V$5))+IF((Census!$F57+V$5)-INT((Census!$F57+V$5))&gt;0.5,1,0)),Assumptions!$B$10))</f>
        <v>10630.310267550569</v>
      </c>
      <c r="W57" s="30">
        <f>IF(W$5&gt;$B57,0,INDEX(Decrements!$G$6:$G$58,Census!$G57+W$5-18)/INDEX(Decrements!$G$6:$G$58,Census!$G57-17)*(INDEX(Decrements!$D$6:$D$58,Census!$G57+W$5-18)+IF(W$5=$B57,INDEX(Decrements!$F$6:$F$58,Census!$G57+W$5-18),0)+INDEX(Decrements!$E$6:$E$58,Census!$G57+W$5-18)*IF((Census!$F57+W$5)&gt;=Assumptions!$B$11,1,0))*MIN(15/26*Census!$D57*(1+Assumptions!$B$9)^W$5*(INT((Census!$F57+W$5))+IF((Census!$F57+W$5)-INT((Census!$F57+W$5))&gt;0.5,1,0)),Assumptions!$B$10))</f>
        <v>10342.28640186685</v>
      </c>
      <c r="X57" s="30">
        <f>IF(X$5&gt;$B57,0,INDEX(Decrements!$G$6:$G$58,Census!$G57+X$5-18)/INDEX(Decrements!$G$6:$G$58,Census!$G57-17)*(INDEX(Decrements!$D$6:$D$58,Census!$G57+X$5-18)+IF(X$5=$B57,INDEX(Decrements!$F$6:$F$58,Census!$G57+X$5-18),0)+INDEX(Decrements!$E$6:$E$58,Census!$G57+X$5-18)*IF((Census!$F57+X$5)&gt;=Assumptions!$B$11,1,0))*MIN(15/26*Census!$D57*(1+Assumptions!$B$9)^X$5*(INT((Census!$F57+X$5))+IF((Census!$F57+X$5)-INT((Census!$F57+X$5))&gt;0.5,1,0)),Assumptions!$B$10))</f>
        <v>10065.17139030277</v>
      </c>
      <c r="Y57" s="30">
        <f>IF(Y$5&gt;$B57,0,INDEX(Decrements!$G$6:$G$58,Census!$G57+Y$5-18)/INDEX(Decrements!$G$6:$G$58,Census!$G57-17)*(INDEX(Decrements!$D$6:$D$58,Census!$G57+Y$5-18)+IF(Y$5=$B57,INDEX(Decrements!$F$6:$F$58,Census!$G57+Y$5-18),0)+INDEX(Decrements!$E$6:$E$58,Census!$G57+Y$5-18)*IF((Census!$F57+Y$5)&gt;=Assumptions!$B$11,1,0))*MIN(15/26*Census!$D57*(1+Assumptions!$B$9)^Y$5*(INT((Census!$F57+Y$5))+IF((Census!$F57+Y$5)-INT((Census!$F57+Y$5))&gt;0.5,1,0)),Assumptions!$B$10))</f>
        <v>9798.747744376964</v>
      </c>
      <c r="Z57" s="30">
        <f>IF(Z$5&gt;$B57,0,INDEX(Decrements!$G$6:$G$58,Census!$G57+Z$5-18)/INDEX(Decrements!$G$6:$G$58,Census!$G57-17)*(INDEX(Decrements!$D$6:$D$58,Census!$G57+Z$5-18)+IF(Z$5=$B57,INDEX(Decrements!$F$6:$F$58,Census!$G57+Z$5-18),0)+INDEX(Decrements!$E$6:$E$58,Census!$G57+Z$5-18)*IF((Census!$F57+Z$5)&gt;=Assumptions!$B$11,1,0))*MIN(15/26*Census!$D57*(1+Assumptions!$B$9)^Z$5*(INT((Census!$F57+Z$5))+IF((Census!$F57+Z$5)-INT((Census!$F57+Z$5))&gt;0.5,1,0)),Assumptions!$B$10))</f>
        <v>6639.3851018438481</v>
      </c>
      <c r="AA57" s="30">
        <f>IF(AA$5&gt;$B57,0,INDEX(Decrements!$G$6:$G$58,Census!$G57+AA$5-18)/INDEX(Decrements!$G$6:$G$58,Census!$G57-17)*(INDEX(Decrements!$D$6:$D$58,Census!$G57+AA$5-18)+IF(AA$5=$B57,INDEX(Decrements!$F$6:$F$58,Census!$G57+AA$5-18),0)+INDEX(Decrements!$E$6:$E$58,Census!$G57+AA$5-18)*IF((Census!$F57+AA$5)&gt;=Assumptions!$B$11,1,0))*MIN(15/26*Census!$D57*(1+Assumptions!$B$9)^AA$5*(INT((Census!$F57+AA$5))+IF((Census!$F57+AA$5)-INT((Census!$F57+AA$5))&gt;0.5,1,0)),Assumptions!$B$10))</f>
        <v>6556.4776068437004</v>
      </c>
      <c r="AB57" s="30">
        <f>IF(AB$5&gt;$B57,0,INDEX(Decrements!$G$6:$G$58,Census!$G57+AB$5-18)/INDEX(Decrements!$G$6:$G$58,Census!$G57-17)*(INDEX(Decrements!$D$6:$D$58,Census!$G57+AB$5-18)+IF(AB$5=$B57,INDEX(Decrements!$F$6:$F$58,Census!$G57+AB$5-18),0)+INDEX(Decrements!$E$6:$E$58,Census!$G57+AB$5-18)*IF((Census!$F57+AB$5)&gt;=Assumptions!$B$11,1,0))*MIN(15/26*Census!$D57*(1+Assumptions!$B$9)^AB$5*(INT((Census!$F57+AB$5))+IF((Census!$F57+AB$5)-INT((Census!$F57+AB$5))&gt;0.5,1,0)),Assumptions!$B$10))</f>
        <v>6478.976024352115</v>
      </c>
      <c r="AC57" s="30">
        <f>IF(AC$5&gt;$B57,0,INDEX(Decrements!$G$6:$G$58,Census!$G57+AC$5-18)/INDEX(Decrements!$G$6:$G$58,Census!$G57-17)*(INDEX(Decrements!$D$6:$D$58,Census!$G57+AC$5-18)+IF(AC$5=$B57,INDEX(Decrements!$F$6:$F$58,Census!$G57+AC$5-18),0)+INDEX(Decrements!$E$6:$E$58,Census!$G57+AC$5-18)*IF((Census!$F57+AC$5)&gt;=Assumptions!$B$11,1,0))*MIN(15/26*Census!$D57*(1+Assumptions!$B$9)^AC$5*(INT((Census!$F57+AC$5))+IF((Census!$F57+AC$5)-INT((Census!$F57+AC$5))&gt;0.5,1,0)),Assumptions!$B$10))</f>
        <v>6406.9942676091678</v>
      </c>
      <c r="AD57" s="30">
        <f>IF(AD$5&gt;$B57,0,INDEX(Decrements!$G$6:$G$58,Census!$G57+AD$5-18)/INDEX(Decrements!$G$6:$G$58,Census!$G57-17)*(INDEX(Decrements!$D$6:$D$58,Census!$G57+AD$5-18)+IF(AD$5=$B57,INDEX(Decrements!$F$6:$F$58,Census!$G57+AD$5-18),0)+INDEX(Decrements!$E$6:$E$58,Census!$G57+AD$5-18)*IF((Census!$F57+AD$5)&gt;=Assumptions!$B$11,1,0))*MIN(15/26*Census!$D57*(1+Assumptions!$B$9)^AD$5*(INT((Census!$F57+AD$5))+IF((Census!$F57+AD$5)-INT((Census!$F57+AD$5))&gt;0.5,1,0)),Assumptions!$B$10))</f>
        <v>6340.650008980585</v>
      </c>
      <c r="AE57" s="30">
        <f>IF(AE$5&gt;$B57,0,INDEX(Decrements!$G$6:$G$58,Census!$G57+AE$5-18)/INDEX(Decrements!$G$6:$G$58,Census!$G57-17)*(INDEX(Decrements!$D$6:$D$58,Census!$G57+AE$5-18)+IF(AE$5=$B57,INDEX(Decrements!$F$6:$F$58,Census!$G57+AE$5-18),0)+INDEX(Decrements!$E$6:$E$58,Census!$G57+AE$5-18)*IF((Census!$F57+AE$5)&gt;=Assumptions!$B$11,1,0))*MIN(15/26*Census!$D57*(1+Assumptions!$B$9)^AE$5*(INT((Census!$F57+AE$5))+IF((Census!$F57+AE$5)-INT((Census!$F57+AE$5))&gt;0.5,1,0)),Assumptions!$B$10))</f>
        <v>3703.8161226113043</v>
      </c>
      <c r="AF57" s="30">
        <f>IF(AF$5&gt;$B57,0,INDEX(Decrements!$G$6:$G$58,Census!$G57+AF$5-18)/INDEX(Decrements!$G$6:$G$58,Census!$G57-17)*(INDEX(Decrements!$D$6:$D$58,Census!$G57+AF$5-18)+IF(AF$5=$B57,INDEX(Decrements!$F$6:$F$58,Census!$G57+AF$5-18),0)+INDEX(Decrements!$E$6:$E$58,Census!$G57+AF$5-18)*IF((Census!$F57+AF$5)&gt;=Assumptions!$B$11,1,0))*MIN(15/26*Census!$D57*(1+Assumptions!$B$9)^AF$5*(INT((Census!$F57+AF$5))+IF((Census!$F57+AF$5)-INT((Census!$F57+AF$5))&gt;0.5,1,0)),Assumptions!$B$10))</f>
        <v>3750.5148652311173</v>
      </c>
      <c r="AG57" s="30">
        <f>IF(AG$5&gt;$B57,0,INDEX(Decrements!$G$6:$G$58,Census!$G57+AG$5-18)/INDEX(Decrements!$G$6:$G$58,Census!$G57-17)*(INDEX(Decrements!$D$6:$D$58,Census!$G57+AG$5-18)+IF(AG$5=$B57,INDEX(Decrements!$F$6:$F$58,Census!$G57+AG$5-18),0)+INDEX(Decrements!$E$6:$E$58,Census!$G57+AG$5-18)*IF((Census!$F57+AG$5)&gt;=Assumptions!$B$11,1,0))*MIN(15/26*Census!$D57*(1+Assumptions!$B$9)^AG$5*(INT((Census!$F57+AG$5))+IF((Census!$F57+AG$5)-INT((Census!$F57+AG$5))&gt;0.5,1,0)),Assumptions!$B$10))</f>
        <v>3803.3924213626719</v>
      </c>
      <c r="AH57" s="30">
        <f>IF(AH$5&gt;$B57,0,INDEX(Decrements!$G$6:$G$58,Census!$G57+AH$5-18)/INDEX(Decrements!$G$6:$G$58,Census!$G57-17)*(INDEX(Decrements!$D$6:$D$58,Census!$G57+AH$5-18)+IF(AH$5=$B57,INDEX(Decrements!$F$6:$F$58,Census!$G57+AH$5-18),0)+INDEX(Decrements!$E$6:$E$58,Census!$G57+AH$5-18)*IF((Census!$F57+AH$5)&gt;=Assumptions!$B$11,1,0))*MIN(15/26*Census!$D57*(1+Assumptions!$B$9)^AH$5*(INT((Census!$F57+AH$5))+IF((Census!$F57+AH$5)-INT((Census!$F57+AH$5))&gt;0.5,1,0)),Assumptions!$B$10))</f>
        <v>3862.8081741638716</v>
      </c>
      <c r="AI57" s="30">
        <f>IF(AI$5&gt;$B57,0,INDEX(Decrements!$G$6:$G$58,Census!$G57+AI$5-18)/INDEX(Decrements!$G$6:$G$58,Census!$G57-17)*(INDEX(Decrements!$D$6:$D$58,Census!$G57+AI$5-18)+IF(AI$5=$B57,INDEX(Decrements!$F$6:$F$58,Census!$G57+AI$5-18),0)+INDEX(Decrements!$E$6:$E$58,Census!$G57+AI$5-18)*IF((Census!$F57+AI$5)&gt;=Assumptions!$B$11,1,0))*MIN(15/26*Census!$D57*(1+Assumptions!$B$9)^AI$5*(INT((Census!$F57+AI$5))+IF((Census!$F57+AI$5)-INT((Census!$F57+AI$5))&gt;0.5,1,0)),Assumptions!$B$10))</f>
        <v>243631.73992836746</v>
      </c>
      <c r="AJ57" s="30">
        <f>IF(AJ$5&gt;$B57,0,INDEX(Decrements!$G$6:$G$58,Census!$G57+AJ$5-18)/INDEX(Decrements!$G$6:$G$58,Census!$G57-17)*(INDEX(Decrements!$D$6:$D$58,Census!$G57+AJ$5-18)+IF(AJ$5=$B57,INDEX(Decrements!$F$6:$F$58,Census!$G57+AJ$5-18),0)+INDEX(Decrements!$E$6:$E$58,Census!$G57+AJ$5-18)*IF((Census!$F57+AJ$5)&gt;=Assumptions!$B$11,1,0))*MIN(15/26*Census!$D57*(1+Assumptions!$B$9)^AJ$5*(INT((Census!$F57+AJ$5))+IF((Census!$F57+AJ$5)-INT((Census!$F57+AJ$5))&gt;0.5,1,0)),Assumptions!$B$10))</f>
        <v>0</v>
      </c>
      <c r="AK57" s="30">
        <f>IF(AK$5&gt;$B57,0,INDEX(Decrements!$G$6:$G$58,Census!$G57+AK$5-18)/INDEX(Decrements!$G$6:$G$58,Census!$G57-17)*(INDEX(Decrements!$D$6:$D$58,Census!$G57+AK$5-18)+IF(AK$5=$B57,INDEX(Decrements!$F$6:$F$58,Census!$G57+AK$5-18),0)+INDEX(Decrements!$E$6:$E$58,Census!$G57+AK$5-18)*IF((Census!$F57+AK$5)&gt;=Assumptions!$B$11,1,0))*MIN(15/26*Census!$D57*(1+Assumptions!$B$9)^AK$5*(INT((Census!$F57+AK$5))+IF((Census!$F57+AK$5)-INT((Census!$F57+AK$5))&gt;0.5,1,0)),Assumptions!$B$10))</f>
        <v>0</v>
      </c>
      <c r="AL57" s="30">
        <f>IF(AL$5&gt;$B57,0,INDEX(Decrements!$G$6:$G$58,Census!$G57+AL$5-18)/INDEX(Decrements!$G$6:$G$58,Census!$G57-17)*(INDEX(Decrements!$D$6:$D$58,Census!$G57+AL$5-18)+IF(AL$5=$B57,INDEX(Decrements!$F$6:$F$58,Census!$G57+AL$5-18),0)+INDEX(Decrements!$E$6:$E$58,Census!$G57+AL$5-18)*IF((Census!$F57+AL$5)&gt;=Assumptions!$B$11,1,0))*MIN(15/26*Census!$D57*(1+Assumptions!$B$9)^AL$5*(INT((Census!$F57+AL$5))+IF((Census!$F57+AL$5)-INT((Census!$F57+AL$5))&gt;0.5,1,0)),Assumptions!$B$10))</f>
        <v>0</v>
      </c>
      <c r="AM57" s="30">
        <f>IF(AM$5&gt;$B57,0,INDEX(Decrements!$G$6:$G$58,Census!$G57+AM$5-18)/INDEX(Decrements!$G$6:$G$58,Census!$G57-17)*(INDEX(Decrements!$D$6:$D$58,Census!$G57+AM$5-18)+IF(AM$5=$B57,INDEX(Decrements!$F$6:$F$58,Census!$G57+AM$5-18),0)+INDEX(Decrements!$E$6:$E$58,Census!$G57+AM$5-18)*IF((Census!$F57+AM$5)&gt;=Assumptions!$B$11,1,0))*MIN(15/26*Census!$D57*(1+Assumptions!$B$9)^AM$5*(INT((Census!$F57+AM$5))+IF((Census!$F57+AM$5)-INT((Census!$F57+AM$5))&gt;0.5,1,0)),Assumptions!$B$10))</f>
        <v>0</v>
      </c>
      <c r="AN57" s="30">
        <f>IF(AN$5&gt;$B57,0,INDEX(Decrements!$G$6:$G$58,Census!$G57+AN$5-18)/INDEX(Decrements!$G$6:$G$58,Census!$G57-17)*(INDEX(Decrements!$D$6:$D$58,Census!$G57+AN$5-18)+IF(AN$5=$B57,INDEX(Decrements!$F$6:$F$58,Census!$G57+AN$5-18),0)+INDEX(Decrements!$E$6:$E$58,Census!$G57+AN$5-18)*IF((Census!$F57+AN$5)&gt;=Assumptions!$B$11,1,0))*MIN(15/26*Census!$D57*(1+Assumptions!$B$9)^AN$5*(INT((Census!$F57+AN$5))+IF((Census!$F57+AN$5)-INT((Census!$F57+AN$5))&gt;0.5,1,0)),Assumptions!$B$10))</f>
        <v>0</v>
      </c>
      <c r="AO57" s="30">
        <f>IF(AO$5&gt;$B57,0,INDEX(Decrements!$G$6:$G$58,Census!$G57+AO$5-18)/INDEX(Decrements!$G$6:$G$58,Census!$G57-17)*(INDEX(Decrements!$D$6:$D$58,Census!$G57+AO$5-18)+IF(AO$5=$B57,INDEX(Decrements!$F$6:$F$58,Census!$G57+AO$5-18),0)+INDEX(Decrements!$E$6:$E$58,Census!$G57+AO$5-18)*IF((Census!$F57+AO$5)&gt;=Assumptions!$B$11,1,0))*MIN(15/26*Census!$D57*(1+Assumptions!$B$9)^AO$5*(INT((Census!$F57+AO$5))+IF((Census!$F57+AO$5)-INT((Census!$F57+AO$5))&gt;0.5,1,0)),Assumptions!$B$10))</f>
        <v>0</v>
      </c>
      <c r="AP57" s="30">
        <f>IF(AP$5&gt;$B57,0,INDEX(Decrements!$G$6:$G$58,Census!$G57+AP$5-18)/INDEX(Decrements!$G$6:$G$58,Census!$G57-17)*(INDEX(Decrements!$D$6:$D$58,Census!$G57+AP$5-18)+IF(AP$5=$B57,INDEX(Decrements!$F$6:$F$58,Census!$G57+AP$5-18),0)+INDEX(Decrements!$E$6:$E$58,Census!$G57+AP$5-18)*IF((Census!$F57+AP$5)&gt;=Assumptions!$B$11,1,0))*MIN(15/26*Census!$D57*(1+Assumptions!$B$9)^AP$5*(INT((Census!$F57+AP$5))+IF((Census!$F57+AP$5)-INT((Census!$F57+AP$5))&gt;0.5,1,0)),Assumptions!$B$10))</f>
        <v>0</v>
      </c>
      <c r="AQ57" s="30">
        <f>IF(AQ$5&gt;$B57,0,INDEX(Decrements!$G$6:$G$58,Census!$G57+AQ$5-18)/INDEX(Decrements!$G$6:$G$58,Census!$G57-17)*(INDEX(Decrements!$D$6:$D$58,Census!$G57+AQ$5-18)+IF(AQ$5=$B57,INDEX(Decrements!$F$6:$F$58,Census!$G57+AQ$5-18),0)+INDEX(Decrements!$E$6:$E$58,Census!$G57+AQ$5-18)*IF((Census!$F57+AQ$5)&gt;=Assumptions!$B$11,1,0))*MIN(15/26*Census!$D57*(1+Assumptions!$B$9)^AQ$5*(INT((Census!$F57+AQ$5))+IF((Census!$F57+AQ$5)-INT((Census!$F57+AQ$5))&gt;0.5,1,0)),Assumptions!$B$10))</f>
        <v>0</v>
      </c>
      <c r="AR57" s="30">
        <f>IF(AR$5&gt;$B57,0,INDEX(Decrements!$G$6:$G$58,Census!$G57+AR$5-18)/INDEX(Decrements!$G$6:$G$58,Census!$G57-17)*(INDEX(Decrements!$D$6:$D$58,Census!$G57+AR$5-18)+IF(AR$5=$B57,INDEX(Decrements!$F$6:$F$58,Census!$G57+AR$5-18),0)+INDEX(Decrements!$E$6:$E$58,Census!$G57+AR$5-18)*IF((Census!$F57+AR$5)&gt;=Assumptions!$B$11,1,0))*MIN(15/26*Census!$D57*(1+Assumptions!$B$9)^AR$5*(INT((Census!$F57+AR$5))+IF((Census!$F57+AR$5)-INT((Census!$F57+AR$5))&gt;0.5,1,0)),Assumptions!$B$10))</f>
        <v>0</v>
      </c>
      <c r="AS57" s="30">
        <f>IF(AS$5&gt;$B57,0,INDEX(Decrements!$G$6:$G$58,Census!$G57+AS$5-18)/INDEX(Decrements!$G$6:$G$58,Census!$G57-17)*(INDEX(Decrements!$D$6:$D$58,Census!$G57+AS$5-18)+IF(AS$5=$B57,INDEX(Decrements!$F$6:$F$58,Census!$G57+AS$5-18),0)+INDEX(Decrements!$E$6:$E$58,Census!$G57+AS$5-18)*IF((Census!$F57+AS$5)&gt;=Assumptions!$B$11,1,0))*MIN(15/26*Census!$D57*(1+Assumptions!$B$9)^AS$5*(INT((Census!$F57+AS$5))+IF((Census!$F57+AS$5)-INT((Census!$F57+AS$5))&gt;0.5,1,0)),Assumptions!$B$10))</f>
        <v>0</v>
      </c>
      <c r="AT57" s="30">
        <f>IF(AT$5&gt;$B57,0,INDEX(Decrements!$G$6:$G$58,Census!$G57+AT$5-18)/INDEX(Decrements!$G$6:$G$58,Census!$G57-17)*(INDEX(Decrements!$D$6:$D$58,Census!$G57+AT$5-18)+IF(AT$5=$B57,INDEX(Decrements!$F$6:$F$58,Census!$G57+AT$5-18),0)+INDEX(Decrements!$E$6:$E$58,Census!$G57+AT$5-18)*IF((Census!$F57+AT$5)&gt;=Assumptions!$B$11,1,0))*MIN(15/26*Census!$D57*(1+Assumptions!$B$9)^AT$5*(INT((Census!$F57+AT$5))+IF((Census!$F57+AT$5)-INT((Census!$F57+AT$5))&gt;0.5,1,0)),Assumptions!$B$10))</f>
        <v>0</v>
      </c>
      <c r="AU57" s="30">
        <f>IF(AU$5&gt;$B57,0,INDEX(Decrements!$G$6:$G$58,Census!$G57+AU$5-18)/INDEX(Decrements!$G$6:$G$58,Census!$G57-17)*(INDEX(Decrements!$D$6:$D$58,Census!$G57+AU$5-18)+IF(AU$5=$B57,INDEX(Decrements!$F$6:$F$58,Census!$G57+AU$5-18),0)+INDEX(Decrements!$E$6:$E$58,Census!$G57+AU$5-18)*IF((Census!$F57+AU$5)&gt;=Assumptions!$B$11,1,0))*MIN(15/26*Census!$D57*(1+Assumptions!$B$9)^AU$5*(INT((Census!$F57+AU$5))+IF((Census!$F57+AU$5)-INT((Census!$F57+AU$5))&gt;0.5,1,0)),Assumptions!$B$10))</f>
        <v>0</v>
      </c>
    </row>
    <row r="58" spans="1:47" x14ac:dyDescent="0.3">
      <c r="A58" s="10" t="str">
        <f>Census!A58</f>
        <v>E053</v>
      </c>
      <c r="B58" s="29">
        <f>Census!H58</f>
        <v>30</v>
      </c>
      <c r="C58" s="30">
        <f>IF(C$5&gt;$B58,0,INDEX(Decrements!$G$6:$G$58,Census!$G58+C$5-18)/INDEX(Decrements!$G$6:$G$58,Census!$G58-17)*(INDEX(Decrements!$D$6:$D$58,Census!$G58+C$5-18)+IF(C$5=$B58,INDEX(Decrements!$F$6:$F$58,Census!$G58+C$5-18),0)+INDEX(Decrements!$E$6:$E$58,Census!$G58+C$5-18)*IF((Census!$F58+C$5)&gt;=Assumptions!$B$11,1,0))*MIN(15/26*Census!$D58*(1+Assumptions!$B$9)^C$5*(INT((Census!$F58+C$5))+IF((Census!$F58+C$5)-INT((Census!$F58+C$5))&gt;0.5,1,0)),Assumptions!$B$10))</f>
        <v>15068.451373229676</v>
      </c>
      <c r="D58" s="30">
        <f>IF(D$5&gt;$B58,0,INDEX(Decrements!$G$6:$G$58,Census!$G58+D$5-18)/INDEX(Decrements!$G$6:$G$58,Census!$G58-17)*(INDEX(Decrements!$D$6:$D$58,Census!$G58+D$5-18)+IF(D$5=$B58,INDEX(Decrements!$F$6:$F$58,Census!$G58+D$5-18),0)+INDEX(Decrements!$E$6:$E$58,Census!$G58+D$5-18)*IF((Census!$F58+D$5)&gt;=Assumptions!$B$11,1,0))*MIN(15/26*Census!$D58*(1+Assumptions!$B$9)^D$5*(INT((Census!$F58+D$5))+IF((Census!$F58+D$5)-INT((Census!$F58+D$5))&gt;0.5,1,0)),Assumptions!$B$10))</f>
        <v>17372.352832051529</v>
      </c>
      <c r="E58" s="30">
        <f>IF(E$5&gt;$B58,0,INDEX(Decrements!$G$6:$G$58,Census!$G58+E$5-18)/INDEX(Decrements!$G$6:$G$58,Census!$G58-17)*(INDEX(Decrements!$D$6:$D$58,Census!$G58+E$5-18)+IF(E$5=$B58,INDEX(Decrements!$F$6:$F$58,Census!$G58+E$5-18),0)+INDEX(Decrements!$E$6:$E$58,Census!$G58+E$5-18)*IF((Census!$F58+E$5)&gt;=Assumptions!$B$11,1,0))*MIN(15/26*Census!$D58*(1+Assumptions!$B$9)^E$5*(INT((Census!$F58+E$5))+IF((Census!$F58+E$5)-INT((Census!$F58+E$5))&gt;0.5,1,0)),Assumptions!$B$10))</f>
        <v>19472.021006915147</v>
      </c>
      <c r="F58" s="30">
        <f>IF(F$5&gt;$B58,0,INDEX(Decrements!$G$6:$G$58,Census!$G58+F$5-18)/INDEX(Decrements!$G$6:$G$58,Census!$G58-17)*(INDEX(Decrements!$D$6:$D$58,Census!$G58+F$5-18)+IF(F$5=$B58,INDEX(Decrements!$F$6:$F$58,Census!$G58+F$5-18),0)+INDEX(Decrements!$E$6:$E$58,Census!$G58+F$5-18)*IF((Census!$F58+F$5)&gt;=Assumptions!$B$11,1,0))*MIN(15/26*Census!$D58*(1+Assumptions!$B$9)^F$5*(INT((Census!$F58+F$5))+IF((Census!$F58+F$5)-INT((Census!$F58+F$5))&gt;0.5,1,0)),Assumptions!$B$10))</f>
        <v>21379.870548716477</v>
      </c>
      <c r="G58" s="30">
        <f>IF(G$5&gt;$B58,0,INDEX(Decrements!$G$6:$G$58,Census!$G58+G$5-18)/INDEX(Decrements!$G$6:$G$58,Census!$G58-17)*(INDEX(Decrements!$D$6:$D$58,Census!$G58+G$5-18)+IF(G$5=$B58,INDEX(Decrements!$F$6:$F$58,Census!$G58+G$5-18),0)+INDEX(Decrements!$E$6:$E$58,Census!$G58+G$5-18)*IF((Census!$F58+G$5)&gt;=Assumptions!$B$11,1,0))*MIN(15/26*Census!$D58*(1+Assumptions!$B$9)^G$5*(INT((Census!$F58+G$5))+IF((Census!$F58+G$5)-INT((Census!$F58+G$5))&gt;0.5,1,0)),Assumptions!$B$10))</f>
        <v>23107.652208896019</v>
      </c>
      <c r="H58" s="30">
        <f>IF(H$5&gt;$B58,0,INDEX(Decrements!$G$6:$G$58,Census!$G58+H$5-18)/INDEX(Decrements!$G$6:$G$58,Census!$G58-17)*(INDEX(Decrements!$D$6:$D$58,Census!$G58+H$5-18)+IF(H$5=$B58,INDEX(Decrements!$F$6:$F$58,Census!$G58+H$5-18),0)+INDEX(Decrements!$E$6:$E$58,Census!$G58+H$5-18)*IF((Census!$F58+H$5)&gt;=Assumptions!$B$11,1,0))*MIN(15/26*Census!$D58*(1+Assumptions!$B$9)^H$5*(INT((Census!$F58+H$5))+IF((Census!$F58+H$5)-INT((Census!$F58+H$5))&gt;0.5,1,0)),Assumptions!$B$10))</f>
        <v>17999.278783820057</v>
      </c>
      <c r="I58" s="30">
        <f>IF(I$5&gt;$B58,0,INDEX(Decrements!$G$6:$G$58,Census!$G58+I$5-18)/INDEX(Decrements!$G$6:$G$58,Census!$G58-17)*(INDEX(Decrements!$D$6:$D$58,Census!$G58+I$5-18)+IF(I$5=$B58,INDEX(Decrements!$F$6:$F$58,Census!$G58+I$5-18),0)+INDEX(Decrements!$E$6:$E$58,Census!$G58+I$5-18)*IF((Census!$F58+I$5)&gt;=Assumptions!$B$11,1,0))*MIN(15/26*Census!$D58*(1+Assumptions!$B$9)^I$5*(INT((Census!$F58+I$5))+IF((Census!$F58+I$5)-INT((Census!$F58+I$5))&gt;0.5,1,0)),Assumptions!$B$10))</f>
        <v>19666.195985117534</v>
      </c>
      <c r="J58" s="30">
        <f>IF(J$5&gt;$B58,0,INDEX(Decrements!$G$6:$G$58,Census!$G58+J$5-18)/INDEX(Decrements!$G$6:$G$58,Census!$G58-17)*(INDEX(Decrements!$D$6:$D$58,Census!$G58+J$5-18)+IF(J$5=$B58,INDEX(Decrements!$F$6:$F$58,Census!$G58+J$5-18),0)+INDEX(Decrements!$E$6:$E$58,Census!$G58+J$5-18)*IF((Census!$F58+J$5)&gt;=Assumptions!$B$11,1,0))*MIN(15/26*Census!$D58*(1+Assumptions!$B$9)^J$5*(INT((Census!$F58+J$5))+IF((Census!$F58+J$5)-INT((Census!$F58+J$5))&gt;0.5,1,0)),Assumptions!$B$10))</f>
        <v>21310.062534001278</v>
      </c>
      <c r="K58" s="30">
        <f>IF(K$5&gt;$B58,0,INDEX(Decrements!$G$6:$G$58,Census!$G58+K$5-18)/INDEX(Decrements!$G$6:$G$58,Census!$G58-17)*(INDEX(Decrements!$D$6:$D$58,Census!$G58+K$5-18)+IF(K$5=$B58,INDEX(Decrements!$F$6:$F$58,Census!$G58+K$5-18),0)+INDEX(Decrements!$E$6:$E$58,Census!$G58+K$5-18)*IF((Census!$F58+K$5)&gt;=Assumptions!$B$11,1,0))*MIN(15/26*Census!$D58*(1+Assumptions!$B$9)^K$5*(INT((Census!$F58+K$5))+IF((Census!$F58+K$5)-INT((Census!$F58+K$5))&gt;0.5,1,0)),Assumptions!$B$10))</f>
        <v>22931.165508125094</v>
      </c>
      <c r="L58" s="30">
        <f>IF(L$5&gt;$B58,0,INDEX(Decrements!$G$6:$G$58,Census!$G58+L$5-18)/INDEX(Decrements!$G$6:$G$58,Census!$G58-17)*(INDEX(Decrements!$D$6:$D$58,Census!$G58+L$5-18)+IF(L$5=$B58,INDEX(Decrements!$F$6:$F$58,Census!$G58+L$5-18),0)+INDEX(Decrements!$E$6:$E$58,Census!$G58+L$5-18)*IF((Census!$F58+L$5)&gt;=Assumptions!$B$11,1,0))*MIN(15/26*Census!$D58*(1+Assumptions!$B$9)^L$5*(INT((Census!$F58+L$5))+IF((Census!$F58+L$5)-INT((Census!$F58+L$5))&gt;0.5,1,0)),Assumptions!$B$10))</f>
        <v>24529.793785684597</v>
      </c>
      <c r="M58" s="30">
        <f>IF(M$5&gt;$B58,0,INDEX(Decrements!$G$6:$G$58,Census!$G58+M$5-18)/INDEX(Decrements!$G$6:$G$58,Census!$G58-17)*(INDEX(Decrements!$D$6:$D$58,Census!$G58+M$5-18)+IF(M$5=$B58,INDEX(Decrements!$F$6:$F$58,Census!$G58+M$5-18),0)+INDEX(Decrements!$E$6:$E$58,Census!$G58+M$5-18)*IF((Census!$F58+M$5)&gt;=Assumptions!$B$11,1,0))*MIN(15/26*Census!$D58*(1+Assumptions!$B$9)^M$5*(INT((Census!$F58+M$5))+IF((Census!$F58+M$5)-INT((Census!$F58+M$5))&gt;0.5,1,0)),Assumptions!$B$10))</f>
        <v>16478.936240795083</v>
      </c>
      <c r="N58" s="30">
        <f>IF(N$5&gt;$B58,0,INDEX(Decrements!$G$6:$G$58,Census!$G58+N$5-18)/INDEX(Decrements!$G$6:$G$58,Census!$G58-17)*(INDEX(Decrements!$D$6:$D$58,Census!$G58+N$5-18)+IF(N$5=$B58,INDEX(Decrements!$F$6:$F$58,Census!$G58+N$5-18),0)+INDEX(Decrements!$E$6:$E$58,Census!$G58+N$5-18)*IF((Census!$F58+N$5)&gt;=Assumptions!$B$11,1,0))*MIN(15/26*Census!$D58*(1+Assumptions!$B$9)^N$5*(INT((Census!$F58+N$5))+IF((Census!$F58+N$5)-INT((Census!$F58+N$5))&gt;0.5,1,0)),Assumptions!$B$10))</f>
        <v>18041.86531102653</v>
      </c>
      <c r="O58" s="30">
        <f>IF(O$5&gt;$B58,0,INDEX(Decrements!$G$6:$G$58,Census!$G58+O$5-18)/INDEX(Decrements!$G$6:$G$58,Census!$G58-17)*(INDEX(Decrements!$D$6:$D$58,Census!$G58+O$5-18)+IF(O$5=$B58,INDEX(Decrements!$F$6:$F$58,Census!$G58+O$5-18),0)+INDEX(Decrements!$E$6:$E$58,Census!$G58+O$5-18)*IF((Census!$F58+O$5)&gt;=Assumptions!$B$11,1,0))*MIN(15/26*Census!$D58*(1+Assumptions!$B$9)^O$5*(INT((Census!$F58+O$5))+IF((Census!$F58+O$5)-INT((Census!$F58+O$5))&gt;0.5,1,0)),Assumptions!$B$10))</f>
        <v>19677.380238990379</v>
      </c>
      <c r="P58" s="30">
        <f>IF(P$5&gt;$B58,0,INDEX(Decrements!$G$6:$G$58,Census!$G58+P$5-18)/INDEX(Decrements!$G$6:$G$58,Census!$G58-17)*(INDEX(Decrements!$D$6:$D$58,Census!$G58+P$5-18)+IF(P$5=$B58,INDEX(Decrements!$F$6:$F$58,Census!$G58+P$5-18),0)+INDEX(Decrements!$E$6:$E$58,Census!$G58+P$5-18)*IF((Census!$F58+P$5)&gt;=Assumptions!$B$11,1,0))*MIN(15/26*Census!$D58*(1+Assumptions!$B$9)^P$5*(INT((Census!$F58+P$5))+IF((Census!$F58+P$5)-INT((Census!$F58+P$5))&gt;0.5,1,0)),Assumptions!$B$10))</f>
        <v>21388.687266962894</v>
      </c>
      <c r="Q58" s="30">
        <f>IF(Q$5&gt;$B58,0,INDEX(Decrements!$G$6:$G$58,Census!$G58+Q$5-18)/INDEX(Decrements!$G$6:$G$58,Census!$G58-17)*(INDEX(Decrements!$D$6:$D$58,Census!$G58+Q$5-18)+IF(Q$5=$B58,INDEX(Decrements!$F$6:$F$58,Census!$G58+Q$5-18),0)+INDEX(Decrements!$E$6:$E$58,Census!$G58+Q$5-18)*IF((Census!$F58+Q$5)&gt;=Assumptions!$B$11,1,0))*MIN(15/26*Census!$D58*(1+Assumptions!$B$9)^Q$5*(INT((Census!$F58+Q$5))+IF((Census!$F58+Q$5)-INT((Census!$F58+Q$5))&gt;0.5,1,0)),Assumptions!$B$10))</f>
        <v>23179.181533423074</v>
      </c>
      <c r="R58" s="30">
        <f>IF(R$5&gt;$B58,0,INDEX(Decrements!$G$6:$G$58,Census!$G58+R$5-18)/INDEX(Decrements!$G$6:$G$58,Census!$G58-17)*(INDEX(Decrements!$D$6:$D$58,Census!$G58+R$5-18)+IF(R$5=$B58,INDEX(Decrements!$F$6:$F$58,Census!$G58+R$5-18),0)+INDEX(Decrements!$E$6:$E$58,Census!$G58+R$5-18)*IF((Census!$F58+R$5)&gt;=Assumptions!$B$11,1,0))*MIN(15/26*Census!$D58*(1+Assumptions!$B$9)^R$5*(INT((Census!$F58+R$5))+IF((Census!$F58+R$5)-INT((Census!$F58+R$5))&gt;0.5,1,0)),Assumptions!$B$10))</f>
        <v>15404.17338029155</v>
      </c>
      <c r="S58" s="30">
        <f>IF(S$5&gt;$B58,0,INDEX(Decrements!$G$6:$G$58,Census!$G58+S$5-18)/INDEX(Decrements!$G$6:$G$58,Census!$G58-17)*(INDEX(Decrements!$D$6:$D$58,Census!$G58+S$5-18)+IF(S$5=$B58,INDEX(Decrements!$F$6:$F$58,Census!$G58+S$5-18),0)+INDEX(Decrements!$E$6:$E$58,Census!$G58+S$5-18)*IF((Census!$F58+S$5)&gt;=Assumptions!$B$11,1,0))*MIN(15/26*Census!$D58*(1+Assumptions!$B$9)^S$5*(INT((Census!$F58+S$5))+IF((Census!$F58+S$5)-INT((Census!$F58+S$5))&gt;0.5,1,0)),Assumptions!$B$10))</f>
        <v>16990.191339328245</v>
      </c>
      <c r="T58" s="30">
        <f>IF(T$5&gt;$B58,0,INDEX(Decrements!$G$6:$G$58,Census!$G58+T$5-18)/INDEX(Decrements!$G$6:$G$58,Census!$G58-17)*(INDEX(Decrements!$D$6:$D$58,Census!$G58+T$5-18)+IF(T$5=$B58,INDEX(Decrements!$F$6:$F$58,Census!$G58+T$5-18),0)+INDEX(Decrements!$E$6:$E$58,Census!$G58+T$5-18)*IF((Census!$F58+T$5)&gt;=Assumptions!$B$11,1,0))*MIN(15/26*Census!$D58*(1+Assumptions!$B$9)^T$5*(INT((Census!$F58+T$5))+IF((Census!$F58+T$5)-INT((Census!$F58+T$5))&gt;0.5,1,0)),Assumptions!$B$10))</f>
        <v>16876.267442662167</v>
      </c>
      <c r="U58" s="30">
        <f>IF(U$5&gt;$B58,0,INDEX(Decrements!$G$6:$G$58,Census!$G58+U$5-18)/INDEX(Decrements!$G$6:$G$58,Census!$G58-17)*(INDEX(Decrements!$D$6:$D$58,Census!$G58+U$5-18)+IF(U$5=$B58,INDEX(Decrements!$F$6:$F$58,Census!$G58+U$5-18),0)+INDEX(Decrements!$E$6:$E$58,Census!$G58+U$5-18)*IF((Census!$F58+U$5)&gt;=Assumptions!$B$11,1,0))*MIN(15/26*Census!$D58*(1+Assumptions!$B$9)^U$5*(INT((Census!$F58+U$5))+IF((Census!$F58+U$5)-INT((Census!$F58+U$5))&gt;0.5,1,0)),Assumptions!$B$10))</f>
        <v>16424.078548851645</v>
      </c>
      <c r="V58" s="30">
        <f>IF(V$5&gt;$B58,0,INDEX(Decrements!$G$6:$G$58,Census!$G58+V$5-18)/INDEX(Decrements!$G$6:$G$58,Census!$G58-17)*(INDEX(Decrements!$D$6:$D$58,Census!$G58+V$5-18)+IF(V$5=$B58,INDEX(Decrements!$F$6:$F$58,Census!$G58+V$5-18),0)+INDEX(Decrements!$E$6:$E$58,Census!$G58+V$5-18)*IF((Census!$F58+V$5)&gt;=Assumptions!$B$11,1,0))*MIN(15/26*Census!$D58*(1+Assumptions!$B$9)^V$5*(INT((Census!$F58+V$5))+IF((Census!$F58+V$5)-INT((Census!$F58+V$5))&gt;0.5,1,0)),Assumptions!$B$10))</f>
        <v>15989.335540682634</v>
      </c>
      <c r="W58" s="30">
        <f>IF(W$5&gt;$B58,0,INDEX(Decrements!$G$6:$G$58,Census!$G58+W$5-18)/INDEX(Decrements!$G$6:$G$58,Census!$G58-17)*(INDEX(Decrements!$D$6:$D$58,Census!$G58+W$5-18)+IF(W$5=$B58,INDEX(Decrements!$F$6:$F$58,Census!$G58+W$5-18),0)+INDEX(Decrements!$E$6:$E$58,Census!$G58+W$5-18)*IF((Census!$F58+W$5)&gt;=Assumptions!$B$11,1,0))*MIN(15/26*Census!$D58*(1+Assumptions!$B$9)^W$5*(INT((Census!$F58+W$5))+IF((Census!$F58+W$5)-INT((Census!$F58+W$5))&gt;0.5,1,0)),Assumptions!$B$10))</f>
        <v>10833.971742778096</v>
      </c>
      <c r="X58" s="30">
        <f>IF(X$5&gt;$B58,0,INDEX(Decrements!$G$6:$G$58,Census!$G58+X$5-18)/INDEX(Decrements!$G$6:$G$58,Census!$G58-17)*(INDEX(Decrements!$D$6:$D$58,Census!$G58+X$5-18)+IF(X$5=$B58,INDEX(Decrements!$F$6:$F$58,Census!$G58+X$5-18),0)+INDEX(Decrements!$E$6:$E$58,Census!$G58+X$5-18)*IF((Census!$F58+X$5)&gt;=Assumptions!$B$11,1,0))*MIN(15/26*Census!$D58*(1+Assumptions!$B$9)^X$5*(INT((Census!$F58+X$5))+IF((Census!$F58+X$5)-INT((Census!$F58+X$5))&gt;0.5,1,0)),Assumptions!$B$10))</f>
        <v>10698.685501007501</v>
      </c>
      <c r="Y58" s="30">
        <f>IF(Y$5&gt;$B58,0,INDEX(Decrements!$G$6:$G$58,Census!$G58+Y$5-18)/INDEX(Decrements!$G$6:$G$58,Census!$G58-17)*(INDEX(Decrements!$D$6:$D$58,Census!$G58+Y$5-18)+IF(Y$5=$B58,INDEX(Decrements!$F$6:$F$58,Census!$G58+Y$5-18),0)+INDEX(Decrements!$E$6:$E$58,Census!$G58+Y$5-18)*IF((Census!$F58+Y$5)&gt;=Assumptions!$B$11,1,0))*MIN(15/26*Census!$D58*(1+Assumptions!$B$9)^Y$5*(INT((Census!$F58+Y$5))+IF((Census!$F58+Y$5)-INT((Census!$F58+Y$5))&gt;0.5,1,0)),Assumptions!$B$10))</f>
        <v>10572.220483260417</v>
      </c>
      <c r="Z58" s="30">
        <f>IF(Z$5&gt;$B58,0,INDEX(Decrements!$G$6:$G$58,Census!$G58+Z$5-18)/INDEX(Decrements!$G$6:$G$58,Census!$G58-17)*(INDEX(Decrements!$D$6:$D$58,Census!$G58+Z$5-18)+IF(Z$5=$B58,INDEX(Decrements!$F$6:$F$58,Census!$G58+Z$5-18),0)+INDEX(Decrements!$E$6:$E$58,Census!$G58+Z$5-18)*IF((Census!$F58+Z$5)&gt;=Assumptions!$B$11,1,0))*MIN(15/26*Census!$D58*(1+Assumptions!$B$9)^Z$5*(INT((Census!$F58+Z$5))+IF((Census!$F58+Z$5)-INT((Census!$F58+Z$5))&gt;0.5,1,0)),Assumptions!$B$10))</f>
        <v>10454.762570127461</v>
      </c>
      <c r="AA58" s="30">
        <f>IF(AA$5&gt;$B58,0,INDEX(Decrements!$G$6:$G$58,Census!$G58+AA$5-18)/INDEX(Decrements!$G$6:$G$58,Census!$G58-17)*(INDEX(Decrements!$D$6:$D$58,Census!$G58+AA$5-18)+IF(AA$5=$B58,INDEX(Decrements!$F$6:$F$58,Census!$G58+AA$5-18),0)+INDEX(Decrements!$E$6:$E$58,Census!$G58+AA$5-18)*IF((Census!$F58+AA$5)&gt;=Assumptions!$B$11,1,0))*MIN(15/26*Census!$D58*(1+Assumptions!$B$9)^AA$5*(INT((Census!$F58+AA$5))+IF((Census!$F58+AA$5)-INT((Census!$F58+AA$5))&gt;0.5,1,0)),Assumptions!$B$10))</f>
        <v>10346.503776240357</v>
      </c>
      <c r="AB58" s="30">
        <f>IF(AB$5&gt;$B58,0,INDEX(Decrements!$G$6:$G$58,Census!$G58+AB$5-18)/INDEX(Decrements!$G$6:$G$58,Census!$G58-17)*(INDEX(Decrements!$D$6:$D$58,Census!$G58+AB$5-18)+IF(AB$5=$B58,INDEX(Decrements!$F$6:$F$58,Census!$G58+AB$5-18),0)+INDEX(Decrements!$E$6:$E$58,Census!$G58+AB$5-18)*IF((Census!$F58+AB$5)&gt;=Assumptions!$B$11,1,0))*MIN(15/26*Census!$D58*(1+Assumptions!$B$9)^AB$5*(INT((Census!$F58+AB$5))+IF((Census!$F58+AB$5)-INT((Census!$F58+AB$5))&gt;0.5,1,0)),Assumptions!$B$10))</f>
        <v>6043.7884830137318</v>
      </c>
      <c r="AC58" s="30">
        <f>IF(AC$5&gt;$B58,0,INDEX(Decrements!$G$6:$G$58,Census!$G58+AC$5-18)/INDEX(Decrements!$G$6:$G$58,Census!$G58-17)*(INDEX(Decrements!$D$6:$D$58,Census!$G58+AC$5-18)+IF(AC$5=$B58,INDEX(Decrements!$F$6:$F$58,Census!$G58+AC$5-18),0)+INDEX(Decrements!$E$6:$E$58,Census!$G58+AC$5-18)*IF((Census!$F58+AC$5)&gt;=Assumptions!$B$11,1,0))*MIN(15/26*Census!$D58*(1+Assumptions!$B$9)^AC$5*(INT((Census!$F58+AC$5))+IF((Census!$F58+AC$5)-INT((Census!$F58+AC$5))&gt;0.5,1,0)),Assumptions!$B$10))</f>
        <v>6119.9902472141257</v>
      </c>
      <c r="AD58" s="30">
        <f>IF(AD$5&gt;$B58,0,INDEX(Decrements!$G$6:$G$58,Census!$G58+AD$5-18)/INDEX(Decrements!$G$6:$G$58,Census!$G58-17)*(INDEX(Decrements!$D$6:$D$58,Census!$G58+AD$5-18)+IF(AD$5=$B58,INDEX(Decrements!$F$6:$F$58,Census!$G58+AD$5-18),0)+INDEX(Decrements!$E$6:$E$58,Census!$G58+AD$5-18)*IF((Census!$F58+AD$5)&gt;=Assumptions!$B$11,1,0))*MIN(15/26*Census!$D58*(1+Assumptions!$B$9)^AD$5*(INT((Census!$F58+AD$5))+IF((Census!$F58+AD$5)-INT((Census!$F58+AD$5))&gt;0.5,1,0)),Assumptions!$B$10))</f>
        <v>6206.274434705726</v>
      </c>
      <c r="AE58" s="30">
        <f>IF(AE$5&gt;$B58,0,INDEX(Decrements!$G$6:$G$58,Census!$G58+AE$5-18)/INDEX(Decrements!$G$6:$G$58,Census!$G58-17)*(INDEX(Decrements!$D$6:$D$58,Census!$G58+AE$5-18)+IF(AE$5=$B58,INDEX(Decrements!$F$6:$F$58,Census!$G58+AE$5-18),0)+INDEX(Decrements!$E$6:$E$58,Census!$G58+AE$5-18)*IF((Census!$F58+AE$5)&gt;=Assumptions!$B$11,1,0))*MIN(15/26*Census!$D58*(1+Assumptions!$B$9)^AE$5*(INT((Census!$F58+AE$5))+IF((Census!$F58+AE$5)-INT((Census!$F58+AE$5))&gt;0.5,1,0)),Assumptions!$B$10))</f>
        <v>6303.2274773519975</v>
      </c>
      <c r="AF58" s="30">
        <f>IF(AF$5&gt;$B58,0,INDEX(Decrements!$G$6:$G$58,Census!$G58+AF$5-18)/INDEX(Decrements!$G$6:$G$58,Census!$G58-17)*(INDEX(Decrements!$D$6:$D$58,Census!$G58+AF$5-18)+IF(AF$5=$B58,INDEX(Decrements!$F$6:$F$58,Census!$G58+AF$5-18),0)+INDEX(Decrements!$E$6:$E$58,Census!$G58+AF$5-18)*IF((Census!$F58+AF$5)&gt;=Assumptions!$B$11,1,0))*MIN(15/26*Census!$D58*(1+Assumptions!$B$9)^AF$5*(INT((Census!$F58+AF$5))+IF((Census!$F58+AF$5)-INT((Census!$F58+AF$5))&gt;0.5,1,0)),Assumptions!$B$10))</f>
        <v>397551.78311539261</v>
      </c>
      <c r="AG58" s="30">
        <f>IF(AG$5&gt;$B58,0,INDEX(Decrements!$G$6:$G$58,Census!$G58+AG$5-18)/INDEX(Decrements!$G$6:$G$58,Census!$G58-17)*(INDEX(Decrements!$D$6:$D$58,Census!$G58+AG$5-18)+IF(AG$5=$B58,INDEX(Decrements!$F$6:$F$58,Census!$G58+AG$5-18),0)+INDEX(Decrements!$E$6:$E$58,Census!$G58+AG$5-18)*IF((Census!$F58+AG$5)&gt;=Assumptions!$B$11,1,0))*MIN(15/26*Census!$D58*(1+Assumptions!$B$9)^AG$5*(INT((Census!$F58+AG$5))+IF((Census!$F58+AG$5)-INT((Census!$F58+AG$5))&gt;0.5,1,0)),Assumptions!$B$10))</f>
        <v>0</v>
      </c>
      <c r="AH58" s="30">
        <f>IF(AH$5&gt;$B58,0,INDEX(Decrements!$G$6:$G$58,Census!$G58+AH$5-18)/INDEX(Decrements!$G$6:$G$58,Census!$G58-17)*(INDEX(Decrements!$D$6:$D$58,Census!$G58+AH$5-18)+IF(AH$5=$B58,INDEX(Decrements!$F$6:$F$58,Census!$G58+AH$5-18),0)+INDEX(Decrements!$E$6:$E$58,Census!$G58+AH$5-18)*IF((Census!$F58+AH$5)&gt;=Assumptions!$B$11,1,0))*MIN(15/26*Census!$D58*(1+Assumptions!$B$9)^AH$5*(INT((Census!$F58+AH$5))+IF((Census!$F58+AH$5)-INT((Census!$F58+AH$5))&gt;0.5,1,0)),Assumptions!$B$10))</f>
        <v>0</v>
      </c>
      <c r="AI58" s="30">
        <f>IF(AI$5&gt;$B58,0,INDEX(Decrements!$G$6:$G$58,Census!$G58+AI$5-18)/INDEX(Decrements!$G$6:$G$58,Census!$G58-17)*(INDEX(Decrements!$D$6:$D$58,Census!$G58+AI$5-18)+IF(AI$5=$B58,INDEX(Decrements!$F$6:$F$58,Census!$G58+AI$5-18),0)+INDEX(Decrements!$E$6:$E$58,Census!$G58+AI$5-18)*IF((Census!$F58+AI$5)&gt;=Assumptions!$B$11,1,0))*MIN(15/26*Census!$D58*(1+Assumptions!$B$9)^AI$5*(INT((Census!$F58+AI$5))+IF((Census!$F58+AI$5)-INT((Census!$F58+AI$5))&gt;0.5,1,0)),Assumptions!$B$10))</f>
        <v>0</v>
      </c>
      <c r="AJ58" s="30">
        <f>IF(AJ$5&gt;$B58,0,INDEX(Decrements!$G$6:$G$58,Census!$G58+AJ$5-18)/INDEX(Decrements!$G$6:$G$58,Census!$G58-17)*(INDEX(Decrements!$D$6:$D$58,Census!$G58+AJ$5-18)+IF(AJ$5=$B58,INDEX(Decrements!$F$6:$F$58,Census!$G58+AJ$5-18),0)+INDEX(Decrements!$E$6:$E$58,Census!$G58+AJ$5-18)*IF((Census!$F58+AJ$5)&gt;=Assumptions!$B$11,1,0))*MIN(15/26*Census!$D58*(1+Assumptions!$B$9)^AJ$5*(INT((Census!$F58+AJ$5))+IF((Census!$F58+AJ$5)-INT((Census!$F58+AJ$5))&gt;0.5,1,0)),Assumptions!$B$10))</f>
        <v>0</v>
      </c>
      <c r="AK58" s="30">
        <f>IF(AK$5&gt;$B58,0,INDEX(Decrements!$G$6:$G$58,Census!$G58+AK$5-18)/INDEX(Decrements!$G$6:$G$58,Census!$G58-17)*(INDEX(Decrements!$D$6:$D$58,Census!$G58+AK$5-18)+IF(AK$5=$B58,INDEX(Decrements!$F$6:$F$58,Census!$G58+AK$5-18),0)+INDEX(Decrements!$E$6:$E$58,Census!$G58+AK$5-18)*IF((Census!$F58+AK$5)&gt;=Assumptions!$B$11,1,0))*MIN(15/26*Census!$D58*(1+Assumptions!$B$9)^AK$5*(INT((Census!$F58+AK$5))+IF((Census!$F58+AK$5)-INT((Census!$F58+AK$5))&gt;0.5,1,0)),Assumptions!$B$10))</f>
        <v>0</v>
      </c>
      <c r="AL58" s="30">
        <f>IF(AL$5&gt;$B58,0,INDEX(Decrements!$G$6:$G$58,Census!$G58+AL$5-18)/INDEX(Decrements!$G$6:$G$58,Census!$G58-17)*(INDEX(Decrements!$D$6:$D$58,Census!$G58+AL$5-18)+IF(AL$5=$B58,INDEX(Decrements!$F$6:$F$58,Census!$G58+AL$5-18),0)+INDEX(Decrements!$E$6:$E$58,Census!$G58+AL$5-18)*IF((Census!$F58+AL$5)&gt;=Assumptions!$B$11,1,0))*MIN(15/26*Census!$D58*(1+Assumptions!$B$9)^AL$5*(INT((Census!$F58+AL$5))+IF((Census!$F58+AL$5)-INT((Census!$F58+AL$5))&gt;0.5,1,0)),Assumptions!$B$10))</f>
        <v>0</v>
      </c>
      <c r="AM58" s="30">
        <f>IF(AM$5&gt;$B58,0,INDEX(Decrements!$G$6:$G$58,Census!$G58+AM$5-18)/INDEX(Decrements!$G$6:$G$58,Census!$G58-17)*(INDEX(Decrements!$D$6:$D$58,Census!$G58+AM$5-18)+IF(AM$5=$B58,INDEX(Decrements!$F$6:$F$58,Census!$G58+AM$5-18),0)+INDEX(Decrements!$E$6:$E$58,Census!$G58+AM$5-18)*IF((Census!$F58+AM$5)&gt;=Assumptions!$B$11,1,0))*MIN(15/26*Census!$D58*(1+Assumptions!$B$9)^AM$5*(INT((Census!$F58+AM$5))+IF((Census!$F58+AM$5)-INT((Census!$F58+AM$5))&gt;0.5,1,0)),Assumptions!$B$10))</f>
        <v>0</v>
      </c>
      <c r="AN58" s="30">
        <f>IF(AN$5&gt;$B58,0,INDEX(Decrements!$G$6:$G$58,Census!$G58+AN$5-18)/INDEX(Decrements!$G$6:$G$58,Census!$G58-17)*(INDEX(Decrements!$D$6:$D$58,Census!$G58+AN$5-18)+IF(AN$5=$B58,INDEX(Decrements!$F$6:$F$58,Census!$G58+AN$5-18),0)+INDEX(Decrements!$E$6:$E$58,Census!$G58+AN$5-18)*IF((Census!$F58+AN$5)&gt;=Assumptions!$B$11,1,0))*MIN(15/26*Census!$D58*(1+Assumptions!$B$9)^AN$5*(INT((Census!$F58+AN$5))+IF((Census!$F58+AN$5)-INT((Census!$F58+AN$5))&gt;0.5,1,0)),Assumptions!$B$10))</f>
        <v>0</v>
      </c>
      <c r="AO58" s="30">
        <f>IF(AO$5&gt;$B58,0,INDEX(Decrements!$G$6:$G$58,Census!$G58+AO$5-18)/INDEX(Decrements!$G$6:$G$58,Census!$G58-17)*(INDEX(Decrements!$D$6:$D$58,Census!$G58+AO$5-18)+IF(AO$5=$B58,INDEX(Decrements!$F$6:$F$58,Census!$G58+AO$5-18),0)+INDEX(Decrements!$E$6:$E$58,Census!$G58+AO$5-18)*IF((Census!$F58+AO$5)&gt;=Assumptions!$B$11,1,0))*MIN(15/26*Census!$D58*(1+Assumptions!$B$9)^AO$5*(INT((Census!$F58+AO$5))+IF((Census!$F58+AO$5)-INT((Census!$F58+AO$5))&gt;0.5,1,0)),Assumptions!$B$10))</f>
        <v>0</v>
      </c>
      <c r="AP58" s="30">
        <f>IF(AP$5&gt;$B58,0,INDEX(Decrements!$G$6:$G$58,Census!$G58+AP$5-18)/INDEX(Decrements!$G$6:$G$58,Census!$G58-17)*(INDEX(Decrements!$D$6:$D$58,Census!$G58+AP$5-18)+IF(AP$5=$B58,INDEX(Decrements!$F$6:$F$58,Census!$G58+AP$5-18),0)+INDEX(Decrements!$E$6:$E$58,Census!$G58+AP$5-18)*IF((Census!$F58+AP$5)&gt;=Assumptions!$B$11,1,0))*MIN(15/26*Census!$D58*(1+Assumptions!$B$9)^AP$5*(INT((Census!$F58+AP$5))+IF((Census!$F58+AP$5)-INT((Census!$F58+AP$5))&gt;0.5,1,0)),Assumptions!$B$10))</f>
        <v>0</v>
      </c>
      <c r="AQ58" s="30">
        <f>IF(AQ$5&gt;$B58,0,INDEX(Decrements!$G$6:$G$58,Census!$G58+AQ$5-18)/INDEX(Decrements!$G$6:$G$58,Census!$G58-17)*(INDEX(Decrements!$D$6:$D$58,Census!$G58+AQ$5-18)+IF(AQ$5=$B58,INDEX(Decrements!$F$6:$F$58,Census!$G58+AQ$5-18),0)+INDEX(Decrements!$E$6:$E$58,Census!$G58+AQ$5-18)*IF((Census!$F58+AQ$5)&gt;=Assumptions!$B$11,1,0))*MIN(15/26*Census!$D58*(1+Assumptions!$B$9)^AQ$5*(INT((Census!$F58+AQ$5))+IF((Census!$F58+AQ$5)-INT((Census!$F58+AQ$5))&gt;0.5,1,0)),Assumptions!$B$10))</f>
        <v>0</v>
      </c>
      <c r="AR58" s="30">
        <f>IF(AR$5&gt;$B58,0,INDEX(Decrements!$G$6:$G$58,Census!$G58+AR$5-18)/INDEX(Decrements!$G$6:$G$58,Census!$G58-17)*(INDEX(Decrements!$D$6:$D$58,Census!$G58+AR$5-18)+IF(AR$5=$B58,INDEX(Decrements!$F$6:$F$58,Census!$G58+AR$5-18),0)+INDEX(Decrements!$E$6:$E$58,Census!$G58+AR$5-18)*IF((Census!$F58+AR$5)&gt;=Assumptions!$B$11,1,0))*MIN(15/26*Census!$D58*(1+Assumptions!$B$9)^AR$5*(INT((Census!$F58+AR$5))+IF((Census!$F58+AR$5)-INT((Census!$F58+AR$5))&gt;0.5,1,0)),Assumptions!$B$10))</f>
        <v>0</v>
      </c>
      <c r="AS58" s="30">
        <f>IF(AS$5&gt;$B58,0,INDEX(Decrements!$G$6:$G$58,Census!$G58+AS$5-18)/INDEX(Decrements!$G$6:$G$58,Census!$G58-17)*(INDEX(Decrements!$D$6:$D$58,Census!$G58+AS$5-18)+IF(AS$5=$B58,INDEX(Decrements!$F$6:$F$58,Census!$G58+AS$5-18),0)+INDEX(Decrements!$E$6:$E$58,Census!$G58+AS$5-18)*IF((Census!$F58+AS$5)&gt;=Assumptions!$B$11,1,0))*MIN(15/26*Census!$D58*(1+Assumptions!$B$9)^AS$5*(INT((Census!$F58+AS$5))+IF((Census!$F58+AS$5)-INT((Census!$F58+AS$5))&gt;0.5,1,0)),Assumptions!$B$10))</f>
        <v>0</v>
      </c>
      <c r="AT58" s="30">
        <f>IF(AT$5&gt;$B58,0,INDEX(Decrements!$G$6:$G$58,Census!$G58+AT$5-18)/INDEX(Decrements!$G$6:$G$58,Census!$G58-17)*(INDEX(Decrements!$D$6:$D$58,Census!$G58+AT$5-18)+IF(AT$5=$B58,INDEX(Decrements!$F$6:$F$58,Census!$G58+AT$5-18),0)+INDEX(Decrements!$E$6:$E$58,Census!$G58+AT$5-18)*IF((Census!$F58+AT$5)&gt;=Assumptions!$B$11,1,0))*MIN(15/26*Census!$D58*(1+Assumptions!$B$9)^AT$5*(INT((Census!$F58+AT$5))+IF((Census!$F58+AT$5)-INT((Census!$F58+AT$5))&gt;0.5,1,0)),Assumptions!$B$10))</f>
        <v>0</v>
      </c>
      <c r="AU58" s="30">
        <f>IF(AU$5&gt;$B58,0,INDEX(Decrements!$G$6:$G$58,Census!$G58+AU$5-18)/INDEX(Decrements!$G$6:$G$58,Census!$G58-17)*(INDEX(Decrements!$D$6:$D$58,Census!$G58+AU$5-18)+IF(AU$5=$B58,INDEX(Decrements!$F$6:$F$58,Census!$G58+AU$5-18),0)+INDEX(Decrements!$E$6:$E$58,Census!$G58+AU$5-18)*IF((Census!$F58+AU$5)&gt;=Assumptions!$B$11,1,0))*MIN(15/26*Census!$D58*(1+Assumptions!$B$9)^AU$5*(INT((Census!$F58+AU$5))+IF((Census!$F58+AU$5)-INT((Census!$F58+AU$5))&gt;0.5,1,0)),Assumptions!$B$10))</f>
        <v>0</v>
      </c>
    </row>
    <row r="59" spans="1:47" x14ac:dyDescent="0.3">
      <c r="A59" s="10" t="str">
        <f>Census!A59</f>
        <v>E054</v>
      </c>
      <c r="B59" s="29">
        <f>Census!H59</f>
        <v>36</v>
      </c>
      <c r="C59" s="30">
        <f>IF(C$5&gt;$B59,0,INDEX(Decrements!$G$6:$G$58,Census!$G59+C$5-18)/INDEX(Decrements!$G$6:$G$58,Census!$G59-17)*(INDEX(Decrements!$D$6:$D$58,Census!$G59+C$5-18)+IF(C$5=$B59,INDEX(Decrements!$F$6:$F$58,Census!$G59+C$5-18),0)+INDEX(Decrements!$E$6:$E$58,Census!$G59+C$5-18)*IF((Census!$F59+C$5)&gt;=Assumptions!$B$11,1,0))*MIN(15/26*Census!$D59*(1+Assumptions!$B$9)^C$5*(INT((Census!$F59+C$5))+IF((Census!$F59+C$5)-INT((Census!$F59+C$5))&gt;0.5,1,0)),Assumptions!$B$10))</f>
        <v>52.512791424044373</v>
      </c>
      <c r="D59" s="30">
        <f>IF(D$5&gt;$B59,0,INDEX(Decrements!$G$6:$G$58,Census!$G59+D$5-18)/INDEX(Decrements!$G$6:$G$58,Census!$G59-17)*(INDEX(Decrements!$D$6:$D$58,Census!$G59+D$5-18)+IF(D$5=$B59,INDEX(Decrements!$F$6:$F$58,Census!$G59+D$5-18),0)+INDEX(Decrements!$E$6:$E$58,Census!$G59+D$5-18)*IF((Census!$F59+D$5)&gt;=Assumptions!$B$11,1,0))*MIN(15/26*Census!$D59*(1+Assumptions!$B$9)^D$5*(INT((Census!$F59+D$5))+IF((Census!$F59+D$5)-INT((Census!$F59+D$5))&gt;0.5,1,0)),Assumptions!$B$10))</f>
        <v>60.237829784766824</v>
      </c>
      <c r="E59" s="30">
        <f>IF(E$5&gt;$B59,0,INDEX(Decrements!$G$6:$G$58,Census!$G59+E$5-18)/INDEX(Decrements!$G$6:$G$58,Census!$G59-17)*(INDEX(Decrements!$D$6:$D$58,Census!$G59+E$5-18)+IF(E$5=$B59,INDEX(Decrements!$F$6:$F$58,Census!$G59+E$5-18),0)+INDEX(Decrements!$E$6:$E$58,Census!$G59+E$5-18)*IF((Census!$F59+E$5)&gt;=Assumptions!$B$11,1,0))*MIN(15/26*Census!$D59*(1+Assumptions!$B$9)^E$5*(INT((Census!$F59+E$5))+IF((Census!$F59+E$5)-INT((Census!$F59+E$5))&gt;0.5,1,0)),Assumptions!$B$10))</f>
        <v>17210.297856826684</v>
      </c>
      <c r="F59" s="30">
        <f>IF(F$5&gt;$B59,0,INDEX(Decrements!$G$6:$G$58,Census!$G59+F$5-18)/INDEX(Decrements!$G$6:$G$58,Census!$G59-17)*(INDEX(Decrements!$D$6:$D$58,Census!$G59+F$5-18)+IF(F$5=$B59,INDEX(Decrements!$F$6:$F$58,Census!$G59+F$5-18),0)+INDEX(Decrements!$E$6:$E$58,Census!$G59+F$5-18)*IF((Census!$F59+F$5)&gt;=Assumptions!$B$11,1,0))*MIN(15/26*Census!$D59*(1+Assumptions!$B$9)^F$5*(INT((Census!$F59+F$5))+IF((Census!$F59+F$5)-INT((Census!$F59+F$5))&gt;0.5,1,0)),Assumptions!$B$10))</f>
        <v>18422.849445452863</v>
      </c>
      <c r="G59" s="30">
        <f>IF(G$5&gt;$B59,0,INDEX(Decrements!$G$6:$G$58,Census!$G59+G$5-18)/INDEX(Decrements!$G$6:$G$58,Census!$G59-17)*(INDEX(Decrements!$D$6:$D$58,Census!$G59+G$5-18)+IF(G$5=$B59,INDEX(Decrements!$F$6:$F$58,Census!$G59+G$5-18),0)+INDEX(Decrements!$E$6:$E$58,Census!$G59+G$5-18)*IF((Census!$F59+G$5)&gt;=Assumptions!$B$11,1,0))*MIN(15/26*Census!$D59*(1+Assumptions!$B$9)^G$5*(INT((Census!$F59+G$5))+IF((Census!$F59+G$5)-INT((Census!$F59+G$5))&gt;0.5,1,0)),Assumptions!$B$10))</f>
        <v>19318.154328082841</v>
      </c>
      <c r="H59" s="30">
        <f>IF(H$5&gt;$B59,0,INDEX(Decrements!$G$6:$G$58,Census!$G59+H$5-18)/INDEX(Decrements!$G$6:$G$58,Census!$G59-17)*(INDEX(Decrements!$D$6:$D$58,Census!$G59+H$5-18)+IF(H$5=$B59,INDEX(Decrements!$F$6:$F$58,Census!$G59+H$5-18),0)+INDEX(Decrements!$E$6:$E$58,Census!$G59+H$5-18)*IF((Census!$F59+H$5)&gt;=Assumptions!$B$11,1,0))*MIN(15/26*Census!$D59*(1+Assumptions!$B$9)^H$5*(INT((Census!$F59+H$5))+IF((Census!$F59+H$5)-INT((Census!$F59+H$5))&gt;0.5,1,0)),Assumptions!$B$10))</f>
        <v>19940.213889799161</v>
      </c>
      <c r="I59" s="30">
        <f>IF(I$5&gt;$B59,0,INDEX(Decrements!$G$6:$G$58,Census!$G59+I$5-18)/INDEX(Decrements!$G$6:$G$58,Census!$G59-17)*(INDEX(Decrements!$D$6:$D$58,Census!$G59+I$5-18)+IF(I$5=$B59,INDEX(Decrements!$F$6:$F$58,Census!$G59+I$5-18),0)+INDEX(Decrements!$E$6:$E$58,Census!$G59+I$5-18)*IF((Census!$F59+I$5)&gt;=Assumptions!$B$11,1,0))*MIN(15/26*Census!$D59*(1+Assumptions!$B$9)^I$5*(INT((Census!$F59+I$5))+IF((Census!$F59+I$5)-INT((Census!$F59+I$5))&gt;0.5,1,0)),Assumptions!$B$10))</f>
        <v>14934.708364379629</v>
      </c>
      <c r="J59" s="30">
        <f>IF(J$5&gt;$B59,0,INDEX(Decrements!$G$6:$G$58,Census!$G59+J$5-18)/INDEX(Decrements!$G$6:$G$58,Census!$G59-17)*(INDEX(Decrements!$D$6:$D$58,Census!$G59+J$5-18)+IF(J$5=$B59,INDEX(Decrements!$F$6:$F$58,Census!$G59+J$5-18),0)+INDEX(Decrements!$E$6:$E$58,Census!$G59+J$5-18)*IF((Census!$F59+J$5)&gt;=Assumptions!$B$11,1,0))*MIN(15/26*Census!$D59*(1+Assumptions!$B$9)^J$5*(INT((Census!$F59+J$5))+IF((Census!$F59+J$5)-INT((Census!$F59+J$5))&gt;0.5,1,0)),Assumptions!$B$10))</f>
        <v>15783.314334245539</v>
      </c>
      <c r="K59" s="30">
        <f>IF(K$5&gt;$B59,0,INDEX(Decrements!$G$6:$G$58,Census!$G59+K$5-18)/INDEX(Decrements!$G$6:$G$58,Census!$G59-17)*(INDEX(Decrements!$D$6:$D$58,Census!$G59+K$5-18)+IF(K$5=$B59,INDEX(Decrements!$F$6:$F$58,Census!$G59+K$5-18),0)+INDEX(Decrements!$E$6:$E$58,Census!$G59+K$5-18)*IF((Census!$F59+K$5)&gt;=Assumptions!$B$11,1,0))*MIN(15/26*Census!$D59*(1+Assumptions!$B$9)^K$5*(INT((Census!$F59+K$5))+IF((Census!$F59+K$5)-INT((Census!$F59+K$5))&gt;0.5,1,0)),Assumptions!$B$10))</f>
        <v>16542.165641330619</v>
      </c>
      <c r="L59" s="30">
        <f>IF(L$5&gt;$B59,0,INDEX(Decrements!$G$6:$G$58,Census!$G59+L$5-18)/INDEX(Decrements!$G$6:$G$58,Census!$G59-17)*(INDEX(Decrements!$D$6:$D$58,Census!$G59+L$5-18)+IF(L$5=$B59,INDEX(Decrements!$F$6:$F$58,Census!$G59+L$5-18),0)+INDEX(Decrements!$E$6:$E$58,Census!$G59+L$5-18)*IF((Census!$F59+L$5)&gt;=Assumptions!$B$11,1,0))*MIN(15/26*Census!$D59*(1+Assumptions!$B$9)^L$5*(INT((Census!$F59+L$5))+IF((Census!$F59+L$5)-INT((Census!$F59+L$5))&gt;0.5,1,0)),Assumptions!$B$10))</f>
        <v>17216.963802626411</v>
      </c>
      <c r="M59" s="30">
        <f>IF(M$5&gt;$B59,0,INDEX(Decrements!$G$6:$G$58,Census!$G59+M$5-18)/INDEX(Decrements!$G$6:$G$58,Census!$G59-17)*(INDEX(Decrements!$D$6:$D$58,Census!$G59+M$5-18)+IF(M$5=$B59,INDEX(Decrements!$F$6:$F$58,Census!$G59+M$5-18),0)+INDEX(Decrements!$E$6:$E$58,Census!$G59+M$5-18)*IF((Census!$F59+M$5)&gt;=Assumptions!$B$11,1,0))*MIN(15/26*Census!$D59*(1+Assumptions!$B$9)^M$5*(INT((Census!$F59+M$5))+IF((Census!$F59+M$5)-INT((Census!$F59+M$5))&gt;0.5,1,0)),Assumptions!$B$10))</f>
        <v>17813.098869376736</v>
      </c>
      <c r="N59" s="30">
        <f>IF(N$5&gt;$B59,0,INDEX(Decrements!$G$6:$G$58,Census!$G59+N$5-18)/INDEX(Decrements!$G$6:$G$58,Census!$G59-17)*(INDEX(Decrements!$D$6:$D$58,Census!$G59+N$5-18)+IF(N$5=$B59,INDEX(Decrements!$F$6:$F$58,Census!$G59+N$5-18),0)+INDEX(Decrements!$E$6:$E$58,Census!$G59+N$5-18)*IF((Census!$F59+N$5)&gt;=Assumptions!$B$11,1,0))*MIN(15/26*Census!$D59*(1+Assumptions!$B$9)^N$5*(INT((Census!$F59+N$5))+IF((Census!$F59+N$5)-INT((Census!$F59+N$5))&gt;0.5,1,0)),Assumptions!$B$10))</f>
        <v>13379.641979156262</v>
      </c>
      <c r="O59" s="30">
        <f>IF(O$5&gt;$B59,0,INDEX(Decrements!$G$6:$G$58,Census!$G59+O$5-18)/INDEX(Decrements!$G$6:$G$58,Census!$G59-17)*(INDEX(Decrements!$D$6:$D$58,Census!$G59+O$5-18)+IF(O$5=$B59,INDEX(Decrements!$F$6:$F$58,Census!$G59+O$5-18),0)+INDEX(Decrements!$E$6:$E$58,Census!$G59+O$5-18)*IF((Census!$F59+O$5)&gt;=Assumptions!$B$11,1,0))*MIN(15/26*Census!$D59*(1+Assumptions!$B$9)^O$5*(INT((Census!$F59+O$5))+IF((Census!$F59+O$5)-INT((Census!$F59+O$5))&gt;0.5,1,0)),Assumptions!$B$10))</f>
        <v>14175.741664107156</v>
      </c>
      <c r="P59" s="30">
        <f>IF(P$5&gt;$B59,0,INDEX(Decrements!$G$6:$G$58,Census!$G59+P$5-18)/INDEX(Decrements!$G$6:$G$58,Census!$G59-17)*(INDEX(Decrements!$D$6:$D$58,Census!$G59+P$5-18)+IF(P$5=$B59,INDEX(Decrements!$F$6:$F$58,Census!$G59+P$5-18),0)+INDEX(Decrements!$E$6:$E$58,Census!$G59+P$5-18)*IF((Census!$F59+P$5)&gt;=Assumptions!$B$11,1,0))*MIN(15/26*Census!$D59*(1+Assumptions!$B$9)^P$5*(INT((Census!$F59+P$5))+IF((Census!$F59+P$5)-INT((Census!$F59+P$5))&gt;0.5,1,0)),Assumptions!$B$10))</f>
        <v>14960.65228689234</v>
      </c>
      <c r="Q59" s="30">
        <f>IF(Q$5&gt;$B59,0,INDEX(Decrements!$G$6:$G$58,Census!$G59+Q$5-18)/INDEX(Decrements!$G$6:$G$58,Census!$G59-17)*(INDEX(Decrements!$D$6:$D$58,Census!$G59+Q$5-18)+IF(Q$5=$B59,INDEX(Decrements!$F$6:$F$58,Census!$G59+Q$5-18),0)+INDEX(Decrements!$E$6:$E$58,Census!$G59+Q$5-18)*IF((Census!$F59+Q$5)&gt;=Assumptions!$B$11,1,0))*MIN(15/26*Census!$D59*(1+Assumptions!$B$9)^Q$5*(INT((Census!$F59+Q$5))+IF((Census!$F59+Q$5)-INT((Census!$F59+Q$5))&gt;0.5,1,0)),Assumptions!$B$10))</f>
        <v>15734.516836784311</v>
      </c>
      <c r="R59" s="30">
        <f>IF(R$5&gt;$B59,0,INDEX(Decrements!$G$6:$G$58,Census!$G59+R$5-18)/INDEX(Decrements!$G$6:$G$58,Census!$G59-17)*(INDEX(Decrements!$D$6:$D$58,Census!$G59+R$5-18)+IF(R$5=$B59,INDEX(Decrements!$F$6:$F$58,Census!$G59+R$5-18),0)+INDEX(Decrements!$E$6:$E$58,Census!$G59+R$5-18)*IF((Census!$F59+R$5)&gt;=Assumptions!$B$11,1,0))*MIN(15/26*Census!$D59*(1+Assumptions!$B$9)^R$5*(INT((Census!$F59+R$5))+IF((Census!$F59+R$5)-INT((Census!$F59+R$5))&gt;0.5,1,0)),Assumptions!$B$10))</f>
        <v>16497.479307021011</v>
      </c>
      <c r="S59" s="30">
        <f>IF(S$5&gt;$B59,0,INDEX(Decrements!$G$6:$G$58,Census!$G59+S$5-18)/INDEX(Decrements!$G$6:$G$58,Census!$G59-17)*(INDEX(Decrements!$D$6:$D$58,Census!$G59+S$5-18)+IF(S$5=$B59,INDEX(Decrements!$F$6:$F$58,Census!$G59+S$5-18),0)+INDEX(Decrements!$E$6:$E$58,Census!$G59+S$5-18)*IF((Census!$F59+S$5)&gt;=Assumptions!$B$11,1,0))*MIN(15/26*Census!$D59*(1+Assumptions!$B$9)^S$5*(INT((Census!$F59+S$5))+IF((Census!$F59+S$5)-INT((Census!$F59+S$5))&gt;0.5,1,0)),Assumptions!$B$10))</f>
        <v>10888.449463745685</v>
      </c>
      <c r="T59" s="30">
        <f>IF(T$5&gt;$B59,0,INDEX(Decrements!$G$6:$G$58,Census!$G59+T$5-18)/INDEX(Decrements!$G$6:$G$58,Census!$G59-17)*(INDEX(Decrements!$D$6:$D$58,Census!$G59+T$5-18)+IF(T$5=$B59,INDEX(Decrements!$F$6:$F$58,Census!$G59+T$5-18),0)+INDEX(Decrements!$E$6:$E$58,Census!$G59+T$5-18)*IF((Census!$F59+T$5)&gt;=Assumptions!$B$11,1,0))*MIN(15/26*Census!$D59*(1+Assumptions!$B$9)^T$5*(INT((Census!$F59+T$5))+IF((Census!$F59+T$5)-INT((Census!$F59+T$5))&gt;0.5,1,0)),Assumptions!$B$10))</f>
        <v>11734.886087511008</v>
      </c>
      <c r="U59" s="30">
        <f>IF(U$5&gt;$B59,0,INDEX(Decrements!$G$6:$G$58,Census!$G59+U$5-18)/INDEX(Decrements!$G$6:$G$58,Census!$G59-17)*(INDEX(Decrements!$D$6:$D$58,Census!$G59+U$5-18)+IF(U$5=$B59,INDEX(Decrements!$F$6:$F$58,Census!$G59+U$5-18),0)+INDEX(Decrements!$E$6:$E$58,Census!$G59+U$5-18)*IF((Census!$F59+U$5)&gt;=Assumptions!$B$11,1,0))*MIN(15/26*Census!$D59*(1+Assumptions!$B$9)^U$5*(INT((Census!$F59+U$5))+IF((Census!$F59+U$5)-INT((Census!$F59+U$5))&gt;0.5,1,0)),Assumptions!$B$10))</f>
        <v>11936.854821371111</v>
      </c>
      <c r="V59" s="30">
        <f>IF(V$5&gt;$B59,0,INDEX(Decrements!$G$6:$G$58,Census!$G59+V$5-18)/INDEX(Decrements!$G$6:$G$58,Census!$G59-17)*(INDEX(Decrements!$D$6:$D$58,Census!$G59+V$5-18)+IF(V$5=$B59,INDEX(Decrements!$F$6:$F$58,Census!$G59+V$5-18),0)+INDEX(Decrements!$E$6:$E$58,Census!$G59+V$5-18)*IF((Census!$F59+V$5)&gt;=Assumptions!$B$11,1,0))*MIN(15/26*Census!$D59*(1+Assumptions!$B$9)^V$5*(INT((Census!$F59+V$5))+IF((Census!$F59+V$5)-INT((Census!$F59+V$5))&gt;0.5,1,0)),Assumptions!$B$10))</f>
        <v>11346.434890648343</v>
      </c>
      <c r="W59" s="30">
        <f>IF(W$5&gt;$B59,0,INDEX(Decrements!$G$6:$G$58,Census!$G59+W$5-18)/INDEX(Decrements!$G$6:$G$58,Census!$G59-17)*(INDEX(Decrements!$D$6:$D$58,Census!$G59+W$5-18)+IF(W$5=$B59,INDEX(Decrements!$F$6:$F$58,Census!$G59+W$5-18),0)+INDEX(Decrements!$E$6:$E$58,Census!$G59+W$5-18)*IF((Census!$F59+W$5)&gt;=Assumptions!$B$11,1,0))*MIN(15/26*Census!$D59*(1+Assumptions!$B$9)^W$5*(INT((Census!$F59+W$5))+IF((Census!$F59+W$5)-INT((Census!$F59+W$5))&gt;0.5,1,0)),Assumptions!$B$10))</f>
        <v>10786.201775194046</v>
      </c>
      <c r="X59" s="30">
        <f>IF(X$5&gt;$B59,0,INDEX(Decrements!$G$6:$G$58,Census!$G59+X$5-18)/INDEX(Decrements!$G$6:$G$58,Census!$G59-17)*(INDEX(Decrements!$D$6:$D$58,Census!$G59+X$5-18)+IF(X$5=$B59,INDEX(Decrements!$F$6:$F$58,Census!$G59+X$5-18),0)+INDEX(Decrements!$E$6:$E$58,Census!$G59+X$5-18)*IF((Census!$F59+X$5)&gt;=Assumptions!$B$11,1,0))*MIN(15/26*Census!$D59*(1+Assumptions!$B$9)^X$5*(INT((Census!$F59+X$5))+IF((Census!$F59+X$5)-INT((Census!$F59+X$5))&gt;0.5,1,0)),Assumptions!$B$10))</f>
        <v>6305.3426371745927</v>
      </c>
      <c r="Y59" s="30">
        <f>IF(Y$5&gt;$B59,0,INDEX(Decrements!$G$6:$G$58,Census!$G59+Y$5-18)/INDEX(Decrements!$G$6:$G$58,Census!$G59-17)*(INDEX(Decrements!$D$6:$D$58,Census!$G59+Y$5-18)+IF(Y$5=$B59,INDEX(Decrements!$F$6:$F$58,Census!$G59+Y$5-18),0)+INDEX(Decrements!$E$6:$E$58,Census!$G59+Y$5-18)*IF((Census!$F59+Y$5)&gt;=Assumptions!$B$11,1,0))*MIN(15/26*Census!$D59*(1+Assumptions!$B$9)^Y$5*(INT((Census!$F59+Y$5))+IF((Census!$F59+Y$5)-INT((Census!$F59+Y$5))&gt;0.5,1,0)),Assumptions!$B$10))</f>
        <v>6132.7534938485278</v>
      </c>
      <c r="Z59" s="30">
        <f>IF(Z$5&gt;$B59,0,INDEX(Decrements!$G$6:$G$58,Census!$G59+Z$5-18)/INDEX(Decrements!$G$6:$G$58,Census!$G59-17)*(INDEX(Decrements!$D$6:$D$58,Census!$G59+Z$5-18)+IF(Z$5=$B59,INDEX(Decrements!$F$6:$F$58,Census!$G59+Z$5-18),0)+INDEX(Decrements!$E$6:$E$58,Census!$G59+Z$5-18)*IF((Census!$F59+Z$5)&gt;=Assumptions!$B$11,1,0))*MIN(15/26*Census!$D59*(1+Assumptions!$B$9)^Z$5*(INT((Census!$F59+Z$5))+IF((Census!$F59+Z$5)-INT((Census!$F59+Z$5))&gt;0.5,1,0)),Assumptions!$B$10))</f>
        <v>5966.589071162246</v>
      </c>
      <c r="AA59" s="30">
        <f>IF(AA$5&gt;$B59,0,INDEX(Decrements!$G$6:$G$58,Census!$G59+AA$5-18)/INDEX(Decrements!$G$6:$G$58,Census!$G59-17)*(INDEX(Decrements!$D$6:$D$58,Census!$G59+AA$5-18)+IF(AA$5=$B59,INDEX(Decrements!$F$6:$F$58,Census!$G59+AA$5-18),0)+INDEX(Decrements!$E$6:$E$58,Census!$G59+AA$5-18)*IF((Census!$F59+AA$5)&gt;=Assumptions!$B$11,1,0))*MIN(15/26*Census!$D59*(1+Assumptions!$B$9)^AA$5*(INT((Census!$F59+AA$5))+IF((Census!$F59+AA$5)-INT((Census!$F59+AA$5))&gt;0.5,1,0)),Assumptions!$B$10))</f>
        <v>5806.718097258954</v>
      </c>
      <c r="AB59" s="30">
        <f>IF(AB$5&gt;$B59,0,INDEX(Decrements!$G$6:$G$58,Census!$G59+AB$5-18)/INDEX(Decrements!$G$6:$G$58,Census!$G59-17)*(INDEX(Decrements!$D$6:$D$58,Census!$G59+AB$5-18)+IF(AB$5=$B59,INDEX(Decrements!$F$6:$F$58,Census!$G59+AB$5-18),0)+INDEX(Decrements!$E$6:$E$58,Census!$G59+AB$5-18)*IF((Census!$F59+AB$5)&gt;=Assumptions!$B$11,1,0))*MIN(15/26*Census!$D59*(1+Assumptions!$B$9)^AB$5*(INT((Census!$F59+AB$5))+IF((Census!$F59+AB$5)-INT((Census!$F59+AB$5))&gt;0.5,1,0)),Assumptions!$B$10))</f>
        <v>5653.0151004251802</v>
      </c>
      <c r="AC59" s="30">
        <f>IF(AC$5&gt;$B59,0,INDEX(Decrements!$G$6:$G$58,Census!$G59+AC$5-18)/INDEX(Decrements!$G$6:$G$58,Census!$G59-17)*(INDEX(Decrements!$D$6:$D$58,Census!$G59+AC$5-18)+IF(AC$5=$B59,INDEX(Decrements!$F$6:$F$58,Census!$G59+AC$5-18),0)+INDEX(Decrements!$E$6:$E$58,Census!$G59+AC$5-18)*IF((Census!$F59+AC$5)&gt;=Assumptions!$B$11,1,0))*MIN(15/26*Census!$D59*(1+Assumptions!$B$9)^AC$5*(INT((Census!$F59+AC$5))+IF((Census!$F59+AC$5)-INT((Census!$F59+AC$5))&gt;0.5,1,0)),Assumptions!$B$10))</f>
        <v>3830.3408983866734</v>
      </c>
      <c r="AD59" s="30">
        <f>IF(AD$5&gt;$B59,0,INDEX(Decrements!$G$6:$G$58,Census!$G59+AD$5-18)/INDEX(Decrements!$G$6:$G$58,Census!$G59-17)*(INDEX(Decrements!$D$6:$D$58,Census!$G59+AD$5-18)+IF(AD$5=$B59,INDEX(Decrements!$F$6:$F$58,Census!$G59+AD$5-18),0)+INDEX(Decrements!$E$6:$E$58,Census!$G59+AD$5-18)*IF((Census!$F59+AD$5)&gt;=Assumptions!$B$11,1,0))*MIN(15/26*Census!$D59*(1+Assumptions!$B$9)^AD$5*(INT((Census!$F59+AD$5))+IF((Census!$F59+AD$5)-INT((Census!$F59+AD$5))&gt;0.5,1,0)),Assumptions!$B$10))</f>
        <v>3782.5105701242464</v>
      </c>
      <c r="AE59" s="30">
        <f>IF(AE$5&gt;$B59,0,INDEX(Decrements!$G$6:$G$58,Census!$G59+AE$5-18)/INDEX(Decrements!$G$6:$G$58,Census!$G59-17)*(INDEX(Decrements!$D$6:$D$58,Census!$G59+AE$5-18)+IF(AE$5=$B59,INDEX(Decrements!$F$6:$F$58,Census!$G59+AE$5-18),0)+INDEX(Decrements!$E$6:$E$58,Census!$G59+AE$5-18)*IF((Census!$F59+AE$5)&gt;=Assumptions!$B$11,1,0))*MIN(15/26*Census!$D59*(1+Assumptions!$B$9)^AE$5*(INT((Census!$F59+AE$5))+IF((Census!$F59+AE$5)-INT((Census!$F59+AE$5))&gt;0.5,1,0)),Assumptions!$B$10))</f>
        <v>3737.7989776268073</v>
      </c>
      <c r="AF59" s="30">
        <f>IF(AF$5&gt;$B59,0,INDEX(Decrements!$G$6:$G$58,Census!$G59+AF$5-18)/INDEX(Decrements!$G$6:$G$58,Census!$G59-17)*(INDEX(Decrements!$D$6:$D$58,Census!$G59+AF$5-18)+IF(AF$5=$B59,INDEX(Decrements!$F$6:$F$58,Census!$G59+AF$5-18),0)+INDEX(Decrements!$E$6:$E$58,Census!$G59+AF$5-18)*IF((Census!$F59+AF$5)&gt;=Assumptions!$B$11,1,0))*MIN(15/26*Census!$D59*(1+Assumptions!$B$9)^AF$5*(INT((Census!$F59+AF$5))+IF((Census!$F59+AF$5)-INT((Census!$F59+AF$5))&gt;0.5,1,0)),Assumptions!$B$10))</f>
        <v>3696.2718388088379</v>
      </c>
      <c r="AG59" s="30">
        <f>IF(AG$5&gt;$B59,0,INDEX(Decrements!$G$6:$G$58,Census!$G59+AG$5-18)/INDEX(Decrements!$G$6:$G$58,Census!$G59-17)*(INDEX(Decrements!$D$6:$D$58,Census!$G59+AG$5-18)+IF(AG$5=$B59,INDEX(Decrements!$F$6:$F$58,Census!$G59+AG$5-18),0)+INDEX(Decrements!$E$6:$E$58,Census!$G59+AG$5-18)*IF((Census!$F59+AG$5)&gt;=Assumptions!$B$11,1,0))*MIN(15/26*Census!$D59*(1+Assumptions!$B$9)^AG$5*(INT((Census!$F59+AG$5))+IF((Census!$F59+AG$5)-INT((Census!$F59+AG$5))&gt;0.5,1,0)),Assumptions!$B$10))</f>
        <v>3657.9970402694926</v>
      </c>
      <c r="AH59" s="30">
        <f>IF(AH$5&gt;$B59,0,INDEX(Decrements!$G$6:$G$58,Census!$G59+AH$5-18)/INDEX(Decrements!$G$6:$G$58,Census!$G59-17)*(INDEX(Decrements!$D$6:$D$58,Census!$G59+AH$5-18)+IF(AH$5=$B59,INDEX(Decrements!$F$6:$F$58,Census!$G59+AH$5-18),0)+INDEX(Decrements!$E$6:$E$58,Census!$G59+AH$5-18)*IF((Census!$F59+AH$5)&gt;=Assumptions!$B$11,1,0))*MIN(15/26*Census!$D59*(1+Assumptions!$B$9)^AH$5*(INT((Census!$F59+AH$5))+IF((Census!$F59+AH$5)-INT((Census!$F59+AH$5))&gt;0.5,1,0)),Assumptions!$B$10))</f>
        <v>2136.7759448991956</v>
      </c>
      <c r="AI59" s="30">
        <f>IF(AI$5&gt;$B59,0,INDEX(Decrements!$G$6:$G$58,Census!$G59+AI$5-18)/INDEX(Decrements!$G$6:$G$58,Census!$G59-17)*(INDEX(Decrements!$D$6:$D$58,Census!$G59+AI$5-18)+IF(AI$5=$B59,INDEX(Decrements!$F$6:$F$58,Census!$G59+AI$5-18),0)+INDEX(Decrements!$E$6:$E$58,Census!$G59+AI$5-18)*IF((Census!$F59+AI$5)&gt;=Assumptions!$B$11,1,0))*MIN(15/26*Census!$D59*(1+Assumptions!$B$9)^AI$5*(INT((Census!$F59+AI$5))+IF((Census!$F59+AI$5)-INT((Census!$F59+AI$5))&gt;0.5,1,0)),Assumptions!$B$10))</f>
        <v>2163.7170096237319</v>
      </c>
      <c r="AJ59" s="30">
        <f>IF(AJ$5&gt;$B59,0,INDEX(Decrements!$G$6:$G$58,Census!$G59+AJ$5-18)/INDEX(Decrements!$G$6:$G$58,Census!$G59-17)*(INDEX(Decrements!$D$6:$D$58,Census!$G59+AJ$5-18)+IF(AJ$5=$B59,INDEX(Decrements!$F$6:$F$58,Census!$G59+AJ$5-18),0)+INDEX(Decrements!$E$6:$E$58,Census!$G59+AJ$5-18)*IF((Census!$F59+AJ$5)&gt;=Assumptions!$B$11,1,0))*MIN(15/26*Census!$D59*(1+Assumptions!$B$9)^AJ$5*(INT((Census!$F59+AJ$5))+IF((Census!$F59+AJ$5)-INT((Census!$F59+AJ$5))&gt;0.5,1,0)),Assumptions!$B$10))</f>
        <v>2194.2227059722059</v>
      </c>
      <c r="AK59" s="30">
        <f>IF(AK$5&gt;$B59,0,INDEX(Decrements!$G$6:$G$58,Census!$G59+AK$5-18)/INDEX(Decrements!$G$6:$G$58,Census!$G59-17)*(INDEX(Decrements!$D$6:$D$58,Census!$G59+AK$5-18)+IF(AK$5=$B59,INDEX(Decrements!$F$6:$F$58,Census!$G59+AK$5-18),0)+INDEX(Decrements!$E$6:$E$58,Census!$G59+AK$5-18)*IF((Census!$F59+AK$5)&gt;=Assumptions!$B$11,1,0))*MIN(15/26*Census!$D59*(1+Assumptions!$B$9)^AK$5*(INT((Census!$F59+AK$5))+IF((Census!$F59+AK$5)-INT((Census!$F59+AK$5))&gt;0.5,1,0)),Assumptions!$B$10))</f>
        <v>2228.5003663988718</v>
      </c>
      <c r="AL59" s="30">
        <f>IF(AL$5&gt;$B59,0,INDEX(Decrements!$G$6:$G$58,Census!$G59+AL$5-18)/INDEX(Decrements!$G$6:$G$58,Census!$G59-17)*(INDEX(Decrements!$D$6:$D$58,Census!$G59+AL$5-18)+IF(AL$5=$B59,INDEX(Decrements!$F$6:$F$58,Census!$G59+AL$5-18),0)+INDEX(Decrements!$E$6:$E$58,Census!$G59+AL$5-18)*IF((Census!$F59+AL$5)&gt;=Assumptions!$B$11,1,0))*MIN(15/26*Census!$D59*(1+Assumptions!$B$9)^AL$5*(INT((Census!$F59+AL$5))+IF((Census!$F59+AL$5)-INT((Census!$F59+AL$5))&gt;0.5,1,0)),Assumptions!$B$10))</f>
        <v>140554.07289653536</v>
      </c>
      <c r="AM59" s="30">
        <f>IF(AM$5&gt;$B59,0,INDEX(Decrements!$G$6:$G$58,Census!$G59+AM$5-18)/INDEX(Decrements!$G$6:$G$58,Census!$G59-17)*(INDEX(Decrements!$D$6:$D$58,Census!$G59+AM$5-18)+IF(AM$5=$B59,INDEX(Decrements!$F$6:$F$58,Census!$G59+AM$5-18),0)+INDEX(Decrements!$E$6:$E$58,Census!$G59+AM$5-18)*IF((Census!$F59+AM$5)&gt;=Assumptions!$B$11,1,0))*MIN(15/26*Census!$D59*(1+Assumptions!$B$9)^AM$5*(INT((Census!$F59+AM$5))+IF((Census!$F59+AM$5)-INT((Census!$F59+AM$5))&gt;0.5,1,0)),Assumptions!$B$10))</f>
        <v>0</v>
      </c>
      <c r="AN59" s="30">
        <f>IF(AN$5&gt;$B59,0,INDEX(Decrements!$G$6:$G$58,Census!$G59+AN$5-18)/INDEX(Decrements!$G$6:$G$58,Census!$G59-17)*(INDEX(Decrements!$D$6:$D$58,Census!$G59+AN$5-18)+IF(AN$5=$B59,INDEX(Decrements!$F$6:$F$58,Census!$G59+AN$5-18),0)+INDEX(Decrements!$E$6:$E$58,Census!$G59+AN$5-18)*IF((Census!$F59+AN$5)&gt;=Assumptions!$B$11,1,0))*MIN(15/26*Census!$D59*(1+Assumptions!$B$9)^AN$5*(INT((Census!$F59+AN$5))+IF((Census!$F59+AN$5)-INT((Census!$F59+AN$5))&gt;0.5,1,0)),Assumptions!$B$10))</f>
        <v>0</v>
      </c>
      <c r="AO59" s="30">
        <f>IF(AO$5&gt;$B59,0,INDEX(Decrements!$G$6:$G$58,Census!$G59+AO$5-18)/INDEX(Decrements!$G$6:$G$58,Census!$G59-17)*(INDEX(Decrements!$D$6:$D$58,Census!$G59+AO$5-18)+IF(AO$5=$B59,INDEX(Decrements!$F$6:$F$58,Census!$G59+AO$5-18),0)+INDEX(Decrements!$E$6:$E$58,Census!$G59+AO$5-18)*IF((Census!$F59+AO$5)&gt;=Assumptions!$B$11,1,0))*MIN(15/26*Census!$D59*(1+Assumptions!$B$9)^AO$5*(INT((Census!$F59+AO$5))+IF((Census!$F59+AO$5)-INT((Census!$F59+AO$5))&gt;0.5,1,0)),Assumptions!$B$10))</f>
        <v>0</v>
      </c>
      <c r="AP59" s="30">
        <f>IF(AP$5&gt;$B59,0,INDEX(Decrements!$G$6:$G$58,Census!$G59+AP$5-18)/INDEX(Decrements!$G$6:$G$58,Census!$G59-17)*(INDEX(Decrements!$D$6:$D$58,Census!$G59+AP$5-18)+IF(AP$5=$B59,INDEX(Decrements!$F$6:$F$58,Census!$G59+AP$5-18),0)+INDEX(Decrements!$E$6:$E$58,Census!$G59+AP$5-18)*IF((Census!$F59+AP$5)&gt;=Assumptions!$B$11,1,0))*MIN(15/26*Census!$D59*(1+Assumptions!$B$9)^AP$5*(INT((Census!$F59+AP$5))+IF((Census!$F59+AP$5)-INT((Census!$F59+AP$5))&gt;0.5,1,0)),Assumptions!$B$10))</f>
        <v>0</v>
      </c>
      <c r="AQ59" s="30">
        <f>IF(AQ$5&gt;$B59,0,INDEX(Decrements!$G$6:$G$58,Census!$G59+AQ$5-18)/INDEX(Decrements!$G$6:$G$58,Census!$G59-17)*(INDEX(Decrements!$D$6:$D$58,Census!$G59+AQ$5-18)+IF(AQ$5=$B59,INDEX(Decrements!$F$6:$F$58,Census!$G59+AQ$5-18),0)+INDEX(Decrements!$E$6:$E$58,Census!$G59+AQ$5-18)*IF((Census!$F59+AQ$5)&gt;=Assumptions!$B$11,1,0))*MIN(15/26*Census!$D59*(1+Assumptions!$B$9)^AQ$5*(INT((Census!$F59+AQ$5))+IF((Census!$F59+AQ$5)-INT((Census!$F59+AQ$5))&gt;0.5,1,0)),Assumptions!$B$10))</f>
        <v>0</v>
      </c>
      <c r="AR59" s="30">
        <f>IF(AR$5&gt;$B59,0,INDEX(Decrements!$G$6:$G$58,Census!$G59+AR$5-18)/INDEX(Decrements!$G$6:$G$58,Census!$G59-17)*(INDEX(Decrements!$D$6:$D$58,Census!$G59+AR$5-18)+IF(AR$5=$B59,INDEX(Decrements!$F$6:$F$58,Census!$G59+AR$5-18),0)+INDEX(Decrements!$E$6:$E$58,Census!$G59+AR$5-18)*IF((Census!$F59+AR$5)&gt;=Assumptions!$B$11,1,0))*MIN(15/26*Census!$D59*(1+Assumptions!$B$9)^AR$5*(INT((Census!$F59+AR$5))+IF((Census!$F59+AR$5)-INT((Census!$F59+AR$5))&gt;0.5,1,0)),Assumptions!$B$10))</f>
        <v>0</v>
      </c>
      <c r="AS59" s="30">
        <f>IF(AS$5&gt;$B59,0,INDEX(Decrements!$G$6:$G$58,Census!$G59+AS$5-18)/INDEX(Decrements!$G$6:$G$58,Census!$G59-17)*(INDEX(Decrements!$D$6:$D$58,Census!$G59+AS$5-18)+IF(AS$5=$B59,INDEX(Decrements!$F$6:$F$58,Census!$G59+AS$5-18),0)+INDEX(Decrements!$E$6:$E$58,Census!$G59+AS$5-18)*IF((Census!$F59+AS$5)&gt;=Assumptions!$B$11,1,0))*MIN(15/26*Census!$D59*(1+Assumptions!$B$9)^AS$5*(INT((Census!$F59+AS$5))+IF((Census!$F59+AS$5)-INT((Census!$F59+AS$5))&gt;0.5,1,0)),Assumptions!$B$10))</f>
        <v>0</v>
      </c>
      <c r="AT59" s="30">
        <f>IF(AT$5&gt;$B59,0,INDEX(Decrements!$G$6:$G$58,Census!$G59+AT$5-18)/INDEX(Decrements!$G$6:$G$58,Census!$G59-17)*(INDEX(Decrements!$D$6:$D$58,Census!$G59+AT$5-18)+IF(AT$5=$B59,INDEX(Decrements!$F$6:$F$58,Census!$G59+AT$5-18),0)+INDEX(Decrements!$E$6:$E$58,Census!$G59+AT$5-18)*IF((Census!$F59+AT$5)&gt;=Assumptions!$B$11,1,0))*MIN(15/26*Census!$D59*(1+Assumptions!$B$9)^AT$5*(INT((Census!$F59+AT$5))+IF((Census!$F59+AT$5)-INT((Census!$F59+AT$5))&gt;0.5,1,0)),Assumptions!$B$10))</f>
        <v>0</v>
      </c>
      <c r="AU59" s="30">
        <f>IF(AU$5&gt;$B59,0,INDEX(Decrements!$G$6:$G$58,Census!$G59+AU$5-18)/INDEX(Decrements!$G$6:$G$58,Census!$G59-17)*(INDEX(Decrements!$D$6:$D$58,Census!$G59+AU$5-18)+IF(AU$5=$B59,INDEX(Decrements!$F$6:$F$58,Census!$G59+AU$5-18),0)+INDEX(Decrements!$E$6:$E$58,Census!$G59+AU$5-18)*IF((Census!$F59+AU$5)&gt;=Assumptions!$B$11,1,0))*MIN(15/26*Census!$D59*(1+Assumptions!$B$9)^AU$5*(INT((Census!$F59+AU$5))+IF((Census!$F59+AU$5)-INT((Census!$F59+AU$5))&gt;0.5,1,0)),Assumptions!$B$10))</f>
        <v>0</v>
      </c>
    </row>
    <row r="60" spans="1:47" x14ac:dyDescent="0.3">
      <c r="A60" s="10" t="str">
        <f>Census!A60</f>
        <v>E055</v>
      </c>
      <c r="B60" s="29">
        <f>Census!H60</f>
        <v>22</v>
      </c>
      <c r="C60" s="30">
        <f>IF(C$5&gt;$B60,0,INDEX(Decrements!$G$6:$G$58,Census!$G60+C$5-18)/INDEX(Decrements!$G$6:$G$58,Census!$G60-17)*(INDEX(Decrements!$D$6:$D$58,Census!$G60+C$5-18)+IF(C$5=$B60,INDEX(Decrements!$F$6:$F$58,Census!$G60+C$5-18),0)+INDEX(Decrements!$E$6:$E$58,Census!$G60+C$5-18)*IF((Census!$F60+C$5)&gt;=Assumptions!$B$11,1,0))*MIN(15/26*Census!$D60*(1+Assumptions!$B$9)^C$5*(INT((Census!$F60+C$5))+IF((Census!$F60+C$5)-INT((Census!$F60+C$5))&gt;0.5,1,0)),Assumptions!$B$10))</f>
        <v>79955.76676183712</v>
      </c>
      <c r="D60" s="30">
        <f>IF(D$5&gt;$B60,0,INDEX(Decrements!$G$6:$G$58,Census!$G60+D$5-18)/INDEX(Decrements!$G$6:$G$58,Census!$G60-17)*(INDEX(Decrements!$D$6:$D$58,Census!$G60+D$5-18)+IF(D$5=$B60,INDEX(Decrements!$F$6:$F$58,Census!$G60+D$5-18),0)+INDEX(Decrements!$E$6:$E$58,Census!$G60+D$5-18)*IF((Census!$F60+D$5)&gt;=Assumptions!$B$11,1,0))*MIN(15/26*Census!$D60*(1+Assumptions!$B$9)^D$5*(INT((Census!$F60+D$5))+IF((Census!$F60+D$5)-INT((Census!$F60+D$5))&gt;0.5,1,0)),Assumptions!$B$10))</f>
        <v>84715.250818894754</v>
      </c>
      <c r="E60" s="30">
        <f>IF(E$5&gt;$B60,0,INDEX(Decrements!$G$6:$G$58,Census!$G60+E$5-18)/INDEX(Decrements!$G$6:$G$58,Census!$G60-17)*(INDEX(Decrements!$D$6:$D$58,Census!$G60+E$5-18)+IF(E$5=$B60,INDEX(Decrements!$F$6:$F$58,Census!$G60+E$5-18),0)+INDEX(Decrements!$E$6:$E$58,Census!$G60+E$5-18)*IF((Census!$F60+E$5)&gt;=Assumptions!$B$11,1,0))*MIN(15/26*Census!$D60*(1+Assumptions!$B$9)^E$5*(INT((Census!$F60+E$5))+IF((Census!$F60+E$5)-INT((Census!$F60+E$5))&gt;0.5,1,0)),Assumptions!$B$10))</f>
        <v>56436.827482349938</v>
      </c>
      <c r="F60" s="30">
        <f>IF(F$5&gt;$B60,0,INDEX(Decrements!$G$6:$G$58,Census!$G60+F$5-18)/INDEX(Decrements!$G$6:$G$58,Census!$G60-17)*(INDEX(Decrements!$D$6:$D$58,Census!$G60+F$5-18)+IF(F$5=$B60,INDEX(Decrements!$F$6:$F$58,Census!$G60+F$5-18),0)+INDEX(Decrements!$E$6:$E$58,Census!$G60+F$5-18)*IF((Census!$F60+F$5)&gt;=Assumptions!$B$11,1,0))*MIN(15/26*Census!$D60*(1+Assumptions!$B$9)^F$5*(INT((Census!$F60+F$5))+IF((Census!$F60+F$5)-INT((Census!$F60+F$5))&gt;0.5,1,0)),Assumptions!$B$10))</f>
        <v>61335.190088338095</v>
      </c>
      <c r="G60" s="30">
        <f>IF(G$5&gt;$B60,0,INDEX(Decrements!$G$6:$G$58,Census!$G60+G$5-18)/INDEX(Decrements!$G$6:$G$58,Census!$G60-17)*(INDEX(Decrements!$D$6:$D$58,Census!$G60+G$5-18)+IF(G$5=$B60,INDEX(Decrements!$F$6:$F$58,Census!$G60+G$5-18),0)+INDEX(Decrements!$E$6:$E$58,Census!$G60+G$5-18)*IF((Census!$F60+G$5)&gt;=Assumptions!$B$11,1,0))*MIN(15/26*Census!$D60*(1+Assumptions!$B$9)^G$5*(INT((Census!$F60+G$5))+IF((Census!$F60+G$5)-INT((Census!$F60+G$5))&gt;0.5,1,0)),Assumptions!$B$10))</f>
        <v>66458.068375498435</v>
      </c>
      <c r="H60" s="30">
        <f>IF(H$5&gt;$B60,0,INDEX(Decrements!$G$6:$G$58,Census!$G60+H$5-18)/INDEX(Decrements!$G$6:$G$58,Census!$G60-17)*(INDEX(Decrements!$D$6:$D$58,Census!$G60+H$5-18)+IF(H$5=$B60,INDEX(Decrements!$F$6:$F$58,Census!$G60+H$5-18),0)+INDEX(Decrements!$E$6:$E$58,Census!$G60+H$5-18)*IF((Census!$F60+H$5)&gt;=Assumptions!$B$11,1,0))*MIN(15/26*Census!$D60*(1+Assumptions!$B$9)^H$5*(INT((Census!$F60+H$5))+IF((Census!$F60+H$5)-INT((Census!$F60+H$5))&gt;0.5,1,0)),Assumptions!$B$10))</f>
        <v>71815.365951672647</v>
      </c>
      <c r="I60" s="30">
        <f>IF(I$5&gt;$B60,0,INDEX(Decrements!$G$6:$G$58,Census!$G60+I$5-18)/INDEX(Decrements!$G$6:$G$58,Census!$G60-17)*(INDEX(Decrements!$D$6:$D$58,Census!$G60+I$5-18)+IF(I$5=$B60,INDEX(Decrements!$F$6:$F$58,Census!$G60+I$5-18),0)+INDEX(Decrements!$E$6:$E$58,Census!$G60+I$5-18)*IF((Census!$F60+I$5)&gt;=Assumptions!$B$11,1,0))*MIN(15/26*Census!$D60*(1+Assumptions!$B$9)^I$5*(INT((Census!$F60+I$5))+IF((Census!$F60+I$5)-INT((Census!$F60+I$5))&gt;0.5,1,0)),Assumptions!$B$10))</f>
        <v>70682.774611481495</v>
      </c>
      <c r="J60" s="30">
        <f>IF(J$5&gt;$B60,0,INDEX(Decrements!$G$6:$G$58,Census!$G60+J$5-18)/INDEX(Decrements!$G$6:$G$58,Census!$G60-17)*(INDEX(Decrements!$D$6:$D$58,Census!$G60+J$5-18)+IF(J$5=$B60,INDEX(Decrements!$F$6:$F$58,Census!$G60+J$5-18),0)+INDEX(Decrements!$E$6:$E$58,Census!$G60+J$5-18)*IF((Census!$F60+J$5)&gt;=Assumptions!$B$11,1,0))*MIN(15/26*Census!$D60*(1+Assumptions!$B$9)^J$5*(INT((Census!$F60+J$5))+IF((Census!$F60+J$5)-INT((Census!$F60+J$5))&gt;0.5,1,0)),Assumptions!$B$10))</f>
        <v>41319.374675202409</v>
      </c>
      <c r="K60" s="30">
        <f>IF(K$5&gt;$B60,0,INDEX(Decrements!$G$6:$G$58,Census!$G60+K$5-18)/INDEX(Decrements!$G$6:$G$58,Census!$G60-17)*(INDEX(Decrements!$D$6:$D$58,Census!$G60+K$5-18)+IF(K$5=$B60,INDEX(Decrements!$F$6:$F$58,Census!$G60+K$5-18),0)+INDEX(Decrements!$E$6:$E$58,Census!$G60+K$5-18)*IF((Census!$F60+K$5)&gt;=Assumptions!$B$11,1,0))*MIN(15/26*Census!$D60*(1+Assumptions!$B$9)^K$5*(INT((Census!$F60+K$5))+IF((Census!$F60+K$5)-INT((Census!$F60+K$5))&gt;0.5,1,0)),Assumptions!$B$10))</f>
        <v>40188.385308198332</v>
      </c>
      <c r="L60" s="30">
        <f>IF(L$5&gt;$B60,0,INDEX(Decrements!$G$6:$G$58,Census!$G60+L$5-18)/INDEX(Decrements!$G$6:$G$58,Census!$G60-17)*(INDEX(Decrements!$D$6:$D$58,Census!$G60+L$5-18)+IF(L$5=$B60,INDEX(Decrements!$F$6:$F$58,Census!$G60+L$5-18),0)+INDEX(Decrements!$E$6:$E$58,Census!$G60+L$5-18)*IF((Census!$F60+L$5)&gt;=Assumptions!$B$11,1,0))*MIN(15/26*Census!$D60*(1+Assumptions!$B$9)^L$5*(INT((Census!$F60+L$5))+IF((Census!$F60+L$5)-INT((Census!$F60+L$5))&gt;0.5,1,0)),Assumptions!$B$10))</f>
        <v>39099.49760871246</v>
      </c>
      <c r="M60" s="30">
        <f>IF(M$5&gt;$B60,0,INDEX(Decrements!$G$6:$G$58,Census!$G60+M$5-18)/INDEX(Decrements!$G$6:$G$58,Census!$G60-17)*(INDEX(Decrements!$D$6:$D$58,Census!$G60+M$5-18)+IF(M$5=$B60,INDEX(Decrements!$F$6:$F$58,Census!$G60+M$5-18),0)+INDEX(Decrements!$E$6:$E$58,Census!$G60+M$5-18)*IF((Census!$F60+M$5)&gt;=Assumptions!$B$11,1,0))*MIN(15/26*Census!$D60*(1+Assumptions!$B$9)^M$5*(INT((Census!$F60+M$5))+IF((Census!$F60+M$5)-INT((Census!$F60+M$5))&gt;0.5,1,0)),Assumptions!$B$10))</f>
        <v>38051.851342599381</v>
      </c>
      <c r="N60" s="30">
        <f>IF(N$5&gt;$B60,0,INDEX(Decrements!$G$6:$G$58,Census!$G60+N$5-18)/INDEX(Decrements!$G$6:$G$58,Census!$G60-17)*(INDEX(Decrements!$D$6:$D$58,Census!$G60+N$5-18)+IF(N$5=$B60,INDEX(Decrements!$F$6:$F$58,Census!$G60+N$5-18),0)+INDEX(Decrements!$E$6:$E$58,Census!$G60+N$5-18)*IF((Census!$F60+N$5)&gt;=Assumptions!$B$11,1,0))*MIN(15/26*Census!$D60*(1+Assumptions!$B$9)^N$5*(INT((Census!$F60+N$5))+IF((Census!$F60+N$5)-INT((Census!$F60+N$5))&gt;0.5,1,0)),Assumptions!$B$10))</f>
        <v>37044.624284479985</v>
      </c>
      <c r="O60" s="30">
        <f>IF(O$5&gt;$B60,0,INDEX(Decrements!$G$6:$G$58,Census!$G60+O$5-18)/INDEX(Decrements!$G$6:$G$58,Census!$G60-17)*(INDEX(Decrements!$D$6:$D$58,Census!$G60+O$5-18)+IF(O$5=$B60,INDEX(Decrements!$F$6:$F$58,Census!$G60+O$5-18),0)+INDEX(Decrements!$E$6:$E$58,Census!$G60+O$5-18)*IF((Census!$F60+O$5)&gt;=Assumptions!$B$11,1,0))*MIN(15/26*Census!$D60*(1+Assumptions!$B$9)^O$5*(INT((Census!$F60+O$5))+IF((Census!$F60+O$5)-INT((Census!$F60+O$5))&gt;0.5,1,0)),Assumptions!$B$10))</f>
        <v>25100.506002812483</v>
      </c>
      <c r="P60" s="30">
        <f>IF(P$5&gt;$B60,0,INDEX(Decrements!$G$6:$G$58,Census!$G60+P$5-18)/INDEX(Decrements!$G$6:$G$58,Census!$G60-17)*(INDEX(Decrements!$D$6:$D$58,Census!$G60+P$5-18)+IF(P$5=$B60,INDEX(Decrements!$F$6:$F$58,Census!$G60+P$5-18),0)+INDEX(Decrements!$E$6:$E$58,Census!$G60+P$5-18)*IF((Census!$F60+P$5)&gt;=Assumptions!$B$11,1,0))*MIN(15/26*Census!$D60*(1+Assumptions!$B$9)^P$5*(INT((Census!$F60+P$5))+IF((Census!$F60+P$5)-INT((Census!$F60+P$5))&gt;0.5,1,0)),Assumptions!$B$10))</f>
        <v>24787.070339116537</v>
      </c>
      <c r="Q60" s="30">
        <f>IF(Q$5&gt;$B60,0,INDEX(Decrements!$G$6:$G$58,Census!$G60+Q$5-18)/INDEX(Decrements!$G$6:$G$58,Census!$G60-17)*(INDEX(Decrements!$D$6:$D$58,Census!$G60+Q$5-18)+IF(Q$5=$B60,INDEX(Decrements!$F$6:$F$58,Census!$G60+Q$5-18),0)+INDEX(Decrements!$E$6:$E$58,Census!$G60+Q$5-18)*IF((Census!$F60+Q$5)&gt;=Assumptions!$B$11,1,0))*MIN(15/26*Census!$D60*(1+Assumptions!$B$9)^Q$5*(INT((Census!$F60+Q$5))+IF((Census!$F60+Q$5)-INT((Census!$F60+Q$5))&gt;0.5,1,0)),Assumptions!$B$10))</f>
        <v>24494.071980576187</v>
      </c>
      <c r="R60" s="30">
        <f>IF(R$5&gt;$B60,0,INDEX(Decrements!$G$6:$G$58,Census!$G60+R$5-18)/INDEX(Decrements!$G$6:$G$58,Census!$G60-17)*(INDEX(Decrements!$D$6:$D$58,Census!$G60+R$5-18)+IF(R$5=$B60,INDEX(Decrements!$F$6:$F$58,Census!$G60+R$5-18),0)+INDEX(Decrements!$E$6:$E$58,Census!$G60+R$5-18)*IF((Census!$F60+R$5)&gt;=Assumptions!$B$11,1,0))*MIN(15/26*Census!$D60*(1+Assumptions!$B$9)^R$5*(INT((Census!$F60+R$5))+IF((Census!$F60+R$5)-INT((Census!$F60+R$5))&gt;0.5,1,0)),Assumptions!$B$10))</f>
        <v>24221.941581524996</v>
      </c>
      <c r="S60" s="30">
        <f>IF(S$5&gt;$B60,0,INDEX(Decrements!$G$6:$G$58,Census!$G60+S$5-18)/INDEX(Decrements!$G$6:$G$58,Census!$G60-17)*(INDEX(Decrements!$D$6:$D$58,Census!$G60+S$5-18)+IF(S$5=$B60,INDEX(Decrements!$F$6:$F$58,Census!$G60+S$5-18),0)+INDEX(Decrements!$E$6:$E$58,Census!$G60+S$5-18)*IF((Census!$F60+S$5)&gt;=Assumptions!$B$11,1,0))*MIN(15/26*Census!$D60*(1+Assumptions!$B$9)^S$5*(INT((Census!$F60+S$5))+IF((Census!$F60+S$5)-INT((Census!$F60+S$5))&gt;0.5,1,0)),Assumptions!$B$10))</f>
        <v>23971.124007846913</v>
      </c>
      <c r="T60" s="30">
        <f>IF(T$5&gt;$B60,0,INDEX(Decrements!$G$6:$G$58,Census!$G60+T$5-18)/INDEX(Decrements!$G$6:$G$58,Census!$G60-17)*(INDEX(Decrements!$D$6:$D$58,Census!$G60+T$5-18)+IF(T$5=$B60,INDEX(Decrements!$F$6:$F$58,Census!$G60+T$5-18),0)+INDEX(Decrements!$E$6:$E$58,Census!$G60+T$5-18)*IF((Census!$F60+T$5)&gt;=Assumptions!$B$11,1,0))*MIN(15/26*Census!$D60*(1+Assumptions!$B$9)^T$5*(INT((Census!$F60+T$5))+IF((Census!$F60+T$5)-INT((Census!$F60+T$5))&gt;0.5,1,0)),Assumptions!$B$10))</f>
        <v>14002.450135495274</v>
      </c>
      <c r="U60" s="30">
        <f>IF(U$5&gt;$B60,0,INDEX(Decrements!$G$6:$G$58,Census!$G60+U$5-18)/INDEX(Decrements!$G$6:$G$58,Census!$G60-17)*(INDEX(Decrements!$D$6:$D$58,Census!$G60+U$5-18)+IF(U$5=$B60,INDEX(Decrements!$F$6:$F$58,Census!$G60+U$5-18),0)+INDEX(Decrements!$E$6:$E$58,Census!$G60+U$5-18)*IF((Census!$F60+U$5)&gt;=Assumptions!$B$11,1,0))*MIN(15/26*Census!$D60*(1+Assumptions!$B$9)^U$5*(INT((Census!$F60+U$5))+IF((Census!$F60+U$5)-INT((Census!$F60+U$5))&gt;0.5,1,0)),Assumptions!$B$10))</f>
        <v>14178.996916781822</v>
      </c>
      <c r="V60" s="30">
        <f>IF(V$5&gt;$B60,0,INDEX(Decrements!$G$6:$G$58,Census!$G60+V$5-18)/INDEX(Decrements!$G$6:$G$58,Census!$G60-17)*(INDEX(Decrements!$D$6:$D$58,Census!$G60+V$5-18)+IF(V$5=$B60,INDEX(Decrements!$F$6:$F$58,Census!$G60+V$5-18),0)+INDEX(Decrements!$E$6:$E$58,Census!$G60+V$5-18)*IF((Census!$F60+V$5)&gt;=Assumptions!$B$11,1,0))*MIN(15/26*Census!$D60*(1+Assumptions!$B$9)^V$5*(INT((Census!$F60+V$5))+IF((Census!$F60+V$5)-INT((Census!$F60+V$5))&gt;0.5,1,0)),Assumptions!$B$10))</f>
        <v>14378.902991626848</v>
      </c>
      <c r="W60" s="30">
        <f>IF(W$5&gt;$B60,0,INDEX(Decrements!$G$6:$G$58,Census!$G60+W$5-18)/INDEX(Decrements!$G$6:$G$58,Census!$G60-17)*(INDEX(Decrements!$D$6:$D$58,Census!$G60+W$5-18)+IF(W$5=$B60,INDEX(Decrements!$F$6:$F$58,Census!$G60+W$5-18),0)+INDEX(Decrements!$E$6:$E$58,Census!$G60+W$5-18)*IF((Census!$F60+W$5)&gt;=Assumptions!$B$11,1,0))*MIN(15/26*Census!$D60*(1+Assumptions!$B$9)^W$5*(INT((Census!$F60+W$5))+IF((Census!$F60+W$5)-INT((Census!$F60+W$5))&gt;0.5,1,0)),Assumptions!$B$10))</f>
        <v>14603.527024872632</v>
      </c>
      <c r="X60" s="30">
        <f>IF(X$5&gt;$B60,0,INDEX(Decrements!$G$6:$G$58,Census!$G60+X$5-18)/INDEX(Decrements!$G$6:$G$58,Census!$G60-17)*(INDEX(Decrements!$D$6:$D$58,Census!$G60+X$5-18)+IF(X$5=$B60,INDEX(Decrements!$F$6:$F$58,Census!$G60+X$5-18),0)+INDEX(Decrements!$E$6:$E$58,Census!$G60+X$5-18)*IF((Census!$F60+X$5)&gt;=Assumptions!$B$11,1,0))*MIN(15/26*Census!$D60*(1+Assumptions!$B$9)^X$5*(INT((Census!$F60+X$5))+IF((Census!$F60+X$5)-INT((Census!$F60+X$5))&gt;0.5,1,0)),Assumptions!$B$10))</f>
        <v>921061.19117105263</v>
      </c>
      <c r="Y60" s="30">
        <f>IF(Y$5&gt;$B60,0,INDEX(Decrements!$G$6:$G$58,Census!$G60+Y$5-18)/INDEX(Decrements!$G$6:$G$58,Census!$G60-17)*(INDEX(Decrements!$D$6:$D$58,Census!$G60+Y$5-18)+IF(Y$5=$B60,INDEX(Decrements!$F$6:$F$58,Census!$G60+Y$5-18),0)+INDEX(Decrements!$E$6:$E$58,Census!$G60+Y$5-18)*IF((Census!$F60+Y$5)&gt;=Assumptions!$B$11,1,0))*MIN(15/26*Census!$D60*(1+Assumptions!$B$9)^Y$5*(INT((Census!$F60+Y$5))+IF((Census!$F60+Y$5)-INT((Census!$F60+Y$5))&gt;0.5,1,0)),Assumptions!$B$10))</f>
        <v>0</v>
      </c>
      <c r="Z60" s="30">
        <f>IF(Z$5&gt;$B60,0,INDEX(Decrements!$G$6:$G$58,Census!$G60+Z$5-18)/INDEX(Decrements!$G$6:$G$58,Census!$G60-17)*(INDEX(Decrements!$D$6:$D$58,Census!$G60+Z$5-18)+IF(Z$5=$B60,INDEX(Decrements!$F$6:$F$58,Census!$G60+Z$5-18),0)+INDEX(Decrements!$E$6:$E$58,Census!$G60+Z$5-18)*IF((Census!$F60+Z$5)&gt;=Assumptions!$B$11,1,0))*MIN(15/26*Census!$D60*(1+Assumptions!$B$9)^Z$5*(INT((Census!$F60+Z$5))+IF((Census!$F60+Z$5)-INT((Census!$F60+Z$5))&gt;0.5,1,0)),Assumptions!$B$10))</f>
        <v>0</v>
      </c>
      <c r="AA60" s="30">
        <f>IF(AA$5&gt;$B60,0,INDEX(Decrements!$G$6:$G$58,Census!$G60+AA$5-18)/INDEX(Decrements!$G$6:$G$58,Census!$G60-17)*(INDEX(Decrements!$D$6:$D$58,Census!$G60+AA$5-18)+IF(AA$5=$B60,INDEX(Decrements!$F$6:$F$58,Census!$G60+AA$5-18),0)+INDEX(Decrements!$E$6:$E$58,Census!$G60+AA$5-18)*IF((Census!$F60+AA$5)&gt;=Assumptions!$B$11,1,0))*MIN(15/26*Census!$D60*(1+Assumptions!$B$9)^AA$5*(INT((Census!$F60+AA$5))+IF((Census!$F60+AA$5)-INT((Census!$F60+AA$5))&gt;0.5,1,0)),Assumptions!$B$10))</f>
        <v>0</v>
      </c>
      <c r="AB60" s="30">
        <f>IF(AB$5&gt;$B60,0,INDEX(Decrements!$G$6:$G$58,Census!$G60+AB$5-18)/INDEX(Decrements!$G$6:$G$58,Census!$G60-17)*(INDEX(Decrements!$D$6:$D$58,Census!$G60+AB$5-18)+IF(AB$5=$B60,INDEX(Decrements!$F$6:$F$58,Census!$G60+AB$5-18),0)+INDEX(Decrements!$E$6:$E$58,Census!$G60+AB$5-18)*IF((Census!$F60+AB$5)&gt;=Assumptions!$B$11,1,0))*MIN(15/26*Census!$D60*(1+Assumptions!$B$9)^AB$5*(INT((Census!$F60+AB$5))+IF((Census!$F60+AB$5)-INT((Census!$F60+AB$5))&gt;0.5,1,0)),Assumptions!$B$10))</f>
        <v>0</v>
      </c>
      <c r="AC60" s="30">
        <f>IF(AC$5&gt;$B60,0,INDEX(Decrements!$G$6:$G$58,Census!$G60+AC$5-18)/INDEX(Decrements!$G$6:$G$58,Census!$G60-17)*(INDEX(Decrements!$D$6:$D$58,Census!$G60+AC$5-18)+IF(AC$5=$B60,INDEX(Decrements!$F$6:$F$58,Census!$G60+AC$5-18),0)+INDEX(Decrements!$E$6:$E$58,Census!$G60+AC$5-18)*IF((Census!$F60+AC$5)&gt;=Assumptions!$B$11,1,0))*MIN(15/26*Census!$D60*(1+Assumptions!$B$9)^AC$5*(INT((Census!$F60+AC$5))+IF((Census!$F60+AC$5)-INT((Census!$F60+AC$5))&gt;0.5,1,0)),Assumptions!$B$10))</f>
        <v>0</v>
      </c>
      <c r="AD60" s="30">
        <f>IF(AD$5&gt;$B60,0,INDEX(Decrements!$G$6:$G$58,Census!$G60+AD$5-18)/INDEX(Decrements!$G$6:$G$58,Census!$G60-17)*(INDEX(Decrements!$D$6:$D$58,Census!$G60+AD$5-18)+IF(AD$5=$B60,INDEX(Decrements!$F$6:$F$58,Census!$G60+AD$5-18),0)+INDEX(Decrements!$E$6:$E$58,Census!$G60+AD$5-18)*IF((Census!$F60+AD$5)&gt;=Assumptions!$B$11,1,0))*MIN(15/26*Census!$D60*(1+Assumptions!$B$9)^AD$5*(INT((Census!$F60+AD$5))+IF((Census!$F60+AD$5)-INT((Census!$F60+AD$5))&gt;0.5,1,0)),Assumptions!$B$10))</f>
        <v>0</v>
      </c>
      <c r="AE60" s="30">
        <f>IF(AE$5&gt;$B60,0,INDEX(Decrements!$G$6:$G$58,Census!$G60+AE$5-18)/INDEX(Decrements!$G$6:$G$58,Census!$G60-17)*(INDEX(Decrements!$D$6:$D$58,Census!$G60+AE$5-18)+IF(AE$5=$B60,INDEX(Decrements!$F$6:$F$58,Census!$G60+AE$5-18),0)+INDEX(Decrements!$E$6:$E$58,Census!$G60+AE$5-18)*IF((Census!$F60+AE$5)&gt;=Assumptions!$B$11,1,0))*MIN(15/26*Census!$D60*(1+Assumptions!$B$9)^AE$5*(INT((Census!$F60+AE$5))+IF((Census!$F60+AE$5)-INT((Census!$F60+AE$5))&gt;0.5,1,0)),Assumptions!$B$10))</f>
        <v>0</v>
      </c>
      <c r="AF60" s="30">
        <f>IF(AF$5&gt;$B60,0,INDEX(Decrements!$G$6:$G$58,Census!$G60+AF$5-18)/INDEX(Decrements!$G$6:$G$58,Census!$G60-17)*(INDEX(Decrements!$D$6:$D$58,Census!$G60+AF$5-18)+IF(AF$5=$B60,INDEX(Decrements!$F$6:$F$58,Census!$G60+AF$5-18),0)+INDEX(Decrements!$E$6:$E$58,Census!$G60+AF$5-18)*IF((Census!$F60+AF$5)&gt;=Assumptions!$B$11,1,0))*MIN(15/26*Census!$D60*(1+Assumptions!$B$9)^AF$5*(INT((Census!$F60+AF$5))+IF((Census!$F60+AF$5)-INT((Census!$F60+AF$5))&gt;0.5,1,0)),Assumptions!$B$10))</f>
        <v>0</v>
      </c>
      <c r="AG60" s="30">
        <f>IF(AG$5&gt;$B60,0,INDEX(Decrements!$G$6:$G$58,Census!$G60+AG$5-18)/INDEX(Decrements!$G$6:$G$58,Census!$G60-17)*(INDEX(Decrements!$D$6:$D$58,Census!$G60+AG$5-18)+IF(AG$5=$B60,INDEX(Decrements!$F$6:$F$58,Census!$G60+AG$5-18),0)+INDEX(Decrements!$E$6:$E$58,Census!$G60+AG$5-18)*IF((Census!$F60+AG$5)&gt;=Assumptions!$B$11,1,0))*MIN(15/26*Census!$D60*(1+Assumptions!$B$9)^AG$5*(INT((Census!$F60+AG$5))+IF((Census!$F60+AG$5)-INT((Census!$F60+AG$5))&gt;0.5,1,0)),Assumptions!$B$10))</f>
        <v>0</v>
      </c>
      <c r="AH60" s="30">
        <f>IF(AH$5&gt;$B60,0,INDEX(Decrements!$G$6:$G$58,Census!$G60+AH$5-18)/INDEX(Decrements!$G$6:$G$58,Census!$G60-17)*(INDEX(Decrements!$D$6:$D$58,Census!$G60+AH$5-18)+IF(AH$5=$B60,INDEX(Decrements!$F$6:$F$58,Census!$G60+AH$5-18),0)+INDEX(Decrements!$E$6:$E$58,Census!$G60+AH$5-18)*IF((Census!$F60+AH$5)&gt;=Assumptions!$B$11,1,0))*MIN(15/26*Census!$D60*(1+Assumptions!$B$9)^AH$5*(INT((Census!$F60+AH$5))+IF((Census!$F60+AH$5)-INT((Census!$F60+AH$5))&gt;0.5,1,0)),Assumptions!$B$10))</f>
        <v>0</v>
      </c>
      <c r="AI60" s="30">
        <f>IF(AI$5&gt;$B60,0,INDEX(Decrements!$G$6:$G$58,Census!$G60+AI$5-18)/INDEX(Decrements!$G$6:$G$58,Census!$G60-17)*(INDEX(Decrements!$D$6:$D$58,Census!$G60+AI$5-18)+IF(AI$5=$B60,INDEX(Decrements!$F$6:$F$58,Census!$G60+AI$5-18),0)+INDEX(Decrements!$E$6:$E$58,Census!$G60+AI$5-18)*IF((Census!$F60+AI$5)&gt;=Assumptions!$B$11,1,0))*MIN(15/26*Census!$D60*(1+Assumptions!$B$9)^AI$5*(INT((Census!$F60+AI$5))+IF((Census!$F60+AI$5)-INT((Census!$F60+AI$5))&gt;0.5,1,0)),Assumptions!$B$10))</f>
        <v>0</v>
      </c>
      <c r="AJ60" s="30">
        <f>IF(AJ$5&gt;$B60,0,INDEX(Decrements!$G$6:$G$58,Census!$G60+AJ$5-18)/INDEX(Decrements!$G$6:$G$58,Census!$G60-17)*(INDEX(Decrements!$D$6:$D$58,Census!$G60+AJ$5-18)+IF(AJ$5=$B60,INDEX(Decrements!$F$6:$F$58,Census!$G60+AJ$5-18),0)+INDEX(Decrements!$E$6:$E$58,Census!$G60+AJ$5-18)*IF((Census!$F60+AJ$5)&gt;=Assumptions!$B$11,1,0))*MIN(15/26*Census!$D60*(1+Assumptions!$B$9)^AJ$5*(INT((Census!$F60+AJ$5))+IF((Census!$F60+AJ$5)-INT((Census!$F60+AJ$5))&gt;0.5,1,0)),Assumptions!$B$10))</f>
        <v>0</v>
      </c>
      <c r="AK60" s="30">
        <f>IF(AK$5&gt;$B60,0,INDEX(Decrements!$G$6:$G$58,Census!$G60+AK$5-18)/INDEX(Decrements!$G$6:$G$58,Census!$G60-17)*(INDEX(Decrements!$D$6:$D$58,Census!$G60+AK$5-18)+IF(AK$5=$B60,INDEX(Decrements!$F$6:$F$58,Census!$G60+AK$5-18),0)+INDEX(Decrements!$E$6:$E$58,Census!$G60+AK$5-18)*IF((Census!$F60+AK$5)&gt;=Assumptions!$B$11,1,0))*MIN(15/26*Census!$D60*(1+Assumptions!$B$9)^AK$5*(INT((Census!$F60+AK$5))+IF((Census!$F60+AK$5)-INT((Census!$F60+AK$5))&gt;0.5,1,0)),Assumptions!$B$10))</f>
        <v>0</v>
      </c>
      <c r="AL60" s="30">
        <f>IF(AL$5&gt;$B60,0,INDEX(Decrements!$G$6:$G$58,Census!$G60+AL$5-18)/INDEX(Decrements!$G$6:$G$58,Census!$G60-17)*(INDEX(Decrements!$D$6:$D$58,Census!$G60+AL$5-18)+IF(AL$5=$B60,INDEX(Decrements!$F$6:$F$58,Census!$G60+AL$5-18),0)+INDEX(Decrements!$E$6:$E$58,Census!$G60+AL$5-18)*IF((Census!$F60+AL$5)&gt;=Assumptions!$B$11,1,0))*MIN(15/26*Census!$D60*(1+Assumptions!$B$9)^AL$5*(INT((Census!$F60+AL$5))+IF((Census!$F60+AL$5)-INT((Census!$F60+AL$5))&gt;0.5,1,0)),Assumptions!$B$10))</f>
        <v>0</v>
      </c>
      <c r="AM60" s="30">
        <f>IF(AM$5&gt;$B60,0,INDEX(Decrements!$G$6:$G$58,Census!$G60+AM$5-18)/INDEX(Decrements!$G$6:$G$58,Census!$G60-17)*(INDEX(Decrements!$D$6:$D$58,Census!$G60+AM$5-18)+IF(AM$5=$B60,INDEX(Decrements!$F$6:$F$58,Census!$G60+AM$5-18),0)+INDEX(Decrements!$E$6:$E$58,Census!$G60+AM$5-18)*IF((Census!$F60+AM$5)&gt;=Assumptions!$B$11,1,0))*MIN(15/26*Census!$D60*(1+Assumptions!$B$9)^AM$5*(INT((Census!$F60+AM$5))+IF((Census!$F60+AM$5)-INT((Census!$F60+AM$5))&gt;0.5,1,0)),Assumptions!$B$10))</f>
        <v>0</v>
      </c>
      <c r="AN60" s="30">
        <f>IF(AN$5&gt;$B60,0,INDEX(Decrements!$G$6:$G$58,Census!$G60+AN$5-18)/INDEX(Decrements!$G$6:$G$58,Census!$G60-17)*(INDEX(Decrements!$D$6:$D$58,Census!$G60+AN$5-18)+IF(AN$5=$B60,INDEX(Decrements!$F$6:$F$58,Census!$G60+AN$5-18),0)+INDEX(Decrements!$E$6:$E$58,Census!$G60+AN$5-18)*IF((Census!$F60+AN$5)&gt;=Assumptions!$B$11,1,0))*MIN(15/26*Census!$D60*(1+Assumptions!$B$9)^AN$5*(INT((Census!$F60+AN$5))+IF((Census!$F60+AN$5)-INT((Census!$F60+AN$5))&gt;0.5,1,0)),Assumptions!$B$10))</f>
        <v>0</v>
      </c>
      <c r="AO60" s="30">
        <f>IF(AO$5&gt;$B60,0,INDEX(Decrements!$G$6:$G$58,Census!$G60+AO$5-18)/INDEX(Decrements!$G$6:$G$58,Census!$G60-17)*(INDEX(Decrements!$D$6:$D$58,Census!$G60+AO$5-18)+IF(AO$5=$B60,INDEX(Decrements!$F$6:$F$58,Census!$G60+AO$5-18),0)+INDEX(Decrements!$E$6:$E$58,Census!$G60+AO$5-18)*IF((Census!$F60+AO$5)&gt;=Assumptions!$B$11,1,0))*MIN(15/26*Census!$D60*(1+Assumptions!$B$9)^AO$5*(INT((Census!$F60+AO$5))+IF((Census!$F60+AO$5)-INT((Census!$F60+AO$5))&gt;0.5,1,0)),Assumptions!$B$10))</f>
        <v>0</v>
      </c>
      <c r="AP60" s="30">
        <f>IF(AP$5&gt;$B60,0,INDEX(Decrements!$G$6:$G$58,Census!$G60+AP$5-18)/INDEX(Decrements!$G$6:$G$58,Census!$G60-17)*(INDEX(Decrements!$D$6:$D$58,Census!$G60+AP$5-18)+IF(AP$5=$B60,INDEX(Decrements!$F$6:$F$58,Census!$G60+AP$5-18),0)+INDEX(Decrements!$E$6:$E$58,Census!$G60+AP$5-18)*IF((Census!$F60+AP$5)&gt;=Assumptions!$B$11,1,0))*MIN(15/26*Census!$D60*(1+Assumptions!$B$9)^AP$5*(INT((Census!$F60+AP$5))+IF((Census!$F60+AP$5)-INT((Census!$F60+AP$5))&gt;0.5,1,0)),Assumptions!$B$10))</f>
        <v>0</v>
      </c>
      <c r="AQ60" s="30">
        <f>IF(AQ$5&gt;$B60,0,INDEX(Decrements!$G$6:$G$58,Census!$G60+AQ$5-18)/INDEX(Decrements!$G$6:$G$58,Census!$G60-17)*(INDEX(Decrements!$D$6:$D$58,Census!$G60+AQ$5-18)+IF(AQ$5=$B60,INDEX(Decrements!$F$6:$F$58,Census!$G60+AQ$5-18),0)+INDEX(Decrements!$E$6:$E$58,Census!$G60+AQ$5-18)*IF((Census!$F60+AQ$5)&gt;=Assumptions!$B$11,1,0))*MIN(15/26*Census!$D60*(1+Assumptions!$B$9)^AQ$5*(INT((Census!$F60+AQ$5))+IF((Census!$F60+AQ$5)-INT((Census!$F60+AQ$5))&gt;0.5,1,0)),Assumptions!$B$10))</f>
        <v>0</v>
      </c>
      <c r="AR60" s="30">
        <f>IF(AR$5&gt;$B60,0,INDEX(Decrements!$G$6:$G$58,Census!$G60+AR$5-18)/INDEX(Decrements!$G$6:$G$58,Census!$G60-17)*(INDEX(Decrements!$D$6:$D$58,Census!$G60+AR$5-18)+IF(AR$5=$B60,INDEX(Decrements!$F$6:$F$58,Census!$G60+AR$5-18),0)+INDEX(Decrements!$E$6:$E$58,Census!$G60+AR$5-18)*IF((Census!$F60+AR$5)&gt;=Assumptions!$B$11,1,0))*MIN(15/26*Census!$D60*(1+Assumptions!$B$9)^AR$5*(INT((Census!$F60+AR$5))+IF((Census!$F60+AR$5)-INT((Census!$F60+AR$5))&gt;0.5,1,0)),Assumptions!$B$10))</f>
        <v>0</v>
      </c>
      <c r="AS60" s="30">
        <f>IF(AS$5&gt;$B60,0,INDEX(Decrements!$G$6:$G$58,Census!$G60+AS$5-18)/INDEX(Decrements!$G$6:$G$58,Census!$G60-17)*(INDEX(Decrements!$D$6:$D$58,Census!$G60+AS$5-18)+IF(AS$5=$B60,INDEX(Decrements!$F$6:$F$58,Census!$G60+AS$5-18),0)+INDEX(Decrements!$E$6:$E$58,Census!$G60+AS$5-18)*IF((Census!$F60+AS$5)&gt;=Assumptions!$B$11,1,0))*MIN(15/26*Census!$D60*(1+Assumptions!$B$9)^AS$5*(INT((Census!$F60+AS$5))+IF((Census!$F60+AS$5)-INT((Census!$F60+AS$5))&gt;0.5,1,0)),Assumptions!$B$10))</f>
        <v>0</v>
      </c>
      <c r="AT60" s="30">
        <f>IF(AT$5&gt;$B60,0,INDEX(Decrements!$G$6:$G$58,Census!$G60+AT$5-18)/INDEX(Decrements!$G$6:$G$58,Census!$G60-17)*(INDEX(Decrements!$D$6:$D$58,Census!$G60+AT$5-18)+IF(AT$5=$B60,INDEX(Decrements!$F$6:$F$58,Census!$G60+AT$5-18),0)+INDEX(Decrements!$E$6:$E$58,Census!$G60+AT$5-18)*IF((Census!$F60+AT$5)&gt;=Assumptions!$B$11,1,0))*MIN(15/26*Census!$D60*(1+Assumptions!$B$9)^AT$5*(INT((Census!$F60+AT$5))+IF((Census!$F60+AT$5)-INT((Census!$F60+AT$5))&gt;0.5,1,0)),Assumptions!$B$10))</f>
        <v>0</v>
      </c>
      <c r="AU60" s="30">
        <f>IF(AU$5&gt;$B60,0,INDEX(Decrements!$G$6:$G$58,Census!$G60+AU$5-18)/INDEX(Decrements!$G$6:$G$58,Census!$G60-17)*(INDEX(Decrements!$D$6:$D$58,Census!$G60+AU$5-18)+IF(AU$5=$B60,INDEX(Decrements!$F$6:$F$58,Census!$G60+AU$5-18),0)+INDEX(Decrements!$E$6:$E$58,Census!$G60+AU$5-18)*IF((Census!$F60+AU$5)&gt;=Assumptions!$B$11,1,0))*MIN(15/26*Census!$D60*(1+Assumptions!$B$9)^AU$5*(INT((Census!$F60+AU$5))+IF((Census!$F60+AU$5)-INT((Census!$F60+AU$5))&gt;0.5,1,0)),Assumptions!$B$10))</f>
        <v>0</v>
      </c>
    </row>
    <row r="61" spans="1:47" x14ac:dyDescent="0.3">
      <c r="A61" s="10" t="str">
        <f>Census!A61</f>
        <v>E056</v>
      </c>
      <c r="B61" s="29">
        <f>Census!H61</f>
        <v>21</v>
      </c>
      <c r="C61" s="30">
        <f>IF(C$5&gt;$B61,0,INDEX(Decrements!$G$6:$G$58,Census!$G61+C$5-18)/INDEX(Decrements!$G$6:$G$58,Census!$G61-17)*(INDEX(Decrements!$D$6:$D$58,Census!$G61+C$5-18)+IF(C$5=$B61,INDEX(Decrements!$F$6:$F$58,Census!$G61+C$5-18),0)+INDEX(Decrements!$E$6:$E$58,Census!$G61+C$5-18)*IF((Census!$F61+C$5)&gt;=Assumptions!$B$11,1,0))*MIN(15/26*Census!$D61*(1+Assumptions!$B$9)^C$5*(INT((Census!$F61+C$5))+IF((Census!$F61+C$5)-INT((Census!$F61+C$5))&gt;0.5,1,0)),Assumptions!$B$10))</f>
        <v>38048.799360429883</v>
      </c>
      <c r="D61" s="30">
        <f>IF(D$5&gt;$B61,0,INDEX(Decrements!$G$6:$G$58,Census!$G61+D$5-18)/INDEX(Decrements!$G$6:$G$58,Census!$G61-17)*(INDEX(Decrements!$D$6:$D$58,Census!$G61+D$5-18)+IF(D$5=$B61,INDEX(Decrements!$F$6:$F$58,Census!$G61+D$5-18),0)+INDEX(Decrements!$E$6:$E$58,Census!$G61+D$5-18)*IF((Census!$F61+D$5)&gt;=Assumptions!$B$11,1,0))*MIN(15/26*Census!$D61*(1+Assumptions!$B$9)^D$5*(INT((Census!$F61+D$5))+IF((Census!$F61+D$5)-INT((Census!$F61+D$5))&gt;0.5,1,0)),Assumptions!$B$10))</f>
        <v>26025.649145417927</v>
      </c>
      <c r="E61" s="30">
        <f>IF(E$5&gt;$B61,0,INDEX(Decrements!$G$6:$G$58,Census!$G61+E$5-18)/INDEX(Decrements!$G$6:$G$58,Census!$G61-17)*(INDEX(Decrements!$D$6:$D$58,Census!$G61+E$5-18)+IF(E$5=$B61,INDEX(Decrements!$F$6:$F$58,Census!$G61+E$5-18),0)+INDEX(Decrements!$E$6:$E$58,Census!$G61+E$5-18)*IF((Census!$F61+E$5)&gt;=Assumptions!$B$11,1,0))*MIN(15/26*Census!$D61*(1+Assumptions!$B$9)^E$5*(INT((Census!$F61+E$5))+IF((Census!$F61+E$5)-INT((Census!$F61+E$5))&gt;0.5,1,0)),Assumptions!$B$10))</f>
        <v>28939.246315918739</v>
      </c>
      <c r="F61" s="30">
        <f>IF(F$5&gt;$B61,0,INDEX(Decrements!$G$6:$G$58,Census!$G61+F$5-18)/INDEX(Decrements!$G$6:$G$58,Census!$G61-17)*(INDEX(Decrements!$D$6:$D$58,Census!$G61+F$5-18)+IF(F$5=$B61,INDEX(Decrements!$F$6:$F$58,Census!$G61+F$5-18),0)+INDEX(Decrements!$E$6:$E$58,Census!$G61+F$5-18)*IF((Census!$F61+F$5)&gt;=Assumptions!$B$11,1,0))*MIN(15/26*Census!$D61*(1+Assumptions!$B$9)^F$5*(INT((Census!$F61+F$5))+IF((Census!$F61+F$5)-INT((Census!$F61+F$5))&gt;0.5,1,0)),Assumptions!$B$10))</f>
        <v>31991.072680194069</v>
      </c>
      <c r="G61" s="30">
        <f>IF(G$5&gt;$B61,0,INDEX(Decrements!$G$6:$G$58,Census!$G61+G$5-18)/INDEX(Decrements!$G$6:$G$58,Census!$G61-17)*(INDEX(Decrements!$D$6:$D$58,Census!$G61+G$5-18)+IF(G$5=$B61,INDEX(Decrements!$F$6:$F$58,Census!$G61+G$5-18),0)+INDEX(Decrements!$E$6:$E$58,Census!$G61+G$5-18)*IF((Census!$F61+G$5)&gt;=Assumptions!$B$11,1,0))*MIN(15/26*Census!$D61*(1+Assumptions!$B$9)^G$5*(INT((Census!$F61+G$5))+IF((Census!$F61+G$5)-INT((Census!$F61+G$5))&gt;0.5,1,0)),Assumptions!$B$10))</f>
        <v>35187.24742232071</v>
      </c>
      <c r="H61" s="30">
        <f>IF(H$5&gt;$B61,0,INDEX(Decrements!$G$6:$G$58,Census!$G61+H$5-18)/INDEX(Decrements!$G$6:$G$58,Census!$G61-17)*(INDEX(Decrements!$D$6:$D$58,Census!$G61+H$5-18)+IF(H$5=$B61,INDEX(Decrements!$F$6:$F$58,Census!$G61+H$5-18),0)+INDEX(Decrements!$E$6:$E$58,Census!$G61+H$5-18)*IF((Census!$F61+H$5)&gt;=Assumptions!$B$11,1,0))*MIN(15/26*Census!$D61*(1+Assumptions!$B$9)^H$5*(INT((Census!$F61+H$5))+IF((Census!$F61+H$5)-INT((Census!$F61+H$5))&gt;0.5,1,0)),Assumptions!$B$10))</f>
        <v>38534.248062713748</v>
      </c>
      <c r="I61" s="30">
        <f>IF(I$5&gt;$B61,0,INDEX(Decrements!$G$6:$G$58,Census!$G61+I$5-18)/INDEX(Decrements!$G$6:$G$58,Census!$G61-17)*(INDEX(Decrements!$D$6:$D$58,Census!$G61+I$5-18)+IF(I$5=$B61,INDEX(Decrements!$F$6:$F$58,Census!$G61+I$5-18),0)+INDEX(Decrements!$E$6:$E$58,Census!$G61+I$5-18)*IF((Census!$F61+I$5)&gt;=Assumptions!$B$11,1,0))*MIN(15/26*Census!$D61*(1+Assumptions!$B$9)^I$5*(INT((Census!$F61+I$5))+IF((Census!$F61+I$5)-INT((Census!$F61+I$5))&gt;0.5,1,0)),Assumptions!$B$10))</f>
        <v>25848.761187134023</v>
      </c>
      <c r="J61" s="30">
        <f>IF(J$5&gt;$B61,0,INDEX(Decrements!$G$6:$G$58,Census!$G61+J$5-18)/INDEX(Decrements!$G$6:$G$58,Census!$G61-17)*(INDEX(Decrements!$D$6:$D$58,Census!$G61+J$5-18)+IF(J$5=$B61,INDEX(Decrements!$F$6:$F$58,Census!$G61+J$5-18),0)+INDEX(Decrements!$E$6:$E$58,Census!$G61+J$5-18)*IF((Census!$F61+J$5)&gt;=Assumptions!$B$11,1,0))*MIN(15/26*Census!$D61*(1+Assumptions!$B$9)^J$5*(INT((Census!$F61+J$5))+IF((Census!$F61+J$5)-INT((Census!$F61+J$5))&gt;0.5,1,0)),Assumptions!$B$10))</f>
        <v>28749.737950071492</v>
      </c>
      <c r="K61" s="30">
        <f>IF(K$5&gt;$B61,0,INDEX(Decrements!$G$6:$G$58,Census!$G61+K$5-18)/INDEX(Decrements!$G$6:$G$58,Census!$G61-17)*(INDEX(Decrements!$D$6:$D$58,Census!$G61+K$5-18)+IF(K$5=$B61,INDEX(Decrements!$F$6:$F$58,Census!$G61+K$5-18),0)+INDEX(Decrements!$E$6:$E$58,Census!$G61+K$5-18)*IF((Census!$F61+K$5)&gt;=Assumptions!$B$11,1,0))*MIN(15/26*Census!$D61*(1+Assumptions!$B$9)^K$5*(INT((Census!$F61+K$5))+IF((Census!$F61+K$5)-INT((Census!$F61+K$5))&gt;0.5,1,0)),Assumptions!$B$10))</f>
        <v>31886.68427046018</v>
      </c>
      <c r="L61" s="30">
        <f>IF(L$5&gt;$B61,0,INDEX(Decrements!$G$6:$G$58,Census!$G61+L$5-18)/INDEX(Decrements!$G$6:$G$58,Census!$G61-17)*(INDEX(Decrements!$D$6:$D$58,Census!$G61+L$5-18)+IF(L$5=$B61,INDEX(Decrements!$F$6:$F$58,Census!$G61+L$5-18),0)+INDEX(Decrements!$E$6:$E$58,Census!$G61+L$5-18)*IF((Census!$F61+L$5)&gt;=Assumptions!$B$11,1,0))*MIN(15/26*Census!$D61*(1+Assumptions!$B$9)^L$5*(INT((Census!$F61+L$5))+IF((Census!$F61+L$5)-INT((Census!$F61+L$5))&gt;0.5,1,0)),Assumptions!$B$10))</f>
        <v>35278.826136156407</v>
      </c>
      <c r="M61" s="30">
        <f>IF(M$5&gt;$B61,0,INDEX(Decrements!$G$6:$G$58,Census!$G61+M$5-18)/INDEX(Decrements!$G$6:$G$58,Census!$G61-17)*(INDEX(Decrements!$D$6:$D$58,Census!$G61+M$5-18)+IF(M$5=$B61,INDEX(Decrements!$F$6:$F$58,Census!$G61+M$5-18),0)+INDEX(Decrements!$E$6:$E$58,Census!$G61+M$5-18)*IF((Census!$F61+M$5)&gt;=Assumptions!$B$11,1,0))*MIN(15/26*Census!$D61*(1+Assumptions!$B$9)^M$5*(INT((Census!$F61+M$5))+IF((Census!$F61+M$5)-INT((Census!$F61+M$5))&gt;0.5,1,0)),Assumptions!$B$10))</f>
        <v>38947.230746521076</v>
      </c>
      <c r="N61" s="30">
        <f>IF(N$5&gt;$B61,0,INDEX(Decrements!$G$6:$G$58,Census!$G61+N$5-18)/INDEX(Decrements!$G$6:$G$58,Census!$G61-17)*(INDEX(Decrements!$D$6:$D$58,Census!$G61+N$5-18)+IF(N$5=$B61,INDEX(Decrements!$F$6:$F$58,Census!$G61+N$5-18),0)+INDEX(Decrements!$E$6:$E$58,Census!$G61+N$5-18)*IF((Census!$F61+N$5)&gt;=Assumptions!$B$11,1,0))*MIN(15/26*Census!$D61*(1+Assumptions!$B$9)^N$5*(INT((Census!$F61+N$5))+IF((Census!$F61+N$5)-INT((Census!$F61+N$5))&gt;0.5,1,0)),Assumptions!$B$10))</f>
        <v>27315.505595322913</v>
      </c>
      <c r="O61" s="30">
        <f>IF(O$5&gt;$B61,0,INDEX(Decrements!$G$6:$G$58,Census!$G61+O$5-18)/INDEX(Decrements!$G$6:$G$58,Census!$G61-17)*(INDEX(Decrements!$D$6:$D$58,Census!$G61+O$5-18)+IF(O$5=$B61,INDEX(Decrements!$F$6:$F$58,Census!$G61+O$5-18),0)+INDEX(Decrements!$E$6:$E$58,Census!$G61+O$5-18)*IF((Census!$F61+O$5)&gt;=Assumptions!$B$11,1,0))*MIN(15/26*Census!$D61*(1+Assumptions!$B$9)^O$5*(INT((Census!$F61+O$5))+IF((Census!$F61+O$5)-INT((Census!$F61+O$5))&gt;0.5,1,0)),Assumptions!$B$10))</f>
        <v>26974.410733549972</v>
      </c>
      <c r="P61" s="30">
        <f>IF(P$5&gt;$B61,0,INDEX(Decrements!$G$6:$G$58,Census!$G61+P$5-18)/INDEX(Decrements!$G$6:$G$58,Census!$G61-17)*(INDEX(Decrements!$D$6:$D$58,Census!$G61+P$5-18)+IF(P$5=$B61,INDEX(Decrements!$F$6:$F$58,Census!$G61+P$5-18),0)+INDEX(Decrements!$E$6:$E$58,Census!$G61+P$5-18)*IF((Census!$F61+P$5)&gt;=Assumptions!$B$11,1,0))*MIN(15/26*Census!$D61*(1+Assumptions!$B$9)^P$5*(INT((Census!$F61+P$5))+IF((Census!$F61+P$5)-INT((Census!$F61+P$5))&gt;0.5,1,0)),Assumptions!$B$10))</f>
        <v>26655.556671355662</v>
      </c>
      <c r="Q61" s="30">
        <f>IF(Q$5&gt;$B61,0,INDEX(Decrements!$G$6:$G$58,Census!$G61+Q$5-18)/INDEX(Decrements!$G$6:$G$58,Census!$G61-17)*(INDEX(Decrements!$D$6:$D$58,Census!$G61+Q$5-18)+IF(Q$5=$B61,INDEX(Decrements!$F$6:$F$58,Census!$G61+Q$5-18),0)+INDEX(Decrements!$E$6:$E$58,Census!$G61+Q$5-18)*IF((Census!$F61+Q$5)&gt;=Assumptions!$B$11,1,0))*MIN(15/26*Census!$D61*(1+Assumptions!$B$9)^Q$5*(INT((Census!$F61+Q$5))+IF((Census!$F61+Q$5)-INT((Census!$F61+Q$5))&gt;0.5,1,0)),Assumptions!$B$10))</f>
        <v>26359.412066258559</v>
      </c>
      <c r="R61" s="30">
        <f>IF(R$5&gt;$B61,0,INDEX(Decrements!$G$6:$G$58,Census!$G61+R$5-18)/INDEX(Decrements!$G$6:$G$58,Census!$G61-17)*(INDEX(Decrements!$D$6:$D$58,Census!$G61+R$5-18)+IF(R$5=$B61,INDEX(Decrements!$F$6:$F$58,Census!$G61+R$5-18),0)+INDEX(Decrements!$E$6:$E$58,Census!$G61+R$5-18)*IF((Census!$F61+R$5)&gt;=Assumptions!$B$11,1,0))*MIN(15/26*Census!$D61*(1+Assumptions!$B$9)^R$5*(INT((Census!$F61+R$5))+IF((Census!$F61+R$5)-INT((Census!$F61+R$5))&gt;0.5,1,0)),Assumptions!$B$10))</f>
        <v>26086.461041428975</v>
      </c>
      <c r="S61" s="30">
        <f>IF(S$5&gt;$B61,0,INDEX(Decrements!$G$6:$G$58,Census!$G61+S$5-18)/INDEX(Decrements!$G$6:$G$58,Census!$G61-17)*(INDEX(Decrements!$D$6:$D$58,Census!$G61+S$5-18)+IF(S$5=$B61,INDEX(Decrements!$F$6:$F$58,Census!$G61+S$5-18),0)+INDEX(Decrements!$E$6:$E$58,Census!$G61+S$5-18)*IF((Census!$F61+S$5)&gt;=Assumptions!$B$11,1,0))*MIN(15/26*Census!$D61*(1+Assumptions!$B$9)^S$5*(INT((Census!$F61+S$5))+IF((Census!$F61+S$5)-INT((Census!$F61+S$5))&gt;0.5,1,0)),Assumptions!$B$10))</f>
        <v>15238.09938259788</v>
      </c>
      <c r="T61" s="30">
        <f>IF(T$5&gt;$B61,0,INDEX(Decrements!$G$6:$G$58,Census!$G61+T$5-18)/INDEX(Decrements!$G$6:$G$58,Census!$G61-17)*(INDEX(Decrements!$D$6:$D$58,Census!$G61+T$5-18)+IF(T$5=$B61,INDEX(Decrements!$F$6:$F$58,Census!$G61+T$5-18),0)+INDEX(Decrements!$E$6:$E$58,Census!$G61+T$5-18)*IF((Census!$F61+T$5)&gt;=Assumptions!$B$11,1,0))*MIN(15/26*Census!$D61*(1+Assumptions!$B$9)^T$5*(INT((Census!$F61+T$5))+IF((Census!$F61+T$5)-INT((Census!$F61+T$5))&gt;0.5,1,0)),Assumptions!$B$10))</f>
        <v>15430.22557286387</v>
      </c>
      <c r="U61" s="30">
        <f>IF(U$5&gt;$B61,0,INDEX(Decrements!$G$6:$G$58,Census!$G61+U$5-18)/INDEX(Decrements!$G$6:$G$58,Census!$G61-17)*(INDEX(Decrements!$D$6:$D$58,Census!$G61+U$5-18)+IF(U$5=$B61,INDEX(Decrements!$F$6:$F$58,Census!$G61+U$5-18),0)+INDEX(Decrements!$E$6:$E$58,Census!$G61+U$5-18)*IF((Census!$F61+U$5)&gt;=Assumptions!$B$11,1,0))*MIN(15/26*Census!$D61*(1+Assumptions!$B$9)^U$5*(INT((Census!$F61+U$5))+IF((Census!$F61+U$5)-INT((Census!$F61+U$5))&gt;0.5,1,0)),Assumptions!$B$10))</f>
        <v>15647.772402611306</v>
      </c>
      <c r="V61" s="30">
        <f>IF(V$5&gt;$B61,0,INDEX(Decrements!$G$6:$G$58,Census!$G61+V$5-18)/INDEX(Decrements!$G$6:$G$58,Census!$G61-17)*(INDEX(Decrements!$D$6:$D$58,Census!$G61+V$5-18)+IF(V$5=$B61,INDEX(Decrements!$F$6:$F$58,Census!$G61+V$5-18),0)+INDEX(Decrements!$E$6:$E$58,Census!$G61+V$5-18)*IF((Census!$F61+V$5)&gt;=Assumptions!$B$11,1,0))*MIN(15/26*Census!$D61*(1+Assumptions!$B$9)^V$5*(INT((Census!$F61+V$5))+IF((Census!$F61+V$5)-INT((Census!$F61+V$5))&gt;0.5,1,0)),Assumptions!$B$10))</f>
        <v>15892.218432355952</v>
      </c>
      <c r="W61" s="30">
        <f>IF(W$5&gt;$B61,0,INDEX(Decrements!$G$6:$G$58,Census!$G61+W$5-18)/INDEX(Decrements!$G$6:$G$58,Census!$G61-17)*(INDEX(Decrements!$D$6:$D$58,Census!$G61+W$5-18)+IF(W$5=$B61,INDEX(Decrements!$F$6:$F$58,Census!$G61+W$5-18),0)+INDEX(Decrements!$E$6:$E$58,Census!$G61+W$5-18)*IF((Census!$F61+W$5)&gt;=Assumptions!$B$11,1,0))*MIN(15/26*Census!$D61*(1+Assumptions!$B$9)^W$5*(INT((Census!$F61+W$5))+IF((Census!$F61+W$5)-INT((Census!$F61+W$5))&gt;0.5,1,0)),Assumptions!$B$10))</f>
        <v>1002340.4356170596</v>
      </c>
      <c r="X61" s="30">
        <f>IF(X$5&gt;$B61,0,INDEX(Decrements!$G$6:$G$58,Census!$G61+X$5-18)/INDEX(Decrements!$G$6:$G$58,Census!$G61-17)*(INDEX(Decrements!$D$6:$D$58,Census!$G61+X$5-18)+IF(X$5=$B61,INDEX(Decrements!$F$6:$F$58,Census!$G61+X$5-18),0)+INDEX(Decrements!$E$6:$E$58,Census!$G61+X$5-18)*IF((Census!$F61+X$5)&gt;=Assumptions!$B$11,1,0))*MIN(15/26*Census!$D61*(1+Assumptions!$B$9)^X$5*(INT((Census!$F61+X$5))+IF((Census!$F61+X$5)-INT((Census!$F61+X$5))&gt;0.5,1,0)),Assumptions!$B$10))</f>
        <v>0</v>
      </c>
      <c r="Y61" s="30">
        <f>IF(Y$5&gt;$B61,0,INDEX(Decrements!$G$6:$G$58,Census!$G61+Y$5-18)/INDEX(Decrements!$G$6:$G$58,Census!$G61-17)*(INDEX(Decrements!$D$6:$D$58,Census!$G61+Y$5-18)+IF(Y$5=$B61,INDEX(Decrements!$F$6:$F$58,Census!$G61+Y$5-18),0)+INDEX(Decrements!$E$6:$E$58,Census!$G61+Y$5-18)*IF((Census!$F61+Y$5)&gt;=Assumptions!$B$11,1,0))*MIN(15/26*Census!$D61*(1+Assumptions!$B$9)^Y$5*(INT((Census!$F61+Y$5))+IF((Census!$F61+Y$5)-INT((Census!$F61+Y$5))&gt;0.5,1,0)),Assumptions!$B$10))</f>
        <v>0</v>
      </c>
      <c r="Z61" s="30">
        <f>IF(Z$5&gt;$B61,0,INDEX(Decrements!$G$6:$G$58,Census!$G61+Z$5-18)/INDEX(Decrements!$G$6:$G$58,Census!$G61-17)*(INDEX(Decrements!$D$6:$D$58,Census!$G61+Z$5-18)+IF(Z$5=$B61,INDEX(Decrements!$F$6:$F$58,Census!$G61+Z$5-18),0)+INDEX(Decrements!$E$6:$E$58,Census!$G61+Z$5-18)*IF((Census!$F61+Z$5)&gt;=Assumptions!$B$11,1,0))*MIN(15/26*Census!$D61*(1+Assumptions!$B$9)^Z$5*(INT((Census!$F61+Z$5))+IF((Census!$F61+Z$5)-INT((Census!$F61+Z$5))&gt;0.5,1,0)),Assumptions!$B$10))</f>
        <v>0</v>
      </c>
      <c r="AA61" s="30">
        <f>IF(AA$5&gt;$B61,0,INDEX(Decrements!$G$6:$G$58,Census!$G61+AA$5-18)/INDEX(Decrements!$G$6:$G$58,Census!$G61-17)*(INDEX(Decrements!$D$6:$D$58,Census!$G61+AA$5-18)+IF(AA$5=$B61,INDEX(Decrements!$F$6:$F$58,Census!$G61+AA$5-18),0)+INDEX(Decrements!$E$6:$E$58,Census!$G61+AA$5-18)*IF((Census!$F61+AA$5)&gt;=Assumptions!$B$11,1,0))*MIN(15/26*Census!$D61*(1+Assumptions!$B$9)^AA$5*(INT((Census!$F61+AA$5))+IF((Census!$F61+AA$5)-INT((Census!$F61+AA$5))&gt;0.5,1,0)),Assumptions!$B$10))</f>
        <v>0</v>
      </c>
      <c r="AB61" s="30">
        <f>IF(AB$5&gt;$B61,0,INDEX(Decrements!$G$6:$G$58,Census!$G61+AB$5-18)/INDEX(Decrements!$G$6:$G$58,Census!$G61-17)*(INDEX(Decrements!$D$6:$D$58,Census!$G61+AB$5-18)+IF(AB$5=$B61,INDEX(Decrements!$F$6:$F$58,Census!$G61+AB$5-18),0)+INDEX(Decrements!$E$6:$E$58,Census!$G61+AB$5-18)*IF((Census!$F61+AB$5)&gt;=Assumptions!$B$11,1,0))*MIN(15/26*Census!$D61*(1+Assumptions!$B$9)^AB$5*(INT((Census!$F61+AB$5))+IF((Census!$F61+AB$5)-INT((Census!$F61+AB$5))&gt;0.5,1,0)),Assumptions!$B$10))</f>
        <v>0</v>
      </c>
      <c r="AC61" s="30">
        <f>IF(AC$5&gt;$B61,0,INDEX(Decrements!$G$6:$G$58,Census!$G61+AC$5-18)/INDEX(Decrements!$G$6:$G$58,Census!$G61-17)*(INDEX(Decrements!$D$6:$D$58,Census!$G61+AC$5-18)+IF(AC$5=$B61,INDEX(Decrements!$F$6:$F$58,Census!$G61+AC$5-18),0)+INDEX(Decrements!$E$6:$E$58,Census!$G61+AC$5-18)*IF((Census!$F61+AC$5)&gt;=Assumptions!$B$11,1,0))*MIN(15/26*Census!$D61*(1+Assumptions!$B$9)^AC$5*(INT((Census!$F61+AC$5))+IF((Census!$F61+AC$5)-INT((Census!$F61+AC$5))&gt;0.5,1,0)),Assumptions!$B$10))</f>
        <v>0</v>
      </c>
      <c r="AD61" s="30">
        <f>IF(AD$5&gt;$B61,0,INDEX(Decrements!$G$6:$G$58,Census!$G61+AD$5-18)/INDEX(Decrements!$G$6:$G$58,Census!$G61-17)*(INDEX(Decrements!$D$6:$D$58,Census!$G61+AD$5-18)+IF(AD$5=$B61,INDEX(Decrements!$F$6:$F$58,Census!$G61+AD$5-18),0)+INDEX(Decrements!$E$6:$E$58,Census!$G61+AD$5-18)*IF((Census!$F61+AD$5)&gt;=Assumptions!$B$11,1,0))*MIN(15/26*Census!$D61*(1+Assumptions!$B$9)^AD$5*(INT((Census!$F61+AD$5))+IF((Census!$F61+AD$5)-INT((Census!$F61+AD$5))&gt;0.5,1,0)),Assumptions!$B$10))</f>
        <v>0</v>
      </c>
      <c r="AE61" s="30">
        <f>IF(AE$5&gt;$B61,0,INDEX(Decrements!$G$6:$G$58,Census!$G61+AE$5-18)/INDEX(Decrements!$G$6:$G$58,Census!$G61-17)*(INDEX(Decrements!$D$6:$D$58,Census!$G61+AE$5-18)+IF(AE$5=$B61,INDEX(Decrements!$F$6:$F$58,Census!$G61+AE$5-18),0)+INDEX(Decrements!$E$6:$E$58,Census!$G61+AE$5-18)*IF((Census!$F61+AE$5)&gt;=Assumptions!$B$11,1,0))*MIN(15/26*Census!$D61*(1+Assumptions!$B$9)^AE$5*(INT((Census!$F61+AE$5))+IF((Census!$F61+AE$5)-INT((Census!$F61+AE$5))&gt;0.5,1,0)),Assumptions!$B$10))</f>
        <v>0</v>
      </c>
      <c r="AF61" s="30">
        <f>IF(AF$5&gt;$B61,0,INDEX(Decrements!$G$6:$G$58,Census!$G61+AF$5-18)/INDEX(Decrements!$G$6:$G$58,Census!$G61-17)*(INDEX(Decrements!$D$6:$D$58,Census!$G61+AF$5-18)+IF(AF$5=$B61,INDEX(Decrements!$F$6:$F$58,Census!$G61+AF$5-18),0)+INDEX(Decrements!$E$6:$E$58,Census!$G61+AF$5-18)*IF((Census!$F61+AF$5)&gt;=Assumptions!$B$11,1,0))*MIN(15/26*Census!$D61*(1+Assumptions!$B$9)^AF$5*(INT((Census!$F61+AF$5))+IF((Census!$F61+AF$5)-INT((Census!$F61+AF$5))&gt;0.5,1,0)),Assumptions!$B$10))</f>
        <v>0</v>
      </c>
      <c r="AG61" s="30">
        <f>IF(AG$5&gt;$B61,0,INDEX(Decrements!$G$6:$G$58,Census!$G61+AG$5-18)/INDEX(Decrements!$G$6:$G$58,Census!$G61-17)*(INDEX(Decrements!$D$6:$D$58,Census!$G61+AG$5-18)+IF(AG$5=$B61,INDEX(Decrements!$F$6:$F$58,Census!$G61+AG$5-18),0)+INDEX(Decrements!$E$6:$E$58,Census!$G61+AG$5-18)*IF((Census!$F61+AG$5)&gt;=Assumptions!$B$11,1,0))*MIN(15/26*Census!$D61*(1+Assumptions!$B$9)^AG$5*(INT((Census!$F61+AG$5))+IF((Census!$F61+AG$5)-INT((Census!$F61+AG$5))&gt;0.5,1,0)),Assumptions!$B$10))</f>
        <v>0</v>
      </c>
      <c r="AH61" s="30">
        <f>IF(AH$5&gt;$B61,0,INDEX(Decrements!$G$6:$G$58,Census!$G61+AH$5-18)/INDEX(Decrements!$G$6:$G$58,Census!$G61-17)*(INDEX(Decrements!$D$6:$D$58,Census!$G61+AH$5-18)+IF(AH$5=$B61,INDEX(Decrements!$F$6:$F$58,Census!$G61+AH$5-18),0)+INDEX(Decrements!$E$6:$E$58,Census!$G61+AH$5-18)*IF((Census!$F61+AH$5)&gt;=Assumptions!$B$11,1,0))*MIN(15/26*Census!$D61*(1+Assumptions!$B$9)^AH$5*(INT((Census!$F61+AH$5))+IF((Census!$F61+AH$5)-INT((Census!$F61+AH$5))&gt;0.5,1,0)),Assumptions!$B$10))</f>
        <v>0</v>
      </c>
      <c r="AI61" s="30">
        <f>IF(AI$5&gt;$B61,0,INDEX(Decrements!$G$6:$G$58,Census!$G61+AI$5-18)/INDEX(Decrements!$G$6:$G$58,Census!$G61-17)*(INDEX(Decrements!$D$6:$D$58,Census!$G61+AI$5-18)+IF(AI$5=$B61,INDEX(Decrements!$F$6:$F$58,Census!$G61+AI$5-18),0)+INDEX(Decrements!$E$6:$E$58,Census!$G61+AI$5-18)*IF((Census!$F61+AI$5)&gt;=Assumptions!$B$11,1,0))*MIN(15/26*Census!$D61*(1+Assumptions!$B$9)^AI$5*(INT((Census!$F61+AI$5))+IF((Census!$F61+AI$5)-INT((Census!$F61+AI$5))&gt;0.5,1,0)),Assumptions!$B$10))</f>
        <v>0</v>
      </c>
      <c r="AJ61" s="30">
        <f>IF(AJ$5&gt;$B61,0,INDEX(Decrements!$G$6:$G$58,Census!$G61+AJ$5-18)/INDEX(Decrements!$G$6:$G$58,Census!$G61-17)*(INDEX(Decrements!$D$6:$D$58,Census!$G61+AJ$5-18)+IF(AJ$5=$B61,INDEX(Decrements!$F$6:$F$58,Census!$G61+AJ$5-18),0)+INDEX(Decrements!$E$6:$E$58,Census!$G61+AJ$5-18)*IF((Census!$F61+AJ$5)&gt;=Assumptions!$B$11,1,0))*MIN(15/26*Census!$D61*(1+Assumptions!$B$9)^AJ$5*(INT((Census!$F61+AJ$5))+IF((Census!$F61+AJ$5)-INT((Census!$F61+AJ$5))&gt;0.5,1,0)),Assumptions!$B$10))</f>
        <v>0</v>
      </c>
      <c r="AK61" s="30">
        <f>IF(AK$5&gt;$B61,0,INDEX(Decrements!$G$6:$G$58,Census!$G61+AK$5-18)/INDEX(Decrements!$G$6:$G$58,Census!$G61-17)*(INDEX(Decrements!$D$6:$D$58,Census!$G61+AK$5-18)+IF(AK$5=$B61,INDEX(Decrements!$F$6:$F$58,Census!$G61+AK$5-18),0)+INDEX(Decrements!$E$6:$E$58,Census!$G61+AK$5-18)*IF((Census!$F61+AK$5)&gt;=Assumptions!$B$11,1,0))*MIN(15/26*Census!$D61*(1+Assumptions!$B$9)^AK$5*(INT((Census!$F61+AK$5))+IF((Census!$F61+AK$5)-INT((Census!$F61+AK$5))&gt;0.5,1,0)),Assumptions!$B$10))</f>
        <v>0</v>
      </c>
      <c r="AL61" s="30">
        <f>IF(AL$5&gt;$B61,0,INDEX(Decrements!$G$6:$G$58,Census!$G61+AL$5-18)/INDEX(Decrements!$G$6:$G$58,Census!$G61-17)*(INDEX(Decrements!$D$6:$D$58,Census!$G61+AL$5-18)+IF(AL$5=$B61,INDEX(Decrements!$F$6:$F$58,Census!$G61+AL$5-18),0)+INDEX(Decrements!$E$6:$E$58,Census!$G61+AL$5-18)*IF((Census!$F61+AL$5)&gt;=Assumptions!$B$11,1,0))*MIN(15/26*Census!$D61*(1+Assumptions!$B$9)^AL$5*(INT((Census!$F61+AL$5))+IF((Census!$F61+AL$5)-INT((Census!$F61+AL$5))&gt;0.5,1,0)),Assumptions!$B$10))</f>
        <v>0</v>
      </c>
      <c r="AM61" s="30">
        <f>IF(AM$5&gt;$B61,0,INDEX(Decrements!$G$6:$G$58,Census!$G61+AM$5-18)/INDEX(Decrements!$G$6:$G$58,Census!$G61-17)*(INDEX(Decrements!$D$6:$D$58,Census!$G61+AM$5-18)+IF(AM$5=$B61,INDEX(Decrements!$F$6:$F$58,Census!$G61+AM$5-18),0)+INDEX(Decrements!$E$6:$E$58,Census!$G61+AM$5-18)*IF((Census!$F61+AM$5)&gt;=Assumptions!$B$11,1,0))*MIN(15/26*Census!$D61*(1+Assumptions!$B$9)^AM$5*(INT((Census!$F61+AM$5))+IF((Census!$F61+AM$5)-INT((Census!$F61+AM$5))&gt;0.5,1,0)),Assumptions!$B$10))</f>
        <v>0</v>
      </c>
      <c r="AN61" s="30">
        <f>IF(AN$5&gt;$B61,0,INDEX(Decrements!$G$6:$G$58,Census!$G61+AN$5-18)/INDEX(Decrements!$G$6:$G$58,Census!$G61-17)*(INDEX(Decrements!$D$6:$D$58,Census!$G61+AN$5-18)+IF(AN$5=$B61,INDEX(Decrements!$F$6:$F$58,Census!$G61+AN$5-18),0)+INDEX(Decrements!$E$6:$E$58,Census!$G61+AN$5-18)*IF((Census!$F61+AN$5)&gt;=Assumptions!$B$11,1,0))*MIN(15/26*Census!$D61*(1+Assumptions!$B$9)^AN$5*(INT((Census!$F61+AN$5))+IF((Census!$F61+AN$5)-INT((Census!$F61+AN$5))&gt;0.5,1,0)),Assumptions!$B$10))</f>
        <v>0</v>
      </c>
      <c r="AO61" s="30">
        <f>IF(AO$5&gt;$B61,0,INDEX(Decrements!$G$6:$G$58,Census!$G61+AO$5-18)/INDEX(Decrements!$G$6:$G$58,Census!$G61-17)*(INDEX(Decrements!$D$6:$D$58,Census!$G61+AO$5-18)+IF(AO$5=$B61,INDEX(Decrements!$F$6:$F$58,Census!$G61+AO$5-18),0)+INDEX(Decrements!$E$6:$E$58,Census!$G61+AO$5-18)*IF((Census!$F61+AO$5)&gt;=Assumptions!$B$11,1,0))*MIN(15/26*Census!$D61*(1+Assumptions!$B$9)^AO$5*(INT((Census!$F61+AO$5))+IF((Census!$F61+AO$5)-INT((Census!$F61+AO$5))&gt;0.5,1,0)),Assumptions!$B$10))</f>
        <v>0</v>
      </c>
      <c r="AP61" s="30">
        <f>IF(AP$5&gt;$B61,0,INDEX(Decrements!$G$6:$G$58,Census!$G61+AP$5-18)/INDEX(Decrements!$G$6:$G$58,Census!$G61-17)*(INDEX(Decrements!$D$6:$D$58,Census!$G61+AP$5-18)+IF(AP$5=$B61,INDEX(Decrements!$F$6:$F$58,Census!$G61+AP$5-18),0)+INDEX(Decrements!$E$6:$E$58,Census!$G61+AP$5-18)*IF((Census!$F61+AP$5)&gt;=Assumptions!$B$11,1,0))*MIN(15/26*Census!$D61*(1+Assumptions!$B$9)^AP$5*(INT((Census!$F61+AP$5))+IF((Census!$F61+AP$5)-INT((Census!$F61+AP$5))&gt;0.5,1,0)),Assumptions!$B$10))</f>
        <v>0</v>
      </c>
      <c r="AQ61" s="30">
        <f>IF(AQ$5&gt;$B61,0,INDEX(Decrements!$G$6:$G$58,Census!$G61+AQ$5-18)/INDEX(Decrements!$G$6:$G$58,Census!$G61-17)*(INDEX(Decrements!$D$6:$D$58,Census!$G61+AQ$5-18)+IF(AQ$5=$B61,INDEX(Decrements!$F$6:$F$58,Census!$G61+AQ$5-18),0)+INDEX(Decrements!$E$6:$E$58,Census!$G61+AQ$5-18)*IF((Census!$F61+AQ$5)&gt;=Assumptions!$B$11,1,0))*MIN(15/26*Census!$D61*(1+Assumptions!$B$9)^AQ$5*(INT((Census!$F61+AQ$5))+IF((Census!$F61+AQ$5)-INT((Census!$F61+AQ$5))&gt;0.5,1,0)),Assumptions!$B$10))</f>
        <v>0</v>
      </c>
      <c r="AR61" s="30">
        <f>IF(AR$5&gt;$B61,0,INDEX(Decrements!$G$6:$G$58,Census!$G61+AR$5-18)/INDEX(Decrements!$G$6:$G$58,Census!$G61-17)*(INDEX(Decrements!$D$6:$D$58,Census!$G61+AR$5-18)+IF(AR$5=$B61,INDEX(Decrements!$F$6:$F$58,Census!$G61+AR$5-18),0)+INDEX(Decrements!$E$6:$E$58,Census!$G61+AR$5-18)*IF((Census!$F61+AR$5)&gt;=Assumptions!$B$11,1,0))*MIN(15/26*Census!$D61*(1+Assumptions!$B$9)^AR$5*(INT((Census!$F61+AR$5))+IF((Census!$F61+AR$5)-INT((Census!$F61+AR$5))&gt;0.5,1,0)),Assumptions!$B$10))</f>
        <v>0</v>
      </c>
      <c r="AS61" s="30">
        <f>IF(AS$5&gt;$B61,0,INDEX(Decrements!$G$6:$G$58,Census!$G61+AS$5-18)/INDEX(Decrements!$G$6:$G$58,Census!$G61-17)*(INDEX(Decrements!$D$6:$D$58,Census!$G61+AS$5-18)+IF(AS$5=$B61,INDEX(Decrements!$F$6:$F$58,Census!$G61+AS$5-18),0)+INDEX(Decrements!$E$6:$E$58,Census!$G61+AS$5-18)*IF((Census!$F61+AS$5)&gt;=Assumptions!$B$11,1,0))*MIN(15/26*Census!$D61*(1+Assumptions!$B$9)^AS$5*(INT((Census!$F61+AS$5))+IF((Census!$F61+AS$5)-INT((Census!$F61+AS$5))&gt;0.5,1,0)),Assumptions!$B$10))</f>
        <v>0</v>
      </c>
      <c r="AT61" s="30">
        <f>IF(AT$5&gt;$B61,0,INDEX(Decrements!$G$6:$G$58,Census!$G61+AT$5-18)/INDEX(Decrements!$G$6:$G$58,Census!$G61-17)*(INDEX(Decrements!$D$6:$D$58,Census!$G61+AT$5-18)+IF(AT$5=$B61,INDEX(Decrements!$F$6:$F$58,Census!$G61+AT$5-18),0)+INDEX(Decrements!$E$6:$E$58,Census!$G61+AT$5-18)*IF((Census!$F61+AT$5)&gt;=Assumptions!$B$11,1,0))*MIN(15/26*Census!$D61*(1+Assumptions!$B$9)^AT$5*(INT((Census!$F61+AT$5))+IF((Census!$F61+AT$5)-INT((Census!$F61+AT$5))&gt;0.5,1,0)),Assumptions!$B$10))</f>
        <v>0</v>
      </c>
      <c r="AU61" s="30">
        <f>IF(AU$5&gt;$B61,0,INDEX(Decrements!$G$6:$G$58,Census!$G61+AU$5-18)/INDEX(Decrements!$G$6:$G$58,Census!$G61-17)*(INDEX(Decrements!$D$6:$D$58,Census!$G61+AU$5-18)+IF(AU$5=$B61,INDEX(Decrements!$F$6:$F$58,Census!$G61+AU$5-18),0)+INDEX(Decrements!$E$6:$E$58,Census!$G61+AU$5-18)*IF((Census!$F61+AU$5)&gt;=Assumptions!$B$11,1,0))*MIN(15/26*Census!$D61*(1+Assumptions!$B$9)^AU$5*(INT((Census!$F61+AU$5))+IF((Census!$F61+AU$5)-INT((Census!$F61+AU$5))&gt;0.5,1,0)),Assumptions!$B$10))</f>
        <v>0</v>
      </c>
    </row>
    <row r="62" spans="1:47" x14ac:dyDescent="0.3">
      <c r="A62" s="10" t="str">
        <f>Census!A62</f>
        <v>E057</v>
      </c>
      <c r="B62" s="29">
        <f>Census!H62</f>
        <v>22</v>
      </c>
      <c r="C62" s="30">
        <f>IF(C$5&gt;$B62,0,INDEX(Decrements!$G$6:$G$58,Census!$G62+C$5-18)/INDEX(Decrements!$G$6:$G$58,Census!$G62-17)*(INDEX(Decrements!$D$6:$D$58,Census!$G62+C$5-18)+IF(C$5=$B62,INDEX(Decrements!$F$6:$F$58,Census!$G62+C$5-18),0)+INDEX(Decrements!$E$6:$E$58,Census!$G62+C$5-18)*IF((Census!$F62+C$5)&gt;=Assumptions!$B$11,1,0))*MIN(15/26*Census!$D62*(1+Assumptions!$B$9)^C$5*(INT((Census!$F62+C$5))+IF((Census!$F62+C$5)-INT((Census!$F62+C$5))&gt;0.5,1,0)),Assumptions!$B$10))</f>
        <v>17.991608540753166</v>
      </c>
      <c r="D62" s="30">
        <f>IF(D$5&gt;$B62,0,INDEX(Decrements!$G$6:$G$58,Census!$G62+D$5-18)/INDEX(Decrements!$G$6:$G$58,Census!$G62-17)*(INDEX(Decrements!$D$6:$D$58,Census!$G62+D$5-18)+IF(D$5=$B62,INDEX(Decrements!$F$6:$F$58,Census!$G62+D$5-18),0)+INDEX(Decrements!$E$6:$E$58,Census!$G62+D$5-18)*IF((Census!$F62+D$5)&gt;=Assumptions!$B$11,1,0))*MIN(15/26*Census!$D62*(1+Assumptions!$B$9)^D$5*(INT((Census!$F62+D$5))+IF((Census!$F62+D$5)-INT((Census!$F62+D$5))&gt;0.5,1,0)),Assumptions!$B$10))</f>
        <v>38.07462541486499</v>
      </c>
      <c r="E62" s="30">
        <f>IF(E$5&gt;$B62,0,INDEX(Decrements!$G$6:$G$58,Census!$G62+E$5-18)/INDEX(Decrements!$G$6:$G$58,Census!$G62-17)*(INDEX(Decrements!$D$6:$D$58,Census!$G62+E$5-18)+IF(E$5=$B62,INDEX(Decrements!$F$6:$F$58,Census!$G62+E$5-18),0)+INDEX(Decrements!$E$6:$E$58,Census!$G62+E$5-18)*IF((Census!$F62+E$5)&gt;=Assumptions!$B$11,1,0))*MIN(15/26*Census!$D62*(1+Assumptions!$B$9)^E$5*(INT((Census!$F62+E$5))+IF((Census!$F62+E$5)-INT((Census!$F62+E$5))&gt;0.5,1,0)),Assumptions!$B$10))</f>
        <v>61.491282326946099</v>
      </c>
      <c r="F62" s="30">
        <f>IF(F$5&gt;$B62,0,INDEX(Decrements!$G$6:$G$58,Census!$G62+F$5-18)/INDEX(Decrements!$G$6:$G$58,Census!$G62-17)*(INDEX(Decrements!$D$6:$D$58,Census!$G62+F$5-18)+IF(F$5=$B62,INDEX(Decrements!$F$6:$F$58,Census!$G62+F$5-18),0)+INDEX(Decrements!$E$6:$E$58,Census!$G62+F$5-18)*IF((Census!$F62+F$5)&gt;=Assumptions!$B$11,1,0))*MIN(15/26*Census!$D62*(1+Assumptions!$B$9)^F$5*(INT((Census!$F62+F$5))+IF((Census!$F62+F$5)-INT((Census!$F62+F$5))&gt;0.5,1,0)),Assumptions!$B$10))</f>
        <v>89.913413266432528</v>
      </c>
      <c r="G62" s="30">
        <f>IF(G$5&gt;$B62,0,INDEX(Decrements!$G$6:$G$58,Census!$G62+G$5-18)/INDEX(Decrements!$G$6:$G$58,Census!$G62-17)*(INDEX(Decrements!$D$6:$D$58,Census!$G62+G$5-18)+IF(G$5=$B62,INDEX(Decrements!$F$6:$F$58,Census!$G62+G$5-18),0)+INDEX(Decrements!$E$6:$E$58,Census!$G62+G$5-18)*IF((Census!$F62+G$5)&gt;=Assumptions!$B$11,1,0))*MIN(15/26*Census!$D62*(1+Assumptions!$B$9)^G$5*(INT((Census!$F62+G$5))+IF((Census!$F62+G$5)-INT((Census!$F62+G$5))&gt;0.5,1,0)),Assumptions!$B$10))</f>
        <v>4210.6134615556493</v>
      </c>
      <c r="H62" s="30">
        <f>IF(H$5&gt;$B62,0,INDEX(Decrements!$G$6:$G$58,Census!$G62+H$5-18)/INDEX(Decrements!$G$6:$G$58,Census!$G62-17)*(INDEX(Decrements!$D$6:$D$58,Census!$G62+H$5-18)+IF(H$5=$B62,INDEX(Decrements!$F$6:$F$58,Census!$G62+H$5-18),0)+INDEX(Decrements!$E$6:$E$58,Census!$G62+H$5-18)*IF((Census!$F62+H$5)&gt;=Assumptions!$B$11,1,0))*MIN(15/26*Census!$D62*(1+Assumptions!$B$9)^H$5*(INT((Census!$F62+H$5))+IF((Census!$F62+H$5)-INT((Census!$F62+H$5))&gt;0.5,1,0)),Assumptions!$B$10))</f>
        <v>5187.043493381474</v>
      </c>
      <c r="I62" s="30">
        <f>IF(I$5&gt;$B62,0,INDEX(Decrements!$G$6:$G$58,Census!$G62+I$5-18)/INDEX(Decrements!$G$6:$G$58,Census!$G62-17)*(INDEX(Decrements!$D$6:$D$58,Census!$G62+I$5-18)+IF(I$5=$B62,INDEX(Decrements!$F$6:$F$58,Census!$G62+I$5-18),0)+INDEX(Decrements!$E$6:$E$58,Census!$G62+I$5-18)*IF((Census!$F62+I$5)&gt;=Assumptions!$B$11,1,0))*MIN(15/26*Census!$D62*(1+Assumptions!$B$9)^I$5*(INT((Census!$F62+I$5))+IF((Census!$F62+I$5)-INT((Census!$F62+I$5))&gt;0.5,1,0)),Assumptions!$B$10))</f>
        <v>6212.9741920843162</v>
      </c>
      <c r="J62" s="30">
        <f>IF(J$5&gt;$B62,0,INDEX(Decrements!$G$6:$G$58,Census!$G62+J$5-18)/INDEX(Decrements!$G$6:$G$58,Census!$G62-17)*(INDEX(Decrements!$D$6:$D$58,Census!$G62+J$5-18)+IF(J$5=$B62,INDEX(Decrements!$F$6:$F$58,Census!$G62+J$5-18),0)+INDEX(Decrements!$E$6:$E$58,Census!$G62+J$5-18)*IF((Census!$F62+J$5)&gt;=Assumptions!$B$11,1,0))*MIN(15/26*Census!$D62*(1+Assumptions!$B$9)^J$5*(INT((Census!$F62+J$5))+IF((Census!$F62+J$5)-INT((Census!$F62+J$5))&gt;0.5,1,0)),Assumptions!$B$10))</f>
        <v>4482.8623452685897</v>
      </c>
      <c r="K62" s="30">
        <f>IF(K$5&gt;$B62,0,INDEX(Decrements!$G$6:$G$58,Census!$G62+K$5-18)/INDEX(Decrements!$G$6:$G$58,Census!$G62-17)*(INDEX(Decrements!$D$6:$D$58,Census!$G62+K$5-18)+IF(K$5=$B62,INDEX(Decrements!$F$6:$F$58,Census!$G62+K$5-18),0)+INDEX(Decrements!$E$6:$E$58,Census!$G62+K$5-18)*IF((Census!$F62+K$5)&gt;=Assumptions!$B$11,1,0))*MIN(15/26*Census!$D62*(1+Assumptions!$B$9)^K$5*(INT((Census!$F62+K$5))+IF((Census!$F62+K$5)-INT((Census!$F62+K$5))&gt;0.5,1,0)),Assumptions!$B$10))</f>
        <v>5297.5918867890759</v>
      </c>
      <c r="L62" s="30">
        <f>IF(L$5&gt;$B62,0,INDEX(Decrements!$G$6:$G$58,Census!$G62+L$5-18)/INDEX(Decrements!$G$6:$G$58,Census!$G62-17)*(INDEX(Decrements!$D$6:$D$58,Census!$G62+L$5-18)+IF(L$5=$B62,INDEX(Decrements!$F$6:$F$58,Census!$G62+L$5-18),0)+INDEX(Decrements!$E$6:$E$58,Census!$G62+L$5-18)*IF((Census!$F62+L$5)&gt;=Assumptions!$B$11,1,0))*MIN(15/26*Census!$D62*(1+Assumptions!$B$9)^L$5*(INT((Census!$F62+L$5))+IF((Census!$F62+L$5)-INT((Census!$F62+L$5))&gt;0.5,1,0)),Assumptions!$B$10))</f>
        <v>6184.866987443439</v>
      </c>
      <c r="M62" s="30">
        <f>IF(M$5&gt;$B62,0,INDEX(Decrements!$G$6:$G$58,Census!$G62+M$5-18)/INDEX(Decrements!$G$6:$G$58,Census!$G62-17)*(INDEX(Decrements!$D$6:$D$58,Census!$G62+M$5-18)+IF(M$5=$B62,INDEX(Decrements!$F$6:$F$58,Census!$G62+M$5-18),0)+INDEX(Decrements!$E$6:$E$58,Census!$G62+M$5-18)*IF((Census!$F62+M$5)&gt;=Assumptions!$B$11,1,0))*MIN(15/26*Census!$D62*(1+Assumptions!$B$9)^M$5*(INT((Census!$F62+M$5))+IF((Census!$F62+M$5)-INT((Census!$F62+M$5))&gt;0.5,1,0)),Assumptions!$B$10))</f>
        <v>7150.7471053407562</v>
      </c>
      <c r="N62" s="30">
        <f>IF(N$5&gt;$B62,0,INDEX(Decrements!$G$6:$G$58,Census!$G62+N$5-18)/INDEX(Decrements!$G$6:$G$58,Census!$G62-17)*(INDEX(Decrements!$D$6:$D$58,Census!$G62+N$5-18)+IF(N$5=$B62,INDEX(Decrements!$F$6:$F$58,Census!$G62+N$5-18),0)+INDEX(Decrements!$E$6:$E$58,Census!$G62+N$5-18)*IF((Census!$F62+N$5)&gt;=Assumptions!$B$11,1,0))*MIN(15/26*Census!$D62*(1+Assumptions!$B$9)^N$5*(INT((Census!$F62+N$5))+IF((Census!$F62+N$5)-INT((Census!$F62+N$5))&gt;0.5,1,0)),Assumptions!$B$10))</f>
        <v>8201.8748523250051</v>
      </c>
      <c r="O62" s="30">
        <f>IF(O$5&gt;$B62,0,INDEX(Decrements!$G$6:$G$58,Census!$G62+O$5-18)/INDEX(Decrements!$G$6:$G$58,Census!$G62-17)*(INDEX(Decrements!$D$6:$D$58,Census!$G62+O$5-18)+IF(O$5=$B62,INDEX(Decrements!$F$6:$F$58,Census!$G62+O$5-18),0)+INDEX(Decrements!$E$6:$E$58,Census!$G62+O$5-18)*IF((Census!$F62+O$5)&gt;=Assumptions!$B$11,1,0))*MIN(15/26*Census!$D62*(1+Assumptions!$B$9)^O$5*(INT((Census!$F62+O$5))+IF((Census!$F62+O$5)-INT((Census!$F62+O$5))&gt;0.5,1,0)),Assumptions!$B$10))</f>
        <v>6502.139490994402</v>
      </c>
      <c r="P62" s="30">
        <f>IF(P$5&gt;$B62,0,INDEX(Decrements!$G$6:$G$58,Census!$G62+P$5-18)/INDEX(Decrements!$G$6:$G$58,Census!$G62-17)*(INDEX(Decrements!$D$6:$D$58,Census!$G62+P$5-18)+IF(P$5=$B62,INDEX(Decrements!$F$6:$F$58,Census!$G62+P$5-18),0)+INDEX(Decrements!$E$6:$E$58,Census!$G62+P$5-18)*IF((Census!$F62+P$5)&gt;=Assumptions!$B$11,1,0))*MIN(15/26*Census!$D62*(1+Assumptions!$B$9)^P$5*(INT((Census!$F62+P$5))+IF((Census!$F62+P$5)-INT((Census!$F62+P$5))&gt;0.5,1,0)),Assumptions!$B$10))</f>
        <v>7468.0538991999711</v>
      </c>
      <c r="Q62" s="30">
        <f>IF(Q$5&gt;$B62,0,INDEX(Decrements!$G$6:$G$58,Census!$G62+Q$5-18)/INDEX(Decrements!$G$6:$G$58,Census!$G62-17)*(INDEX(Decrements!$D$6:$D$58,Census!$G62+Q$5-18)+IF(Q$5=$B62,INDEX(Decrements!$F$6:$F$58,Census!$G62+Q$5-18),0)+INDEX(Decrements!$E$6:$E$58,Census!$G62+Q$5-18)*IF((Census!$F62+Q$5)&gt;=Assumptions!$B$11,1,0))*MIN(15/26*Census!$D62*(1+Assumptions!$B$9)^Q$5*(INT((Census!$F62+Q$5))+IF((Census!$F62+Q$5)-INT((Census!$F62+Q$5))&gt;0.5,1,0)),Assumptions!$B$10))</f>
        <v>8539.4561576989308</v>
      </c>
      <c r="R62" s="30">
        <f>IF(R$5&gt;$B62,0,INDEX(Decrements!$G$6:$G$58,Census!$G62+R$5-18)/INDEX(Decrements!$G$6:$G$58,Census!$G62-17)*(INDEX(Decrements!$D$6:$D$58,Census!$G62+R$5-18)+IF(R$5=$B62,INDEX(Decrements!$F$6:$F$58,Census!$G62+R$5-18),0)+INDEX(Decrements!$E$6:$E$58,Census!$G62+R$5-18)*IF((Census!$F62+R$5)&gt;=Assumptions!$B$11,1,0))*MIN(15/26*Census!$D62*(1+Assumptions!$B$9)^R$5*(INT((Census!$F62+R$5))+IF((Census!$F62+R$5)-INT((Census!$F62+R$5))&gt;0.5,1,0)),Assumptions!$B$10))</f>
        <v>9728.1588795681473</v>
      </c>
      <c r="S62" s="30">
        <f>IF(S$5&gt;$B62,0,INDEX(Decrements!$G$6:$G$58,Census!$G62+S$5-18)/INDEX(Decrements!$G$6:$G$58,Census!$G62-17)*(INDEX(Decrements!$D$6:$D$58,Census!$G62+S$5-18)+IF(S$5=$B62,INDEX(Decrements!$F$6:$F$58,Census!$G62+S$5-18),0)+INDEX(Decrements!$E$6:$E$58,Census!$G62+S$5-18)*IF((Census!$F62+S$5)&gt;=Assumptions!$B$11,1,0))*MIN(15/26*Census!$D62*(1+Assumptions!$B$9)^S$5*(INT((Census!$F62+S$5))+IF((Census!$F62+S$5)-INT((Census!$F62+S$5))&gt;0.5,1,0)),Assumptions!$B$10))</f>
        <v>11047.469095029794</v>
      </c>
      <c r="T62" s="30">
        <f>IF(T$5&gt;$B62,0,INDEX(Decrements!$G$6:$G$58,Census!$G62+T$5-18)/INDEX(Decrements!$G$6:$G$58,Census!$G62-17)*(INDEX(Decrements!$D$6:$D$58,Census!$G62+T$5-18)+IF(T$5=$B62,INDEX(Decrements!$F$6:$F$58,Census!$G62+T$5-18),0)+INDEX(Decrements!$E$6:$E$58,Census!$G62+T$5-18)*IF((Census!$F62+T$5)&gt;=Assumptions!$B$11,1,0))*MIN(15/26*Census!$D62*(1+Assumptions!$B$9)^T$5*(INT((Census!$F62+T$5))+IF((Census!$F62+T$5)-INT((Census!$F62+T$5))&gt;0.5,1,0)),Assumptions!$B$10))</f>
        <v>7379.4801805418956</v>
      </c>
      <c r="U62" s="30">
        <f>IF(U$5&gt;$B62,0,INDEX(Decrements!$G$6:$G$58,Census!$G62+U$5-18)/INDEX(Decrements!$G$6:$G$58,Census!$G62-17)*(INDEX(Decrements!$D$6:$D$58,Census!$G62+U$5-18)+IF(U$5=$B62,INDEX(Decrements!$F$6:$F$58,Census!$G62+U$5-18),0)+INDEX(Decrements!$E$6:$E$58,Census!$G62+U$5-18)*IF((Census!$F62+U$5)&gt;=Assumptions!$B$11,1,0))*MIN(15/26*Census!$D62*(1+Assumptions!$B$9)^U$5*(INT((Census!$F62+U$5))+IF((Census!$F62+U$5)-INT((Census!$F62+U$5))&gt;0.5,1,0)),Assumptions!$B$10))</f>
        <v>8518.6758970712726</v>
      </c>
      <c r="V62" s="30">
        <f>IF(V$5&gt;$B62,0,INDEX(Decrements!$G$6:$G$58,Census!$G62+V$5-18)/INDEX(Decrements!$G$6:$G$58,Census!$G62-17)*(INDEX(Decrements!$D$6:$D$58,Census!$G62+V$5-18)+IF(V$5=$B62,INDEX(Decrements!$F$6:$F$58,Census!$G62+V$5-18),0)+INDEX(Decrements!$E$6:$E$58,Census!$G62+V$5-18)*IF((Census!$F62+V$5)&gt;=Assumptions!$B$11,1,0))*MIN(15/26*Census!$D62*(1+Assumptions!$B$9)^V$5*(INT((Census!$F62+V$5))+IF((Census!$F62+V$5)-INT((Census!$F62+V$5))&gt;0.5,1,0)),Assumptions!$B$10))</f>
        <v>9820.9271869401855</v>
      </c>
      <c r="W62" s="30">
        <f>IF(W$5&gt;$B62,0,INDEX(Decrements!$G$6:$G$58,Census!$G62+W$5-18)/INDEX(Decrements!$G$6:$G$58,Census!$G62-17)*(INDEX(Decrements!$D$6:$D$58,Census!$G62+W$5-18)+IF(W$5=$B62,INDEX(Decrements!$F$6:$F$58,Census!$G62+W$5-18),0)+INDEX(Decrements!$E$6:$E$58,Census!$G62+W$5-18)*IF((Census!$F62+W$5)&gt;=Assumptions!$B$11,1,0))*MIN(15/26*Census!$D62*(1+Assumptions!$B$9)^W$5*(INT((Census!$F62+W$5))+IF((Census!$F62+W$5)-INT((Census!$F62+W$5))&gt;0.5,1,0)),Assumptions!$B$10))</f>
        <v>11310.910102580343</v>
      </c>
      <c r="X62" s="30">
        <f>IF(X$5&gt;$B62,0,INDEX(Decrements!$G$6:$G$58,Census!$G62+X$5-18)/INDEX(Decrements!$G$6:$G$58,Census!$G62-17)*(INDEX(Decrements!$D$6:$D$58,Census!$G62+X$5-18)+IF(X$5=$B62,INDEX(Decrements!$F$6:$F$58,Census!$G62+X$5-18),0)+INDEX(Decrements!$E$6:$E$58,Census!$G62+X$5-18)*IF((Census!$F62+X$5)&gt;=Assumptions!$B$11,1,0))*MIN(15/26*Census!$D62*(1+Assumptions!$B$9)^X$5*(INT((Census!$F62+X$5))+IF((Census!$F62+X$5)-INT((Census!$F62+X$5))&gt;0.5,1,0)),Assumptions!$B$10))</f>
        <v>807152.16743162577</v>
      </c>
      <c r="Y62" s="30">
        <f>IF(Y$5&gt;$B62,0,INDEX(Decrements!$G$6:$G$58,Census!$G62+Y$5-18)/INDEX(Decrements!$G$6:$G$58,Census!$G62-17)*(INDEX(Decrements!$D$6:$D$58,Census!$G62+Y$5-18)+IF(Y$5=$B62,INDEX(Decrements!$F$6:$F$58,Census!$G62+Y$5-18),0)+INDEX(Decrements!$E$6:$E$58,Census!$G62+Y$5-18)*IF((Census!$F62+Y$5)&gt;=Assumptions!$B$11,1,0))*MIN(15/26*Census!$D62*(1+Assumptions!$B$9)^Y$5*(INT((Census!$F62+Y$5))+IF((Census!$F62+Y$5)-INT((Census!$F62+Y$5))&gt;0.5,1,0)),Assumptions!$B$10))</f>
        <v>0</v>
      </c>
      <c r="Z62" s="30">
        <f>IF(Z$5&gt;$B62,0,INDEX(Decrements!$G$6:$G$58,Census!$G62+Z$5-18)/INDEX(Decrements!$G$6:$G$58,Census!$G62-17)*(INDEX(Decrements!$D$6:$D$58,Census!$G62+Z$5-18)+IF(Z$5=$B62,INDEX(Decrements!$F$6:$F$58,Census!$G62+Z$5-18),0)+INDEX(Decrements!$E$6:$E$58,Census!$G62+Z$5-18)*IF((Census!$F62+Z$5)&gt;=Assumptions!$B$11,1,0))*MIN(15/26*Census!$D62*(1+Assumptions!$B$9)^Z$5*(INT((Census!$F62+Z$5))+IF((Census!$F62+Z$5)-INT((Census!$F62+Z$5))&gt;0.5,1,0)),Assumptions!$B$10))</f>
        <v>0</v>
      </c>
      <c r="AA62" s="30">
        <f>IF(AA$5&gt;$B62,0,INDEX(Decrements!$G$6:$G$58,Census!$G62+AA$5-18)/INDEX(Decrements!$G$6:$G$58,Census!$G62-17)*(INDEX(Decrements!$D$6:$D$58,Census!$G62+AA$5-18)+IF(AA$5=$B62,INDEX(Decrements!$F$6:$F$58,Census!$G62+AA$5-18),0)+INDEX(Decrements!$E$6:$E$58,Census!$G62+AA$5-18)*IF((Census!$F62+AA$5)&gt;=Assumptions!$B$11,1,0))*MIN(15/26*Census!$D62*(1+Assumptions!$B$9)^AA$5*(INT((Census!$F62+AA$5))+IF((Census!$F62+AA$5)-INT((Census!$F62+AA$5))&gt;0.5,1,0)),Assumptions!$B$10))</f>
        <v>0</v>
      </c>
      <c r="AB62" s="30">
        <f>IF(AB$5&gt;$B62,0,INDEX(Decrements!$G$6:$G$58,Census!$G62+AB$5-18)/INDEX(Decrements!$G$6:$G$58,Census!$G62-17)*(INDEX(Decrements!$D$6:$D$58,Census!$G62+AB$5-18)+IF(AB$5=$B62,INDEX(Decrements!$F$6:$F$58,Census!$G62+AB$5-18),0)+INDEX(Decrements!$E$6:$E$58,Census!$G62+AB$5-18)*IF((Census!$F62+AB$5)&gt;=Assumptions!$B$11,1,0))*MIN(15/26*Census!$D62*(1+Assumptions!$B$9)^AB$5*(INT((Census!$F62+AB$5))+IF((Census!$F62+AB$5)-INT((Census!$F62+AB$5))&gt;0.5,1,0)),Assumptions!$B$10))</f>
        <v>0</v>
      </c>
      <c r="AC62" s="30">
        <f>IF(AC$5&gt;$B62,0,INDEX(Decrements!$G$6:$G$58,Census!$G62+AC$5-18)/INDEX(Decrements!$G$6:$G$58,Census!$G62-17)*(INDEX(Decrements!$D$6:$D$58,Census!$G62+AC$5-18)+IF(AC$5=$B62,INDEX(Decrements!$F$6:$F$58,Census!$G62+AC$5-18),0)+INDEX(Decrements!$E$6:$E$58,Census!$G62+AC$5-18)*IF((Census!$F62+AC$5)&gt;=Assumptions!$B$11,1,0))*MIN(15/26*Census!$D62*(1+Assumptions!$B$9)^AC$5*(INT((Census!$F62+AC$5))+IF((Census!$F62+AC$5)-INT((Census!$F62+AC$5))&gt;0.5,1,0)),Assumptions!$B$10))</f>
        <v>0</v>
      </c>
      <c r="AD62" s="30">
        <f>IF(AD$5&gt;$B62,0,INDEX(Decrements!$G$6:$G$58,Census!$G62+AD$5-18)/INDEX(Decrements!$G$6:$G$58,Census!$G62-17)*(INDEX(Decrements!$D$6:$D$58,Census!$G62+AD$5-18)+IF(AD$5=$B62,INDEX(Decrements!$F$6:$F$58,Census!$G62+AD$5-18),0)+INDEX(Decrements!$E$6:$E$58,Census!$G62+AD$5-18)*IF((Census!$F62+AD$5)&gt;=Assumptions!$B$11,1,0))*MIN(15/26*Census!$D62*(1+Assumptions!$B$9)^AD$5*(INT((Census!$F62+AD$5))+IF((Census!$F62+AD$5)-INT((Census!$F62+AD$5))&gt;0.5,1,0)),Assumptions!$B$10))</f>
        <v>0</v>
      </c>
      <c r="AE62" s="30">
        <f>IF(AE$5&gt;$B62,0,INDEX(Decrements!$G$6:$G$58,Census!$G62+AE$5-18)/INDEX(Decrements!$G$6:$G$58,Census!$G62-17)*(INDEX(Decrements!$D$6:$D$58,Census!$G62+AE$5-18)+IF(AE$5=$B62,INDEX(Decrements!$F$6:$F$58,Census!$G62+AE$5-18),0)+INDEX(Decrements!$E$6:$E$58,Census!$G62+AE$5-18)*IF((Census!$F62+AE$5)&gt;=Assumptions!$B$11,1,0))*MIN(15/26*Census!$D62*(1+Assumptions!$B$9)^AE$5*(INT((Census!$F62+AE$5))+IF((Census!$F62+AE$5)-INT((Census!$F62+AE$5))&gt;0.5,1,0)),Assumptions!$B$10))</f>
        <v>0</v>
      </c>
      <c r="AF62" s="30">
        <f>IF(AF$5&gt;$B62,0,INDEX(Decrements!$G$6:$G$58,Census!$G62+AF$5-18)/INDEX(Decrements!$G$6:$G$58,Census!$G62-17)*(INDEX(Decrements!$D$6:$D$58,Census!$G62+AF$5-18)+IF(AF$5=$B62,INDEX(Decrements!$F$6:$F$58,Census!$G62+AF$5-18),0)+INDEX(Decrements!$E$6:$E$58,Census!$G62+AF$5-18)*IF((Census!$F62+AF$5)&gt;=Assumptions!$B$11,1,0))*MIN(15/26*Census!$D62*(1+Assumptions!$B$9)^AF$5*(INT((Census!$F62+AF$5))+IF((Census!$F62+AF$5)-INT((Census!$F62+AF$5))&gt;0.5,1,0)),Assumptions!$B$10))</f>
        <v>0</v>
      </c>
      <c r="AG62" s="30">
        <f>IF(AG$5&gt;$B62,0,INDEX(Decrements!$G$6:$G$58,Census!$G62+AG$5-18)/INDEX(Decrements!$G$6:$G$58,Census!$G62-17)*(INDEX(Decrements!$D$6:$D$58,Census!$G62+AG$5-18)+IF(AG$5=$B62,INDEX(Decrements!$F$6:$F$58,Census!$G62+AG$5-18),0)+INDEX(Decrements!$E$6:$E$58,Census!$G62+AG$5-18)*IF((Census!$F62+AG$5)&gt;=Assumptions!$B$11,1,0))*MIN(15/26*Census!$D62*(1+Assumptions!$B$9)^AG$5*(INT((Census!$F62+AG$5))+IF((Census!$F62+AG$5)-INT((Census!$F62+AG$5))&gt;0.5,1,0)),Assumptions!$B$10))</f>
        <v>0</v>
      </c>
      <c r="AH62" s="30">
        <f>IF(AH$5&gt;$B62,0,INDEX(Decrements!$G$6:$G$58,Census!$G62+AH$5-18)/INDEX(Decrements!$G$6:$G$58,Census!$G62-17)*(INDEX(Decrements!$D$6:$D$58,Census!$G62+AH$5-18)+IF(AH$5=$B62,INDEX(Decrements!$F$6:$F$58,Census!$G62+AH$5-18),0)+INDEX(Decrements!$E$6:$E$58,Census!$G62+AH$5-18)*IF((Census!$F62+AH$5)&gt;=Assumptions!$B$11,1,0))*MIN(15/26*Census!$D62*(1+Assumptions!$B$9)^AH$5*(INT((Census!$F62+AH$5))+IF((Census!$F62+AH$5)-INT((Census!$F62+AH$5))&gt;0.5,1,0)),Assumptions!$B$10))</f>
        <v>0</v>
      </c>
      <c r="AI62" s="30">
        <f>IF(AI$5&gt;$B62,0,INDEX(Decrements!$G$6:$G$58,Census!$G62+AI$5-18)/INDEX(Decrements!$G$6:$G$58,Census!$G62-17)*(INDEX(Decrements!$D$6:$D$58,Census!$G62+AI$5-18)+IF(AI$5=$B62,INDEX(Decrements!$F$6:$F$58,Census!$G62+AI$5-18),0)+INDEX(Decrements!$E$6:$E$58,Census!$G62+AI$5-18)*IF((Census!$F62+AI$5)&gt;=Assumptions!$B$11,1,0))*MIN(15/26*Census!$D62*(1+Assumptions!$B$9)^AI$5*(INT((Census!$F62+AI$5))+IF((Census!$F62+AI$5)-INT((Census!$F62+AI$5))&gt;0.5,1,0)),Assumptions!$B$10))</f>
        <v>0</v>
      </c>
      <c r="AJ62" s="30">
        <f>IF(AJ$5&gt;$B62,0,INDEX(Decrements!$G$6:$G$58,Census!$G62+AJ$5-18)/INDEX(Decrements!$G$6:$G$58,Census!$G62-17)*(INDEX(Decrements!$D$6:$D$58,Census!$G62+AJ$5-18)+IF(AJ$5=$B62,INDEX(Decrements!$F$6:$F$58,Census!$G62+AJ$5-18),0)+INDEX(Decrements!$E$6:$E$58,Census!$G62+AJ$5-18)*IF((Census!$F62+AJ$5)&gt;=Assumptions!$B$11,1,0))*MIN(15/26*Census!$D62*(1+Assumptions!$B$9)^AJ$5*(INT((Census!$F62+AJ$5))+IF((Census!$F62+AJ$5)-INT((Census!$F62+AJ$5))&gt;0.5,1,0)),Assumptions!$B$10))</f>
        <v>0</v>
      </c>
      <c r="AK62" s="30">
        <f>IF(AK$5&gt;$B62,0,INDEX(Decrements!$G$6:$G$58,Census!$G62+AK$5-18)/INDEX(Decrements!$G$6:$G$58,Census!$G62-17)*(INDEX(Decrements!$D$6:$D$58,Census!$G62+AK$5-18)+IF(AK$5=$B62,INDEX(Decrements!$F$6:$F$58,Census!$G62+AK$5-18),0)+INDEX(Decrements!$E$6:$E$58,Census!$G62+AK$5-18)*IF((Census!$F62+AK$5)&gt;=Assumptions!$B$11,1,0))*MIN(15/26*Census!$D62*(1+Assumptions!$B$9)^AK$5*(INT((Census!$F62+AK$5))+IF((Census!$F62+AK$5)-INT((Census!$F62+AK$5))&gt;0.5,1,0)),Assumptions!$B$10))</f>
        <v>0</v>
      </c>
      <c r="AL62" s="30">
        <f>IF(AL$5&gt;$B62,0,INDEX(Decrements!$G$6:$G$58,Census!$G62+AL$5-18)/INDEX(Decrements!$G$6:$G$58,Census!$G62-17)*(INDEX(Decrements!$D$6:$D$58,Census!$G62+AL$5-18)+IF(AL$5=$B62,INDEX(Decrements!$F$6:$F$58,Census!$G62+AL$5-18),0)+INDEX(Decrements!$E$6:$E$58,Census!$G62+AL$5-18)*IF((Census!$F62+AL$5)&gt;=Assumptions!$B$11,1,0))*MIN(15/26*Census!$D62*(1+Assumptions!$B$9)^AL$5*(INT((Census!$F62+AL$5))+IF((Census!$F62+AL$5)-INT((Census!$F62+AL$5))&gt;0.5,1,0)),Assumptions!$B$10))</f>
        <v>0</v>
      </c>
      <c r="AM62" s="30">
        <f>IF(AM$5&gt;$B62,0,INDEX(Decrements!$G$6:$G$58,Census!$G62+AM$5-18)/INDEX(Decrements!$G$6:$G$58,Census!$G62-17)*(INDEX(Decrements!$D$6:$D$58,Census!$G62+AM$5-18)+IF(AM$5=$B62,INDEX(Decrements!$F$6:$F$58,Census!$G62+AM$5-18),0)+INDEX(Decrements!$E$6:$E$58,Census!$G62+AM$5-18)*IF((Census!$F62+AM$5)&gt;=Assumptions!$B$11,1,0))*MIN(15/26*Census!$D62*(1+Assumptions!$B$9)^AM$5*(INT((Census!$F62+AM$5))+IF((Census!$F62+AM$5)-INT((Census!$F62+AM$5))&gt;0.5,1,0)),Assumptions!$B$10))</f>
        <v>0</v>
      </c>
      <c r="AN62" s="30">
        <f>IF(AN$5&gt;$B62,0,INDEX(Decrements!$G$6:$G$58,Census!$G62+AN$5-18)/INDEX(Decrements!$G$6:$G$58,Census!$G62-17)*(INDEX(Decrements!$D$6:$D$58,Census!$G62+AN$5-18)+IF(AN$5=$B62,INDEX(Decrements!$F$6:$F$58,Census!$G62+AN$5-18),0)+INDEX(Decrements!$E$6:$E$58,Census!$G62+AN$5-18)*IF((Census!$F62+AN$5)&gt;=Assumptions!$B$11,1,0))*MIN(15/26*Census!$D62*(1+Assumptions!$B$9)^AN$5*(INT((Census!$F62+AN$5))+IF((Census!$F62+AN$5)-INT((Census!$F62+AN$5))&gt;0.5,1,0)),Assumptions!$B$10))</f>
        <v>0</v>
      </c>
      <c r="AO62" s="30">
        <f>IF(AO$5&gt;$B62,0,INDEX(Decrements!$G$6:$G$58,Census!$G62+AO$5-18)/INDEX(Decrements!$G$6:$G$58,Census!$G62-17)*(INDEX(Decrements!$D$6:$D$58,Census!$G62+AO$5-18)+IF(AO$5=$B62,INDEX(Decrements!$F$6:$F$58,Census!$G62+AO$5-18),0)+INDEX(Decrements!$E$6:$E$58,Census!$G62+AO$5-18)*IF((Census!$F62+AO$5)&gt;=Assumptions!$B$11,1,0))*MIN(15/26*Census!$D62*(1+Assumptions!$B$9)^AO$5*(INT((Census!$F62+AO$5))+IF((Census!$F62+AO$5)-INT((Census!$F62+AO$5))&gt;0.5,1,0)),Assumptions!$B$10))</f>
        <v>0</v>
      </c>
      <c r="AP62" s="30">
        <f>IF(AP$5&gt;$B62,0,INDEX(Decrements!$G$6:$G$58,Census!$G62+AP$5-18)/INDEX(Decrements!$G$6:$G$58,Census!$G62-17)*(INDEX(Decrements!$D$6:$D$58,Census!$G62+AP$5-18)+IF(AP$5=$B62,INDEX(Decrements!$F$6:$F$58,Census!$G62+AP$5-18),0)+INDEX(Decrements!$E$6:$E$58,Census!$G62+AP$5-18)*IF((Census!$F62+AP$5)&gt;=Assumptions!$B$11,1,0))*MIN(15/26*Census!$D62*(1+Assumptions!$B$9)^AP$5*(INT((Census!$F62+AP$5))+IF((Census!$F62+AP$5)-INT((Census!$F62+AP$5))&gt;0.5,1,0)),Assumptions!$B$10))</f>
        <v>0</v>
      </c>
      <c r="AQ62" s="30">
        <f>IF(AQ$5&gt;$B62,0,INDEX(Decrements!$G$6:$G$58,Census!$G62+AQ$5-18)/INDEX(Decrements!$G$6:$G$58,Census!$G62-17)*(INDEX(Decrements!$D$6:$D$58,Census!$G62+AQ$5-18)+IF(AQ$5=$B62,INDEX(Decrements!$F$6:$F$58,Census!$G62+AQ$5-18),0)+INDEX(Decrements!$E$6:$E$58,Census!$G62+AQ$5-18)*IF((Census!$F62+AQ$5)&gt;=Assumptions!$B$11,1,0))*MIN(15/26*Census!$D62*(1+Assumptions!$B$9)^AQ$5*(INT((Census!$F62+AQ$5))+IF((Census!$F62+AQ$5)-INT((Census!$F62+AQ$5))&gt;0.5,1,0)),Assumptions!$B$10))</f>
        <v>0</v>
      </c>
      <c r="AR62" s="30">
        <f>IF(AR$5&gt;$B62,0,INDEX(Decrements!$G$6:$G$58,Census!$G62+AR$5-18)/INDEX(Decrements!$G$6:$G$58,Census!$G62-17)*(INDEX(Decrements!$D$6:$D$58,Census!$G62+AR$5-18)+IF(AR$5=$B62,INDEX(Decrements!$F$6:$F$58,Census!$G62+AR$5-18),0)+INDEX(Decrements!$E$6:$E$58,Census!$G62+AR$5-18)*IF((Census!$F62+AR$5)&gt;=Assumptions!$B$11,1,0))*MIN(15/26*Census!$D62*(1+Assumptions!$B$9)^AR$5*(INT((Census!$F62+AR$5))+IF((Census!$F62+AR$5)-INT((Census!$F62+AR$5))&gt;0.5,1,0)),Assumptions!$B$10))</f>
        <v>0</v>
      </c>
      <c r="AS62" s="30">
        <f>IF(AS$5&gt;$B62,0,INDEX(Decrements!$G$6:$G$58,Census!$G62+AS$5-18)/INDEX(Decrements!$G$6:$G$58,Census!$G62-17)*(INDEX(Decrements!$D$6:$D$58,Census!$G62+AS$5-18)+IF(AS$5=$B62,INDEX(Decrements!$F$6:$F$58,Census!$G62+AS$5-18),0)+INDEX(Decrements!$E$6:$E$58,Census!$G62+AS$5-18)*IF((Census!$F62+AS$5)&gt;=Assumptions!$B$11,1,0))*MIN(15/26*Census!$D62*(1+Assumptions!$B$9)^AS$5*(INT((Census!$F62+AS$5))+IF((Census!$F62+AS$5)-INT((Census!$F62+AS$5))&gt;0.5,1,0)),Assumptions!$B$10))</f>
        <v>0</v>
      </c>
      <c r="AT62" s="30">
        <f>IF(AT$5&gt;$B62,0,INDEX(Decrements!$G$6:$G$58,Census!$G62+AT$5-18)/INDEX(Decrements!$G$6:$G$58,Census!$G62-17)*(INDEX(Decrements!$D$6:$D$58,Census!$G62+AT$5-18)+IF(AT$5=$B62,INDEX(Decrements!$F$6:$F$58,Census!$G62+AT$5-18),0)+INDEX(Decrements!$E$6:$E$58,Census!$G62+AT$5-18)*IF((Census!$F62+AT$5)&gt;=Assumptions!$B$11,1,0))*MIN(15/26*Census!$D62*(1+Assumptions!$B$9)^AT$5*(INT((Census!$F62+AT$5))+IF((Census!$F62+AT$5)-INT((Census!$F62+AT$5))&gt;0.5,1,0)),Assumptions!$B$10))</f>
        <v>0</v>
      </c>
      <c r="AU62" s="30">
        <f>IF(AU$5&gt;$B62,0,INDEX(Decrements!$G$6:$G$58,Census!$G62+AU$5-18)/INDEX(Decrements!$G$6:$G$58,Census!$G62-17)*(INDEX(Decrements!$D$6:$D$58,Census!$G62+AU$5-18)+IF(AU$5=$B62,INDEX(Decrements!$F$6:$F$58,Census!$G62+AU$5-18),0)+INDEX(Decrements!$E$6:$E$58,Census!$G62+AU$5-18)*IF((Census!$F62+AU$5)&gt;=Assumptions!$B$11,1,0))*MIN(15/26*Census!$D62*(1+Assumptions!$B$9)^AU$5*(INT((Census!$F62+AU$5))+IF((Census!$F62+AU$5)-INT((Census!$F62+AU$5))&gt;0.5,1,0)),Assumptions!$B$10))</f>
        <v>0</v>
      </c>
    </row>
    <row r="63" spans="1:47" x14ac:dyDescent="0.3">
      <c r="A63" s="10" t="str">
        <f>Census!A63</f>
        <v>E058</v>
      </c>
      <c r="B63" s="29">
        <f>Census!H63</f>
        <v>36</v>
      </c>
      <c r="C63" s="30">
        <f>IF(C$5&gt;$B63,0,INDEX(Decrements!$G$6:$G$58,Census!$G63+C$5-18)/INDEX(Decrements!$G$6:$G$58,Census!$G63-17)*(INDEX(Decrements!$D$6:$D$58,Census!$G63+C$5-18)+IF(C$5=$B63,INDEX(Decrements!$F$6:$F$58,Census!$G63+C$5-18),0)+INDEX(Decrements!$E$6:$E$58,Census!$G63+C$5-18)*IF((Census!$F63+C$5)&gt;=Assumptions!$B$11,1,0))*MIN(15/26*Census!$D63*(1+Assumptions!$B$9)^C$5*(INT((Census!$F63+C$5))+IF((Census!$F63+C$5)-INT((Census!$F63+C$5))&gt;0.5,1,0)),Assumptions!$B$10))</f>
        <v>35.915484290019982</v>
      </c>
      <c r="D63" s="30">
        <f>IF(D$5&gt;$B63,0,INDEX(Decrements!$G$6:$G$58,Census!$G63+D$5-18)/INDEX(Decrements!$G$6:$G$58,Census!$G63-17)*(INDEX(Decrements!$D$6:$D$58,Census!$G63+D$5-18)+IF(D$5=$B63,INDEX(Decrements!$F$6:$F$58,Census!$G63+D$5-18),0)+INDEX(Decrements!$E$6:$E$58,Census!$G63+D$5-18)*IF((Census!$F63+D$5)&gt;=Assumptions!$B$11,1,0))*MIN(15/26*Census!$D63*(1+Assumptions!$B$9)^D$5*(INT((Census!$F63+D$5))+IF((Census!$F63+D$5)-INT((Census!$F63+D$5))&gt;0.5,1,0)),Assumptions!$B$10))</f>
        <v>41.198930215488183</v>
      </c>
      <c r="E63" s="30">
        <f>IF(E$5&gt;$B63,0,INDEX(Decrements!$G$6:$G$58,Census!$G63+E$5-18)/INDEX(Decrements!$G$6:$G$58,Census!$G63-17)*(INDEX(Decrements!$D$6:$D$58,Census!$G63+E$5-18)+IF(E$5=$B63,INDEX(Decrements!$F$6:$F$58,Census!$G63+E$5-18),0)+INDEX(Decrements!$E$6:$E$58,Census!$G63+E$5-18)*IF((Census!$F63+E$5)&gt;=Assumptions!$B$11,1,0))*MIN(15/26*Census!$D63*(1+Assumptions!$B$9)^E$5*(INT((Census!$F63+E$5))+IF((Census!$F63+E$5)-INT((Census!$F63+E$5))&gt;0.5,1,0)),Assumptions!$B$10))</f>
        <v>11770.773663736385</v>
      </c>
      <c r="F63" s="30">
        <f>IF(F$5&gt;$B63,0,INDEX(Decrements!$G$6:$G$58,Census!$G63+F$5-18)/INDEX(Decrements!$G$6:$G$58,Census!$G63-17)*(INDEX(Decrements!$D$6:$D$58,Census!$G63+F$5-18)+IF(F$5=$B63,INDEX(Decrements!$F$6:$F$58,Census!$G63+F$5-18),0)+INDEX(Decrements!$E$6:$E$58,Census!$G63+F$5-18)*IF((Census!$F63+F$5)&gt;=Assumptions!$B$11,1,0))*MIN(15/26*Census!$D63*(1+Assumptions!$B$9)^F$5*(INT((Census!$F63+F$5))+IF((Census!$F63+F$5)-INT((Census!$F63+F$5))&gt;0.5,1,0)),Assumptions!$B$10))</f>
        <v>12600.083558548073</v>
      </c>
      <c r="G63" s="30">
        <f>IF(G$5&gt;$B63,0,INDEX(Decrements!$G$6:$G$58,Census!$G63+G$5-18)/INDEX(Decrements!$G$6:$G$58,Census!$G63-17)*(INDEX(Decrements!$D$6:$D$58,Census!$G63+G$5-18)+IF(G$5=$B63,INDEX(Decrements!$F$6:$F$58,Census!$G63+G$5-18),0)+INDEX(Decrements!$E$6:$E$58,Census!$G63+G$5-18)*IF((Census!$F63+G$5)&gt;=Assumptions!$B$11,1,0))*MIN(15/26*Census!$D63*(1+Assumptions!$B$9)^G$5*(INT((Census!$F63+G$5))+IF((Census!$F63+G$5)-INT((Census!$F63+G$5))&gt;0.5,1,0)),Assumptions!$B$10))</f>
        <v>13212.416431642148</v>
      </c>
      <c r="H63" s="30">
        <f>IF(H$5&gt;$B63,0,INDEX(Decrements!$G$6:$G$58,Census!$G63+H$5-18)/INDEX(Decrements!$G$6:$G$58,Census!$G63-17)*(INDEX(Decrements!$D$6:$D$58,Census!$G63+H$5-18)+IF(H$5=$B63,INDEX(Decrements!$F$6:$F$58,Census!$G63+H$5-18),0)+INDEX(Decrements!$E$6:$E$58,Census!$G63+H$5-18)*IF((Census!$F63+H$5)&gt;=Assumptions!$B$11,1,0))*MIN(15/26*Census!$D63*(1+Assumptions!$B$9)^H$5*(INT((Census!$F63+H$5))+IF((Census!$F63+H$5)-INT((Census!$F63+H$5))&gt;0.5,1,0)),Assumptions!$B$10))</f>
        <v>13637.866494577664</v>
      </c>
      <c r="I63" s="30">
        <f>IF(I$5&gt;$B63,0,INDEX(Decrements!$G$6:$G$58,Census!$G63+I$5-18)/INDEX(Decrements!$G$6:$G$58,Census!$G63-17)*(INDEX(Decrements!$D$6:$D$58,Census!$G63+I$5-18)+IF(I$5=$B63,INDEX(Decrements!$F$6:$F$58,Census!$G63+I$5-18),0)+INDEX(Decrements!$E$6:$E$58,Census!$G63+I$5-18)*IF((Census!$F63+I$5)&gt;=Assumptions!$B$11,1,0))*MIN(15/26*Census!$D63*(1+Assumptions!$B$9)^I$5*(INT((Census!$F63+I$5))+IF((Census!$F63+I$5)-INT((Census!$F63+I$5))&gt;0.5,1,0)),Assumptions!$B$10))</f>
        <v>10214.411938332179</v>
      </c>
      <c r="J63" s="30">
        <f>IF(J$5&gt;$B63,0,INDEX(Decrements!$G$6:$G$58,Census!$G63+J$5-18)/INDEX(Decrements!$G$6:$G$58,Census!$G63-17)*(INDEX(Decrements!$D$6:$D$58,Census!$G63+J$5-18)+IF(J$5=$B63,INDEX(Decrements!$F$6:$F$58,Census!$G63+J$5-18),0)+INDEX(Decrements!$E$6:$E$58,Census!$G63+J$5-18)*IF((Census!$F63+J$5)&gt;=Assumptions!$B$11,1,0))*MIN(15/26*Census!$D63*(1+Assumptions!$B$9)^J$5*(INT((Census!$F63+J$5))+IF((Census!$F63+J$5)-INT((Census!$F63+J$5))&gt;0.5,1,0)),Assumptions!$B$10))</f>
        <v>10794.805658654983</v>
      </c>
      <c r="K63" s="30">
        <f>IF(K$5&gt;$B63,0,INDEX(Decrements!$G$6:$G$58,Census!$G63+K$5-18)/INDEX(Decrements!$G$6:$G$58,Census!$G63-17)*(INDEX(Decrements!$D$6:$D$58,Census!$G63+K$5-18)+IF(K$5=$B63,INDEX(Decrements!$F$6:$F$58,Census!$G63+K$5-18),0)+INDEX(Decrements!$E$6:$E$58,Census!$G63+K$5-18)*IF((Census!$F63+K$5)&gt;=Assumptions!$B$11,1,0))*MIN(15/26*Census!$D63*(1+Assumptions!$B$9)^K$5*(INT((Census!$F63+K$5))+IF((Census!$F63+K$5)-INT((Census!$F63+K$5))&gt;0.5,1,0)),Assumptions!$B$10))</f>
        <v>11313.812770236487</v>
      </c>
      <c r="L63" s="30">
        <f>IF(L$5&gt;$B63,0,INDEX(Decrements!$G$6:$G$58,Census!$G63+L$5-18)/INDEX(Decrements!$G$6:$G$58,Census!$G63-17)*(INDEX(Decrements!$D$6:$D$58,Census!$G63+L$5-18)+IF(L$5=$B63,INDEX(Decrements!$F$6:$F$58,Census!$G63+L$5-18),0)+INDEX(Decrements!$E$6:$E$58,Census!$G63+L$5-18)*IF((Census!$F63+L$5)&gt;=Assumptions!$B$11,1,0))*MIN(15/26*Census!$D63*(1+Assumptions!$B$9)^L$5*(INT((Census!$F63+L$5))+IF((Census!$F63+L$5)-INT((Census!$F63+L$5))&gt;0.5,1,0)),Assumptions!$B$10))</f>
        <v>11775.332756200445</v>
      </c>
      <c r="M63" s="30">
        <f>IF(M$5&gt;$B63,0,INDEX(Decrements!$G$6:$G$58,Census!$G63+M$5-18)/INDEX(Decrements!$G$6:$G$58,Census!$G63-17)*(INDEX(Decrements!$D$6:$D$58,Census!$G63+M$5-18)+IF(M$5=$B63,INDEX(Decrements!$F$6:$F$58,Census!$G63+M$5-18),0)+INDEX(Decrements!$E$6:$E$58,Census!$G63+M$5-18)*IF((Census!$F63+M$5)&gt;=Assumptions!$B$11,1,0))*MIN(15/26*Census!$D63*(1+Assumptions!$B$9)^M$5*(INT((Census!$F63+M$5))+IF((Census!$F63+M$5)-INT((Census!$F63+M$5))&gt;0.5,1,0)),Assumptions!$B$10))</f>
        <v>12183.052076464919</v>
      </c>
      <c r="N63" s="30">
        <f>IF(N$5&gt;$B63,0,INDEX(Decrements!$G$6:$G$58,Census!$G63+N$5-18)/INDEX(Decrements!$G$6:$G$58,Census!$G63-17)*(INDEX(Decrements!$D$6:$D$58,Census!$G63+N$5-18)+IF(N$5=$B63,INDEX(Decrements!$F$6:$F$58,Census!$G63+N$5-18),0)+INDEX(Decrements!$E$6:$E$58,Census!$G63+N$5-18)*IF((Census!$F63+N$5)&gt;=Assumptions!$B$11,1,0))*MIN(15/26*Census!$D63*(1+Assumptions!$B$9)^N$5*(INT((Census!$F63+N$5))+IF((Census!$F63+N$5)-INT((Census!$F63+N$5))&gt;0.5,1,0)),Assumptions!$B$10))</f>
        <v>9150.8432189047999</v>
      </c>
      <c r="O63" s="30">
        <f>IF(O$5&gt;$B63,0,INDEX(Decrements!$G$6:$G$58,Census!$G63+O$5-18)/INDEX(Decrements!$G$6:$G$58,Census!$G63-17)*(INDEX(Decrements!$D$6:$D$58,Census!$G63+O$5-18)+IF(O$5=$B63,INDEX(Decrements!$F$6:$F$58,Census!$G63+O$5-18),0)+INDEX(Decrements!$E$6:$E$58,Census!$G63+O$5-18)*IF((Census!$F63+O$5)&gt;=Assumptions!$B$11,1,0))*MIN(15/26*Census!$D63*(1+Assumptions!$B$9)^O$5*(INT((Census!$F63+O$5))+IF((Census!$F63+O$5)-INT((Census!$F63+O$5))&gt;0.5,1,0)),Assumptions!$B$10))</f>
        <v>9695.3259049852059</v>
      </c>
      <c r="P63" s="30">
        <f>IF(P$5&gt;$B63,0,INDEX(Decrements!$G$6:$G$58,Census!$G63+P$5-18)/INDEX(Decrements!$G$6:$G$58,Census!$G63-17)*(INDEX(Decrements!$D$6:$D$58,Census!$G63+P$5-18)+IF(P$5=$B63,INDEX(Decrements!$F$6:$F$58,Census!$G63+P$5-18),0)+INDEX(Decrements!$E$6:$E$58,Census!$G63+P$5-18)*IF((Census!$F63+P$5)&gt;=Assumptions!$B$11,1,0))*MIN(15/26*Census!$D63*(1+Assumptions!$B$9)^P$5*(INT((Census!$F63+P$5))+IF((Census!$F63+P$5)-INT((Census!$F63+P$5))&gt;0.5,1,0)),Assumptions!$B$10))</f>
        <v>10232.155968237248</v>
      </c>
      <c r="Q63" s="30">
        <f>IF(Q$5&gt;$B63,0,INDEX(Decrements!$G$6:$G$58,Census!$G63+Q$5-18)/INDEX(Decrements!$G$6:$G$58,Census!$G63-17)*(INDEX(Decrements!$D$6:$D$58,Census!$G63+Q$5-18)+IF(Q$5=$B63,INDEX(Decrements!$F$6:$F$58,Census!$G63+Q$5-18),0)+INDEX(Decrements!$E$6:$E$58,Census!$G63+Q$5-18)*IF((Census!$F63+Q$5)&gt;=Assumptions!$B$11,1,0))*MIN(15/26*Census!$D63*(1+Assumptions!$B$9)^Q$5*(INT((Census!$F63+Q$5))+IF((Census!$F63+Q$5)-INT((Census!$F63+Q$5))&gt;0.5,1,0)),Assumptions!$B$10))</f>
        <v>10761.431204432794</v>
      </c>
      <c r="R63" s="30">
        <f>IF(R$5&gt;$B63,0,INDEX(Decrements!$G$6:$G$58,Census!$G63+R$5-18)/INDEX(Decrements!$G$6:$G$58,Census!$G63-17)*(INDEX(Decrements!$D$6:$D$58,Census!$G63+R$5-18)+IF(R$5=$B63,INDEX(Decrements!$F$6:$F$58,Census!$G63+R$5-18),0)+INDEX(Decrements!$E$6:$E$58,Census!$G63+R$5-18)*IF((Census!$F63+R$5)&gt;=Assumptions!$B$11,1,0))*MIN(15/26*Census!$D63*(1+Assumptions!$B$9)^R$5*(INT((Census!$F63+R$5))+IF((Census!$F63+R$5)-INT((Census!$F63+R$5))&gt;0.5,1,0)),Assumptions!$B$10))</f>
        <v>11283.250095993646</v>
      </c>
      <c r="S63" s="30">
        <f>IF(S$5&gt;$B63,0,INDEX(Decrements!$G$6:$G$58,Census!$G63+S$5-18)/INDEX(Decrements!$G$6:$G$58,Census!$G63-17)*(INDEX(Decrements!$D$6:$D$58,Census!$G63+S$5-18)+IF(S$5=$B63,INDEX(Decrements!$F$6:$F$58,Census!$G63+S$5-18),0)+INDEX(Decrements!$E$6:$E$58,Census!$G63+S$5-18)*IF((Census!$F63+S$5)&gt;=Assumptions!$B$11,1,0))*MIN(15/26*Census!$D63*(1+Assumptions!$B$9)^S$5*(INT((Census!$F63+S$5))+IF((Census!$F63+S$5)-INT((Census!$F63+S$5))&gt;0.5,1,0)),Assumptions!$B$10))</f>
        <v>7447.0224311628526</v>
      </c>
      <c r="T63" s="30">
        <f>IF(T$5&gt;$B63,0,INDEX(Decrements!$G$6:$G$58,Census!$G63+T$5-18)/INDEX(Decrements!$G$6:$G$58,Census!$G63-17)*(INDEX(Decrements!$D$6:$D$58,Census!$G63+T$5-18)+IF(T$5=$B63,INDEX(Decrements!$F$6:$F$58,Census!$G63+T$5-18),0)+INDEX(Decrements!$E$6:$E$58,Census!$G63+T$5-18)*IF((Census!$F63+T$5)&gt;=Assumptions!$B$11,1,0))*MIN(15/26*Census!$D63*(1+Assumptions!$B$9)^T$5*(INT((Census!$F63+T$5))+IF((Census!$F63+T$5)-INT((Census!$F63+T$5))&gt;0.5,1,0)),Assumptions!$B$10))</f>
        <v>8025.9324536344702</v>
      </c>
      <c r="U63" s="30">
        <f>IF(U$5&gt;$B63,0,INDEX(Decrements!$G$6:$G$58,Census!$G63+U$5-18)/INDEX(Decrements!$G$6:$G$58,Census!$G63-17)*(INDEX(Decrements!$D$6:$D$58,Census!$G63+U$5-18)+IF(U$5=$B63,INDEX(Decrements!$F$6:$F$58,Census!$G63+U$5-18),0)+INDEX(Decrements!$E$6:$E$58,Census!$G63+U$5-18)*IF((Census!$F63+U$5)&gt;=Assumptions!$B$11,1,0))*MIN(15/26*Census!$D63*(1+Assumptions!$B$9)^U$5*(INT((Census!$F63+U$5))+IF((Census!$F63+U$5)-INT((Census!$F63+U$5))&gt;0.5,1,0)),Assumptions!$B$10))</f>
        <v>8630.8941273412383</v>
      </c>
      <c r="V63" s="30">
        <f>IF(V$5&gt;$B63,0,INDEX(Decrements!$G$6:$G$58,Census!$G63+V$5-18)/INDEX(Decrements!$G$6:$G$58,Census!$G63-17)*(INDEX(Decrements!$D$6:$D$58,Census!$G63+V$5-18)+IF(V$5=$B63,INDEX(Decrements!$F$6:$F$58,Census!$G63+V$5-18),0)+INDEX(Decrements!$E$6:$E$58,Census!$G63+V$5-18)*IF((Census!$F63+V$5)&gt;=Assumptions!$B$11,1,0))*MIN(15/26*Census!$D63*(1+Assumptions!$B$9)^V$5*(INT((Census!$F63+V$5))+IF((Census!$F63+V$5)-INT((Census!$F63+V$5))&gt;0.5,1,0)),Assumptions!$B$10))</f>
        <v>9263.0543749473236</v>
      </c>
      <c r="W63" s="30">
        <f>IF(W$5&gt;$B63,0,INDEX(Decrements!$G$6:$G$58,Census!$G63+W$5-18)/INDEX(Decrements!$G$6:$G$58,Census!$G63-17)*(INDEX(Decrements!$D$6:$D$58,Census!$G63+W$5-18)+IF(W$5=$B63,INDEX(Decrements!$F$6:$F$58,Census!$G63+W$5-18),0)+INDEX(Decrements!$E$6:$E$58,Census!$G63+W$5-18)*IF((Census!$F63+W$5)&gt;=Assumptions!$B$11,1,0))*MIN(15/26*Census!$D63*(1+Assumptions!$B$9)^W$5*(INT((Census!$F63+W$5))+IF((Census!$F63+W$5)-INT((Census!$F63+W$5))&gt;0.5,1,0)),Assumptions!$B$10))</f>
        <v>9923.6283129326457</v>
      </c>
      <c r="X63" s="30">
        <f>IF(X$5&gt;$B63,0,INDEX(Decrements!$G$6:$G$58,Census!$G63+X$5-18)/INDEX(Decrements!$G$6:$G$58,Census!$G63-17)*(INDEX(Decrements!$D$6:$D$58,Census!$G63+X$5-18)+IF(X$5=$B63,INDEX(Decrements!$F$6:$F$58,Census!$G63+X$5-18),0)+INDEX(Decrements!$E$6:$E$58,Census!$G63+X$5-18)*IF((Census!$F63+X$5)&gt;=Assumptions!$B$11,1,0))*MIN(15/26*Census!$D63*(1+Assumptions!$B$9)^X$5*(INT((Census!$F63+X$5))+IF((Census!$F63+X$5)-INT((Census!$F63+X$5))&gt;0.5,1,0)),Assumptions!$B$10))</f>
        <v>6305.3426371745927</v>
      </c>
      <c r="Y63" s="30">
        <f>IF(Y$5&gt;$B63,0,INDEX(Decrements!$G$6:$G$58,Census!$G63+Y$5-18)/INDEX(Decrements!$G$6:$G$58,Census!$G63-17)*(INDEX(Decrements!$D$6:$D$58,Census!$G63+Y$5-18)+IF(Y$5=$B63,INDEX(Decrements!$F$6:$F$58,Census!$G63+Y$5-18),0)+INDEX(Decrements!$E$6:$E$58,Census!$G63+Y$5-18)*IF((Census!$F63+Y$5)&gt;=Assumptions!$B$11,1,0))*MIN(15/26*Census!$D63*(1+Assumptions!$B$9)^Y$5*(INT((Census!$F63+Y$5))+IF((Census!$F63+Y$5)-INT((Census!$F63+Y$5))&gt;0.5,1,0)),Assumptions!$B$10))</f>
        <v>6132.7534938485278</v>
      </c>
      <c r="Z63" s="30">
        <f>IF(Z$5&gt;$B63,0,INDEX(Decrements!$G$6:$G$58,Census!$G63+Z$5-18)/INDEX(Decrements!$G$6:$G$58,Census!$G63-17)*(INDEX(Decrements!$D$6:$D$58,Census!$G63+Z$5-18)+IF(Z$5=$B63,INDEX(Decrements!$F$6:$F$58,Census!$G63+Z$5-18),0)+INDEX(Decrements!$E$6:$E$58,Census!$G63+Z$5-18)*IF((Census!$F63+Z$5)&gt;=Assumptions!$B$11,1,0))*MIN(15/26*Census!$D63*(1+Assumptions!$B$9)^Z$5*(INT((Census!$F63+Z$5))+IF((Census!$F63+Z$5)-INT((Census!$F63+Z$5))&gt;0.5,1,0)),Assumptions!$B$10))</f>
        <v>5966.589071162246</v>
      </c>
      <c r="AA63" s="30">
        <f>IF(AA$5&gt;$B63,0,INDEX(Decrements!$G$6:$G$58,Census!$G63+AA$5-18)/INDEX(Decrements!$G$6:$G$58,Census!$G63-17)*(INDEX(Decrements!$D$6:$D$58,Census!$G63+AA$5-18)+IF(AA$5=$B63,INDEX(Decrements!$F$6:$F$58,Census!$G63+AA$5-18),0)+INDEX(Decrements!$E$6:$E$58,Census!$G63+AA$5-18)*IF((Census!$F63+AA$5)&gt;=Assumptions!$B$11,1,0))*MIN(15/26*Census!$D63*(1+Assumptions!$B$9)^AA$5*(INT((Census!$F63+AA$5))+IF((Census!$F63+AA$5)-INT((Census!$F63+AA$5))&gt;0.5,1,0)),Assumptions!$B$10))</f>
        <v>5806.718097258954</v>
      </c>
      <c r="AB63" s="30">
        <f>IF(AB$5&gt;$B63,0,INDEX(Decrements!$G$6:$G$58,Census!$G63+AB$5-18)/INDEX(Decrements!$G$6:$G$58,Census!$G63-17)*(INDEX(Decrements!$D$6:$D$58,Census!$G63+AB$5-18)+IF(AB$5=$B63,INDEX(Decrements!$F$6:$F$58,Census!$G63+AB$5-18),0)+INDEX(Decrements!$E$6:$E$58,Census!$G63+AB$5-18)*IF((Census!$F63+AB$5)&gt;=Assumptions!$B$11,1,0))*MIN(15/26*Census!$D63*(1+Assumptions!$B$9)^AB$5*(INT((Census!$F63+AB$5))+IF((Census!$F63+AB$5)-INT((Census!$F63+AB$5))&gt;0.5,1,0)),Assumptions!$B$10))</f>
        <v>5653.0151004251802</v>
      </c>
      <c r="AC63" s="30">
        <f>IF(AC$5&gt;$B63,0,INDEX(Decrements!$G$6:$G$58,Census!$G63+AC$5-18)/INDEX(Decrements!$G$6:$G$58,Census!$G63-17)*(INDEX(Decrements!$D$6:$D$58,Census!$G63+AC$5-18)+IF(AC$5=$B63,INDEX(Decrements!$F$6:$F$58,Census!$G63+AC$5-18),0)+INDEX(Decrements!$E$6:$E$58,Census!$G63+AC$5-18)*IF((Census!$F63+AC$5)&gt;=Assumptions!$B$11,1,0))*MIN(15/26*Census!$D63*(1+Assumptions!$B$9)^AC$5*(INT((Census!$F63+AC$5))+IF((Census!$F63+AC$5)-INT((Census!$F63+AC$5))&gt;0.5,1,0)),Assumptions!$B$10))</f>
        <v>3830.3408983866734</v>
      </c>
      <c r="AD63" s="30">
        <f>IF(AD$5&gt;$B63,0,INDEX(Decrements!$G$6:$G$58,Census!$G63+AD$5-18)/INDEX(Decrements!$G$6:$G$58,Census!$G63-17)*(INDEX(Decrements!$D$6:$D$58,Census!$G63+AD$5-18)+IF(AD$5=$B63,INDEX(Decrements!$F$6:$F$58,Census!$G63+AD$5-18),0)+INDEX(Decrements!$E$6:$E$58,Census!$G63+AD$5-18)*IF((Census!$F63+AD$5)&gt;=Assumptions!$B$11,1,0))*MIN(15/26*Census!$D63*(1+Assumptions!$B$9)^AD$5*(INT((Census!$F63+AD$5))+IF((Census!$F63+AD$5)-INT((Census!$F63+AD$5))&gt;0.5,1,0)),Assumptions!$B$10))</f>
        <v>3782.5105701242464</v>
      </c>
      <c r="AE63" s="30">
        <f>IF(AE$5&gt;$B63,0,INDEX(Decrements!$G$6:$G$58,Census!$G63+AE$5-18)/INDEX(Decrements!$G$6:$G$58,Census!$G63-17)*(INDEX(Decrements!$D$6:$D$58,Census!$G63+AE$5-18)+IF(AE$5=$B63,INDEX(Decrements!$F$6:$F$58,Census!$G63+AE$5-18),0)+INDEX(Decrements!$E$6:$E$58,Census!$G63+AE$5-18)*IF((Census!$F63+AE$5)&gt;=Assumptions!$B$11,1,0))*MIN(15/26*Census!$D63*(1+Assumptions!$B$9)^AE$5*(INT((Census!$F63+AE$5))+IF((Census!$F63+AE$5)-INT((Census!$F63+AE$5))&gt;0.5,1,0)),Assumptions!$B$10))</f>
        <v>3737.7989776268073</v>
      </c>
      <c r="AF63" s="30">
        <f>IF(AF$5&gt;$B63,0,INDEX(Decrements!$G$6:$G$58,Census!$G63+AF$5-18)/INDEX(Decrements!$G$6:$G$58,Census!$G63-17)*(INDEX(Decrements!$D$6:$D$58,Census!$G63+AF$5-18)+IF(AF$5=$B63,INDEX(Decrements!$F$6:$F$58,Census!$G63+AF$5-18),0)+INDEX(Decrements!$E$6:$E$58,Census!$G63+AF$5-18)*IF((Census!$F63+AF$5)&gt;=Assumptions!$B$11,1,0))*MIN(15/26*Census!$D63*(1+Assumptions!$B$9)^AF$5*(INT((Census!$F63+AF$5))+IF((Census!$F63+AF$5)-INT((Census!$F63+AF$5))&gt;0.5,1,0)),Assumptions!$B$10))</f>
        <v>3696.2718388088379</v>
      </c>
      <c r="AG63" s="30">
        <f>IF(AG$5&gt;$B63,0,INDEX(Decrements!$G$6:$G$58,Census!$G63+AG$5-18)/INDEX(Decrements!$G$6:$G$58,Census!$G63-17)*(INDEX(Decrements!$D$6:$D$58,Census!$G63+AG$5-18)+IF(AG$5=$B63,INDEX(Decrements!$F$6:$F$58,Census!$G63+AG$5-18),0)+INDEX(Decrements!$E$6:$E$58,Census!$G63+AG$5-18)*IF((Census!$F63+AG$5)&gt;=Assumptions!$B$11,1,0))*MIN(15/26*Census!$D63*(1+Assumptions!$B$9)^AG$5*(INT((Census!$F63+AG$5))+IF((Census!$F63+AG$5)-INT((Census!$F63+AG$5))&gt;0.5,1,0)),Assumptions!$B$10))</f>
        <v>3657.9970402694926</v>
      </c>
      <c r="AH63" s="30">
        <f>IF(AH$5&gt;$B63,0,INDEX(Decrements!$G$6:$G$58,Census!$G63+AH$5-18)/INDEX(Decrements!$G$6:$G$58,Census!$G63-17)*(INDEX(Decrements!$D$6:$D$58,Census!$G63+AH$5-18)+IF(AH$5=$B63,INDEX(Decrements!$F$6:$F$58,Census!$G63+AH$5-18),0)+INDEX(Decrements!$E$6:$E$58,Census!$G63+AH$5-18)*IF((Census!$F63+AH$5)&gt;=Assumptions!$B$11,1,0))*MIN(15/26*Census!$D63*(1+Assumptions!$B$9)^AH$5*(INT((Census!$F63+AH$5))+IF((Census!$F63+AH$5)-INT((Census!$F63+AH$5))&gt;0.5,1,0)),Assumptions!$B$10))</f>
        <v>2136.7759448991956</v>
      </c>
      <c r="AI63" s="30">
        <f>IF(AI$5&gt;$B63,0,INDEX(Decrements!$G$6:$G$58,Census!$G63+AI$5-18)/INDEX(Decrements!$G$6:$G$58,Census!$G63-17)*(INDEX(Decrements!$D$6:$D$58,Census!$G63+AI$5-18)+IF(AI$5=$B63,INDEX(Decrements!$F$6:$F$58,Census!$G63+AI$5-18),0)+INDEX(Decrements!$E$6:$E$58,Census!$G63+AI$5-18)*IF((Census!$F63+AI$5)&gt;=Assumptions!$B$11,1,0))*MIN(15/26*Census!$D63*(1+Assumptions!$B$9)^AI$5*(INT((Census!$F63+AI$5))+IF((Census!$F63+AI$5)-INT((Census!$F63+AI$5))&gt;0.5,1,0)),Assumptions!$B$10))</f>
        <v>2163.7170096237319</v>
      </c>
      <c r="AJ63" s="30">
        <f>IF(AJ$5&gt;$B63,0,INDEX(Decrements!$G$6:$G$58,Census!$G63+AJ$5-18)/INDEX(Decrements!$G$6:$G$58,Census!$G63-17)*(INDEX(Decrements!$D$6:$D$58,Census!$G63+AJ$5-18)+IF(AJ$5=$B63,INDEX(Decrements!$F$6:$F$58,Census!$G63+AJ$5-18),0)+INDEX(Decrements!$E$6:$E$58,Census!$G63+AJ$5-18)*IF((Census!$F63+AJ$5)&gt;=Assumptions!$B$11,1,0))*MIN(15/26*Census!$D63*(1+Assumptions!$B$9)^AJ$5*(INT((Census!$F63+AJ$5))+IF((Census!$F63+AJ$5)-INT((Census!$F63+AJ$5))&gt;0.5,1,0)),Assumptions!$B$10))</f>
        <v>2194.2227059722059</v>
      </c>
      <c r="AK63" s="30">
        <f>IF(AK$5&gt;$B63,0,INDEX(Decrements!$G$6:$G$58,Census!$G63+AK$5-18)/INDEX(Decrements!$G$6:$G$58,Census!$G63-17)*(INDEX(Decrements!$D$6:$D$58,Census!$G63+AK$5-18)+IF(AK$5=$B63,INDEX(Decrements!$F$6:$F$58,Census!$G63+AK$5-18),0)+INDEX(Decrements!$E$6:$E$58,Census!$G63+AK$5-18)*IF((Census!$F63+AK$5)&gt;=Assumptions!$B$11,1,0))*MIN(15/26*Census!$D63*(1+Assumptions!$B$9)^AK$5*(INT((Census!$F63+AK$5))+IF((Census!$F63+AK$5)-INT((Census!$F63+AK$5))&gt;0.5,1,0)),Assumptions!$B$10))</f>
        <v>2228.5003663988718</v>
      </c>
      <c r="AL63" s="30">
        <f>IF(AL$5&gt;$B63,0,INDEX(Decrements!$G$6:$G$58,Census!$G63+AL$5-18)/INDEX(Decrements!$G$6:$G$58,Census!$G63-17)*(INDEX(Decrements!$D$6:$D$58,Census!$G63+AL$5-18)+IF(AL$5=$B63,INDEX(Decrements!$F$6:$F$58,Census!$G63+AL$5-18),0)+INDEX(Decrements!$E$6:$E$58,Census!$G63+AL$5-18)*IF((Census!$F63+AL$5)&gt;=Assumptions!$B$11,1,0))*MIN(15/26*Census!$D63*(1+Assumptions!$B$9)^AL$5*(INT((Census!$F63+AL$5))+IF((Census!$F63+AL$5)-INT((Census!$F63+AL$5))&gt;0.5,1,0)),Assumptions!$B$10))</f>
        <v>140554.07289653536</v>
      </c>
      <c r="AM63" s="30">
        <f>IF(AM$5&gt;$B63,0,INDEX(Decrements!$G$6:$G$58,Census!$G63+AM$5-18)/INDEX(Decrements!$G$6:$G$58,Census!$G63-17)*(INDEX(Decrements!$D$6:$D$58,Census!$G63+AM$5-18)+IF(AM$5=$B63,INDEX(Decrements!$F$6:$F$58,Census!$G63+AM$5-18),0)+INDEX(Decrements!$E$6:$E$58,Census!$G63+AM$5-18)*IF((Census!$F63+AM$5)&gt;=Assumptions!$B$11,1,0))*MIN(15/26*Census!$D63*(1+Assumptions!$B$9)^AM$5*(INT((Census!$F63+AM$5))+IF((Census!$F63+AM$5)-INT((Census!$F63+AM$5))&gt;0.5,1,0)),Assumptions!$B$10))</f>
        <v>0</v>
      </c>
      <c r="AN63" s="30">
        <f>IF(AN$5&gt;$B63,0,INDEX(Decrements!$G$6:$G$58,Census!$G63+AN$5-18)/INDEX(Decrements!$G$6:$G$58,Census!$G63-17)*(INDEX(Decrements!$D$6:$D$58,Census!$G63+AN$5-18)+IF(AN$5=$B63,INDEX(Decrements!$F$6:$F$58,Census!$G63+AN$5-18),0)+INDEX(Decrements!$E$6:$E$58,Census!$G63+AN$5-18)*IF((Census!$F63+AN$5)&gt;=Assumptions!$B$11,1,0))*MIN(15/26*Census!$D63*(1+Assumptions!$B$9)^AN$5*(INT((Census!$F63+AN$5))+IF((Census!$F63+AN$5)-INT((Census!$F63+AN$5))&gt;0.5,1,0)),Assumptions!$B$10))</f>
        <v>0</v>
      </c>
      <c r="AO63" s="30">
        <f>IF(AO$5&gt;$B63,0,INDEX(Decrements!$G$6:$G$58,Census!$G63+AO$5-18)/INDEX(Decrements!$G$6:$G$58,Census!$G63-17)*(INDEX(Decrements!$D$6:$D$58,Census!$G63+AO$5-18)+IF(AO$5=$B63,INDEX(Decrements!$F$6:$F$58,Census!$G63+AO$5-18),0)+INDEX(Decrements!$E$6:$E$58,Census!$G63+AO$5-18)*IF((Census!$F63+AO$5)&gt;=Assumptions!$B$11,1,0))*MIN(15/26*Census!$D63*(1+Assumptions!$B$9)^AO$5*(INT((Census!$F63+AO$5))+IF((Census!$F63+AO$5)-INT((Census!$F63+AO$5))&gt;0.5,1,0)),Assumptions!$B$10))</f>
        <v>0</v>
      </c>
      <c r="AP63" s="30">
        <f>IF(AP$5&gt;$B63,0,INDEX(Decrements!$G$6:$G$58,Census!$G63+AP$5-18)/INDEX(Decrements!$G$6:$G$58,Census!$G63-17)*(INDEX(Decrements!$D$6:$D$58,Census!$G63+AP$5-18)+IF(AP$5=$B63,INDEX(Decrements!$F$6:$F$58,Census!$G63+AP$5-18),0)+INDEX(Decrements!$E$6:$E$58,Census!$G63+AP$5-18)*IF((Census!$F63+AP$5)&gt;=Assumptions!$B$11,1,0))*MIN(15/26*Census!$D63*(1+Assumptions!$B$9)^AP$5*(INT((Census!$F63+AP$5))+IF((Census!$F63+AP$5)-INT((Census!$F63+AP$5))&gt;0.5,1,0)),Assumptions!$B$10))</f>
        <v>0</v>
      </c>
      <c r="AQ63" s="30">
        <f>IF(AQ$5&gt;$B63,0,INDEX(Decrements!$G$6:$G$58,Census!$G63+AQ$5-18)/INDEX(Decrements!$G$6:$G$58,Census!$G63-17)*(INDEX(Decrements!$D$6:$D$58,Census!$G63+AQ$5-18)+IF(AQ$5=$B63,INDEX(Decrements!$F$6:$F$58,Census!$G63+AQ$5-18),0)+INDEX(Decrements!$E$6:$E$58,Census!$G63+AQ$5-18)*IF((Census!$F63+AQ$5)&gt;=Assumptions!$B$11,1,0))*MIN(15/26*Census!$D63*(1+Assumptions!$B$9)^AQ$5*(INT((Census!$F63+AQ$5))+IF((Census!$F63+AQ$5)-INT((Census!$F63+AQ$5))&gt;0.5,1,0)),Assumptions!$B$10))</f>
        <v>0</v>
      </c>
      <c r="AR63" s="30">
        <f>IF(AR$5&gt;$B63,0,INDEX(Decrements!$G$6:$G$58,Census!$G63+AR$5-18)/INDEX(Decrements!$G$6:$G$58,Census!$G63-17)*(INDEX(Decrements!$D$6:$D$58,Census!$G63+AR$5-18)+IF(AR$5=$B63,INDEX(Decrements!$F$6:$F$58,Census!$G63+AR$5-18),0)+INDEX(Decrements!$E$6:$E$58,Census!$G63+AR$5-18)*IF((Census!$F63+AR$5)&gt;=Assumptions!$B$11,1,0))*MIN(15/26*Census!$D63*(1+Assumptions!$B$9)^AR$5*(INT((Census!$F63+AR$5))+IF((Census!$F63+AR$5)-INT((Census!$F63+AR$5))&gt;0.5,1,0)),Assumptions!$B$10))</f>
        <v>0</v>
      </c>
      <c r="AS63" s="30">
        <f>IF(AS$5&gt;$B63,0,INDEX(Decrements!$G$6:$G$58,Census!$G63+AS$5-18)/INDEX(Decrements!$G$6:$G$58,Census!$G63-17)*(INDEX(Decrements!$D$6:$D$58,Census!$G63+AS$5-18)+IF(AS$5=$B63,INDEX(Decrements!$F$6:$F$58,Census!$G63+AS$5-18),0)+INDEX(Decrements!$E$6:$E$58,Census!$G63+AS$5-18)*IF((Census!$F63+AS$5)&gt;=Assumptions!$B$11,1,0))*MIN(15/26*Census!$D63*(1+Assumptions!$B$9)^AS$5*(INT((Census!$F63+AS$5))+IF((Census!$F63+AS$5)-INT((Census!$F63+AS$5))&gt;0.5,1,0)),Assumptions!$B$10))</f>
        <v>0</v>
      </c>
      <c r="AT63" s="30">
        <f>IF(AT$5&gt;$B63,0,INDEX(Decrements!$G$6:$G$58,Census!$G63+AT$5-18)/INDEX(Decrements!$G$6:$G$58,Census!$G63-17)*(INDEX(Decrements!$D$6:$D$58,Census!$G63+AT$5-18)+IF(AT$5=$B63,INDEX(Decrements!$F$6:$F$58,Census!$G63+AT$5-18),0)+INDEX(Decrements!$E$6:$E$58,Census!$G63+AT$5-18)*IF((Census!$F63+AT$5)&gt;=Assumptions!$B$11,1,0))*MIN(15/26*Census!$D63*(1+Assumptions!$B$9)^AT$5*(INT((Census!$F63+AT$5))+IF((Census!$F63+AT$5)-INT((Census!$F63+AT$5))&gt;0.5,1,0)),Assumptions!$B$10))</f>
        <v>0</v>
      </c>
      <c r="AU63" s="30">
        <f>IF(AU$5&gt;$B63,0,INDEX(Decrements!$G$6:$G$58,Census!$G63+AU$5-18)/INDEX(Decrements!$G$6:$G$58,Census!$G63-17)*(INDEX(Decrements!$D$6:$D$58,Census!$G63+AU$5-18)+IF(AU$5=$B63,INDEX(Decrements!$F$6:$F$58,Census!$G63+AU$5-18),0)+INDEX(Decrements!$E$6:$E$58,Census!$G63+AU$5-18)*IF((Census!$F63+AU$5)&gt;=Assumptions!$B$11,1,0))*MIN(15/26*Census!$D63*(1+Assumptions!$B$9)^AU$5*(INT((Census!$F63+AU$5))+IF((Census!$F63+AU$5)-INT((Census!$F63+AU$5))&gt;0.5,1,0)),Assumptions!$B$10))</f>
        <v>0</v>
      </c>
    </row>
    <row r="64" spans="1:47" x14ac:dyDescent="0.3">
      <c r="A64" s="10" t="str">
        <f>Census!A64</f>
        <v>E059</v>
      </c>
      <c r="B64" s="29">
        <f>Census!H64</f>
        <v>24</v>
      </c>
      <c r="C64" s="30">
        <f>IF(C$5&gt;$B64,0,INDEX(Decrements!$G$6:$G$58,Census!$G64+C$5-18)/INDEX(Decrements!$G$6:$G$58,Census!$G64-17)*(INDEX(Decrements!$D$6:$D$58,Census!$G64+C$5-18)+IF(C$5=$B64,INDEX(Decrements!$F$6:$F$58,Census!$G64+C$5-18),0)+INDEX(Decrements!$E$6:$E$58,Census!$G64+C$5-18)*IF((Census!$F64+C$5)&gt;=Assumptions!$B$11,1,0))*MIN(15/26*Census!$D64*(1+Assumptions!$B$9)^C$5*(INT((Census!$F64+C$5))+IF((Census!$F64+C$5)-INT((Census!$F64+C$5))&gt;0.5,1,0)),Assumptions!$B$10))</f>
        <v>25248.709344909399</v>
      </c>
      <c r="D64" s="30">
        <f>IF(D$5&gt;$B64,0,INDEX(Decrements!$G$6:$G$58,Census!$G64+D$5-18)/INDEX(Decrements!$G$6:$G$58,Census!$G64-17)*(INDEX(Decrements!$D$6:$D$58,Census!$G64+D$5-18)+IF(D$5=$B64,INDEX(Decrements!$F$6:$F$58,Census!$G64+D$5-18),0)+INDEX(Decrements!$E$6:$E$58,Census!$G64+D$5-18)*IF((Census!$F64+D$5)&gt;=Assumptions!$B$11,1,0))*MIN(15/26*Census!$D64*(1+Assumptions!$B$9)^D$5*(INT((Census!$F64+D$5))+IF((Census!$F64+D$5)-INT((Census!$F64+D$5))&gt;0.5,1,0)),Assumptions!$B$10))</f>
        <v>27359.209450064172</v>
      </c>
      <c r="E64" s="30">
        <f>IF(E$5&gt;$B64,0,INDEX(Decrements!$G$6:$G$58,Census!$G64+E$5-18)/INDEX(Decrements!$G$6:$G$58,Census!$G64-17)*(INDEX(Decrements!$D$6:$D$58,Census!$G64+E$5-18)+IF(E$5=$B64,INDEX(Decrements!$F$6:$F$58,Census!$G64+E$5-18),0)+INDEX(Decrements!$E$6:$E$58,Census!$G64+E$5-18)*IF((Census!$F64+E$5)&gt;=Assumptions!$B$11,1,0))*MIN(15/26*Census!$D64*(1+Assumptions!$B$9)^E$5*(INT((Census!$F64+E$5))+IF((Census!$F64+E$5)-INT((Census!$F64+E$5))&gt;0.5,1,0)),Assumptions!$B$10))</f>
        <v>29440.484234612995</v>
      </c>
      <c r="F64" s="30">
        <f>IF(F$5&gt;$B64,0,INDEX(Decrements!$G$6:$G$58,Census!$G64+F$5-18)/INDEX(Decrements!$G$6:$G$58,Census!$G64-17)*(INDEX(Decrements!$D$6:$D$58,Census!$G64+F$5-18)+IF(F$5=$B64,INDEX(Decrements!$F$6:$F$58,Census!$G64+F$5-18),0)+INDEX(Decrements!$E$6:$E$58,Census!$G64+F$5-18)*IF((Census!$F64+F$5)&gt;=Assumptions!$B$11,1,0))*MIN(15/26*Census!$D64*(1+Assumptions!$B$9)^F$5*(INT((Census!$F64+F$5))+IF((Census!$F64+F$5)-INT((Census!$F64+F$5))&gt;0.5,1,0)),Assumptions!$B$10))</f>
        <v>31492.904578699778</v>
      </c>
      <c r="G64" s="30">
        <f>IF(G$5&gt;$B64,0,INDEX(Decrements!$G$6:$G$58,Census!$G64+G$5-18)/INDEX(Decrements!$G$6:$G$58,Census!$G64-17)*(INDEX(Decrements!$D$6:$D$58,Census!$G64+G$5-18)+IF(G$5=$B64,INDEX(Decrements!$F$6:$F$58,Census!$G64+G$5-18),0)+INDEX(Decrements!$E$6:$E$58,Census!$G64+G$5-18)*IF((Census!$F64+G$5)&gt;=Assumptions!$B$11,1,0))*MIN(15/26*Census!$D64*(1+Assumptions!$B$9)^G$5*(INT((Census!$F64+G$5))+IF((Census!$F64+G$5)-INT((Census!$F64+G$5))&gt;0.5,1,0)),Assumptions!$B$10))</f>
        <v>21156.703196286308</v>
      </c>
      <c r="H64" s="30">
        <f>IF(H$5&gt;$B64,0,INDEX(Decrements!$G$6:$G$58,Census!$G64+H$5-18)/INDEX(Decrements!$G$6:$G$58,Census!$G64-17)*(INDEX(Decrements!$D$6:$D$58,Census!$G64+H$5-18)+IF(H$5=$B64,INDEX(Decrements!$F$6:$F$58,Census!$G64+H$5-18),0)+INDEX(Decrements!$E$6:$E$58,Census!$G64+H$5-18)*IF((Census!$F64+H$5)&gt;=Assumptions!$B$11,1,0))*MIN(15/26*Census!$D64*(1+Assumptions!$B$9)^H$5*(INT((Census!$F64+H$5))+IF((Census!$F64+H$5)-INT((Census!$F64+H$5))&gt;0.5,1,0)),Assumptions!$B$10))</f>
        <v>23163.29063448972</v>
      </c>
      <c r="I64" s="30">
        <f>IF(I$5&gt;$B64,0,INDEX(Decrements!$G$6:$G$58,Census!$G64+I$5-18)/INDEX(Decrements!$G$6:$G$58,Census!$G64-17)*(INDEX(Decrements!$D$6:$D$58,Census!$G64+I$5-18)+IF(I$5=$B64,INDEX(Decrements!$F$6:$F$58,Census!$G64+I$5-18),0)+INDEX(Decrements!$E$6:$E$58,Census!$G64+I$5-18)*IF((Census!$F64+I$5)&gt;=Assumptions!$B$11,1,0))*MIN(15/26*Census!$D64*(1+Assumptions!$B$9)^I$5*(INT((Census!$F64+I$5))+IF((Census!$F64+I$5)-INT((Census!$F64+I$5))&gt;0.5,1,0)),Assumptions!$B$10))</f>
        <v>25263.068399171294</v>
      </c>
      <c r="J64" s="30">
        <f>IF(J$5&gt;$B64,0,INDEX(Decrements!$G$6:$G$58,Census!$G64+J$5-18)/INDEX(Decrements!$G$6:$G$58,Census!$G64-17)*(INDEX(Decrements!$D$6:$D$58,Census!$G64+J$5-18)+IF(J$5=$B64,INDEX(Decrements!$F$6:$F$58,Census!$G64+J$5-18),0)+INDEX(Decrements!$E$6:$E$58,Census!$G64+J$5-18)*IF((Census!$F64+J$5)&gt;=Assumptions!$B$11,1,0))*MIN(15/26*Census!$D64*(1+Assumptions!$B$9)^J$5*(INT((Census!$F64+J$5))+IF((Census!$F64+J$5)-INT((Census!$F64+J$5))&gt;0.5,1,0)),Assumptions!$B$10))</f>
        <v>27460.15286745772</v>
      </c>
      <c r="K64" s="30">
        <f>IF(K$5&gt;$B64,0,INDEX(Decrements!$G$6:$G$58,Census!$G64+K$5-18)/INDEX(Decrements!$G$6:$G$58,Census!$G64-17)*(INDEX(Decrements!$D$6:$D$58,Census!$G64+K$5-18)+IF(K$5=$B64,INDEX(Decrements!$F$6:$F$58,Census!$G64+K$5-18),0)+INDEX(Decrements!$E$6:$E$58,Census!$G64+K$5-18)*IF((Census!$F64+K$5)&gt;=Assumptions!$B$11,1,0))*MIN(15/26*Census!$D64*(1+Assumptions!$B$9)^K$5*(INT((Census!$F64+K$5))+IF((Census!$F64+K$5)-INT((Census!$F64+K$5))&gt;0.5,1,0)),Assumptions!$B$10))</f>
        <v>29758.902933397829</v>
      </c>
      <c r="L64" s="30">
        <f>IF(L$5&gt;$B64,0,INDEX(Decrements!$G$6:$G$58,Census!$G64+L$5-18)/INDEX(Decrements!$G$6:$G$58,Census!$G64-17)*(INDEX(Decrements!$D$6:$D$58,Census!$G64+L$5-18)+IF(L$5=$B64,INDEX(Decrements!$F$6:$F$58,Census!$G64+L$5-18),0)+INDEX(Decrements!$E$6:$E$58,Census!$G64+L$5-18)*IF((Census!$F64+L$5)&gt;=Assumptions!$B$11,1,0))*MIN(15/26*Census!$D64*(1+Assumptions!$B$9)^L$5*(INT((Census!$F64+L$5))+IF((Census!$F64+L$5)-INT((Census!$F64+L$5))&gt;0.5,1,0)),Assumptions!$B$10))</f>
        <v>19776.854490410868</v>
      </c>
      <c r="M64" s="30">
        <f>IF(M$5&gt;$B64,0,INDEX(Decrements!$G$6:$G$58,Census!$G64+M$5-18)/INDEX(Decrements!$G$6:$G$58,Census!$G64-17)*(INDEX(Decrements!$D$6:$D$58,Census!$G64+M$5-18)+IF(M$5=$B64,INDEX(Decrements!$F$6:$F$58,Census!$G64+M$5-18),0)+INDEX(Decrements!$E$6:$E$58,Census!$G64+M$5-18)*IF((Census!$F64+M$5)&gt;=Assumptions!$B$11,1,0))*MIN(15/26*Census!$D64*(1+Assumptions!$B$9)^M$5*(INT((Census!$F64+M$5))+IF((Census!$F64+M$5)-INT((Census!$F64+M$5))&gt;0.5,1,0)),Assumptions!$B$10))</f>
        <v>21813.084908018223</v>
      </c>
      <c r="N64" s="30">
        <f>IF(N$5&gt;$B64,0,INDEX(Decrements!$G$6:$G$58,Census!$G64+N$5-18)/INDEX(Decrements!$G$6:$G$58,Census!$G64-17)*(INDEX(Decrements!$D$6:$D$58,Census!$G64+N$5-18)+IF(N$5=$B64,INDEX(Decrements!$F$6:$F$58,Census!$G64+N$5-18),0)+INDEX(Decrements!$E$6:$E$58,Census!$G64+N$5-18)*IF((Census!$F64+N$5)&gt;=Assumptions!$B$11,1,0))*MIN(15/26*Census!$D64*(1+Assumptions!$B$9)^N$5*(INT((Census!$F64+N$5))+IF((Census!$F64+N$5)-INT((Census!$F64+N$5))&gt;0.5,1,0)),Assumptions!$B$10))</f>
        <v>24011.25451296449</v>
      </c>
      <c r="O64" s="30">
        <f>IF(O$5&gt;$B64,0,INDEX(Decrements!$G$6:$G$58,Census!$G64+O$5-18)/INDEX(Decrements!$G$6:$G$58,Census!$G64-17)*(INDEX(Decrements!$D$6:$D$58,Census!$G64+O$5-18)+IF(O$5=$B64,INDEX(Decrements!$F$6:$F$58,Census!$G64+O$5-18),0)+INDEX(Decrements!$E$6:$E$58,Census!$G64+O$5-18)*IF((Census!$F64+O$5)&gt;=Assumptions!$B$11,1,0))*MIN(15/26*Census!$D64*(1+Assumptions!$B$9)^O$5*(INT((Census!$F64+O$5))+IF((Census!$F64+O$5)-INT((Census!$F64+O$5))&gt;0.5,1,0)),Assumptions!$B$10))</f>
        <v>26384.470087381509</v>
      </c>
      <c r="P64" s="30">
        <f>IF(P$5&gt;$B64,0,INDEX(Decrements!$G$6:$G$58,Census!$G64+P$5-18)/INDEX(Decrements!$G$6:$G$58,Census!$G64-17)*(INDEX(Decrements!$D$6:$D$58,Census!$G64+P$5-18)+IF(P$5=$B64,INDEX(Decrements!$F$6:$F$58,Census!$G64+P$5-18),0)+INDEX(Decrements!$E$6:$E$58,Census!$G64+P$5-18)*IF((Census!$F64+P$5)&gt;=Assumptions!$B$11,1,0))*MIN(15/26*Census!$D64*(1+Assumptions!$B$9)^P$5*(INT((Census!$F64+P$5))+IF((Census!$F64+P$5)-INT((Census!$F64+P$5))&gt;0.5,1,0)),Assumptions!$B$10))</f>
        <v>28947.091926512978</v>
      </c>
      <c r="Q64" s="30">
        <f>IF(Q$5&gt;$B64,0,INDEX(Decrements!$G$6:$G$58,Census!$G64+Q$5-18)/INDEX(Decrements!$G$6:$G$58,Census!$G64-17)*(INDEX(Decrements!$D$6:$D$58,Census!$G64+Q$5-18)+IF(Q$5=$B64,INDEX(Decrements!$F$6:$F$58,Census!$G64+Q$5-18),0)+INDEX(Decrements!$E$6:$E$58,Census!$G64+Q$5-18)*IF((Census!$F64+Q$5)&gt;=Assumptions!$B$11,1,0))*MIN(15/26*Census!$D64*(1+Assumptions!$B$9)^Q$5*(INT((Census!$F64+Q$5))+IF((Census!$F64+Q$5)-INT((Census!$F64+Q$5))&gt;0.5,1,0)),Assumptions!$B$10))</f>
        <v>21199.181434790728</v>
      </c>
      <c r="R64" s="30">
        <f>IF(R$5&gt;$B64,0,INDEX(Decrements!$G$6:$G$58,Census!$G64+R$5-18)/INDEX(Decrements!$G$6:$G$58,Census!$G64-17)*(INDEX(Decrements!$D$6:$D$58,Census!$G64+R$5-18)+IF(R$5=$B64,INDEX(Decrements!$F$6:$F$58,Census!$G64+R$5-18),0)+INDEX(Decrements!$E$6:$E$58,Census!$G64+R$5-18)*IF((Census!$F64+R$5)&gt;=Assumptions!$B$11,1,0))*MIN(15/26*Census!$D64*(1+Assumptions!$B$9)^R$5*(INT((Census!$F64+R$5))+IF((Census!$F64+R$5)-INT((Census!$F64+R$5))&gt;0.5,1,0)),Assumptions!$B$10))</f>
        <v>20934.462488404555</v>
      </c>
      <c r="S64" s="30">
        <f>IF(S$5&gt;$B64,0,INDEX(Decrements!$G$6:$G$58,Census!$G64+S$5-18)/INDEX(Decrements!$G$6:$G$58,Census!$G64-17)*(INDEX(Decrements!$D$6:$D$58,Census!$G64+S$5-18)+IF(S$5=$B64,INDEX(Decrements!$F$6:$F$58,Census!$G64+S$5-18),0)+INDEX(Decrements!$E$6:$E$58,Census!$G64+S$5-18)*IF((Census!$F64+S$5)&gt;=Assumptions!$B$11,1,0))*MIN(15/26*Census!$D64*(1+Assumptions!$B$9)^S$5*(INT((Census!$F64+S$5))+IF((Census!$F64+S$5)-INT((Census!$F64+S$5))&gt;0.5,1,0)),Assumptions!$B$10))</f>
        <v>20687.004315167062</v>
      </c>
      <c r="T64" s="30">
        <f>IF(T$5&gt;$B64,0,INDEX(Decrements!$G$6:$G$58,Census!$G64+T$5-18)/INDEX(Decrements!$G$6:$G$58,Census!$G64-17)*(INDEX(Decrements!$D$6:$D$58,Census!$G64+T$5-18)+IF(T$5=$B64,INDEX(Decrements!$F$6:$F$58,Census!$G64+T$5-18),0)+INDEX(Decrements!$E$6:$E$58,Census!$G64+T$5-18)*IF((Census!$F64+T$5)&gt;=Assumptions!$B$11,1,0))*MIN(15/26*Census!$D64*(1+Assumptions!$B$9)^T$5*(INT((Census!$F64+T$5))+IF((Census!$F64+T$5)-INT((Census!$F64+T$5))&gt;0.5,1,0)),Assumptions!$B$10))</f>
        <v>20457.170633616504</v>
      </c>
      <c r="U64" s="30">
        <f>IF(U$5&gt;$B64,0,INDEX(Decrements!$G$6:$G$58,Census!$G64+U$5-18)/INDEX(Decrements!$G$6:$G$58,Census!$G64-17)*(INDEX(Decrements!$D$6:$D$58,Census!$G64+U$5-18)+IF(U$5=$B64,INDEX(Decrements!$F$6:$F$58,Census!$G64+U$5-18),0)+INDEX(Decrements!$E$6:$E$58,Census!$G64+U$5-18)*IF((Census!$F64+U$5)&gt;=Assumptions!$B$11,1,0))*MIN(15/26*Census!$D64*(1+Assumptions!$B$9)^U$5*(INT((Census!$F64+U$5))+IF((Census!$F64+U$5)-INT((Census!$F64+U$5))&gt;0.5,1,0)),Assumptions!$B$10))</f>
        <v>20245.33716496691</v>
      </c>
      <c r="V64" s="30">
        <f>IF(V$5&gt;$B64,0,INDEX(Decrements!$G$6:$G$58,Census!$G64+V$5-18)/INDEX(Decrements!$G$6:$G$58,Census!$G64-17)*(INDEX(Decrements!$D$6:$D$58,Census!$G64+V$5-18)+IF(V$5=$B64,INDEX(Decrements!$F$6:$F$58,Census!$G64+V$5-18),0)+INDEX(Decrements!$E$6:$E$58,Census!$G64+V$5-18)*IF((Census!$F64+V$5)&gt;=Assumptions!$B$11,1,0))*MIN(15/26*Census!$D64*(1+Assumptions!$B$9)^V$5*(INT((Census!$F64+V$5))+IF((Census!$F64+V$5)-INT((Census!$F64+V$5))&gt;0.5,1,0)),Assumptions!$B$10))</f>
        <v>11826.075574759876</v>
      </c>
      <c r="W64" s="30">
        <f>IF(W$5&gt;$B64,0,INDEX(Decrements!$G$6:$G$58,Census!$G64+W$5-18)/INDEX(Decrements!$G$6:$G$58,Census!$G64-17)*(INDEX(Decrements!$D$6:$D$58,Census!$G64+W$5-18)+IF(W$5=$B64,INDEX(Decrements!$F$6:$F$58,Census!$G64+W$5-18),0)+INDEX(Decrements!$E$6:$E$58,Census!$G64+W$5-18)*IF((Census!$F64+W$5)&gt;=Assumptions!$B$11,1,0))*MIN(15/26*Census!$D64*(1+Assumptions!$B$9)^W$5*(INT((Census!$F64+W$5))+IF((Census!$F64+W$5)-INT((Census!$F64+W$5))&gt;0.5,1,0)),Assumptions!$B$10))</f>
        <v>11975.182020972652</v>
      </c>
      <c r="X64" s="30">
        <f>IF(X$5&gt;$B64,0,INDEX(Decrements!$G$6:$G$58,Census!$G64+X$5-18)/INDEX(Decrements!$G$6:$G$58,Census!$G64-17)*(INDEX(Decrements!$D$6:$D$58,Census!$G64+X$5-18)+IF(X$5=$B64,INDEX(Decrements!$F$6:$F$58,Census!$G64+X$5-18),0)+INDEX(Decrements!$E$6:$E$58,Census!$G64+X$5-18)*IF((Census!$F64+X$5)&gt;=Assumptions!$B$11,1,0))*MIN(15/26*Census!$D64*(1+Assumptions!$B$9)^X$5*(INT((Census!$F64+X$5))+IF((Census!$F64+X$5)-INT((Census!$F64+X$5))&gt;0.5,1,0)),Assumptions!$B$10))</f>
        <v>12144.017069560188</v>
      </c>
      <c r="Y64" s="30">
        <f>IF(Y$5&gt;$B64,0,INDEX(Decrements!$G$6:$G$58,Census!$G64+Y$5-18)/INDEX(Decrements!$G$6:$G$58,Census!$G64-17)*(INDEX(Decrements!$D$6:$D$58,Census!$G64+Y$5-18)+IF(Y$5=$B64,INDEX(Decrements!$F$6:$F$58,Census!$G64+Y$5-18),0)+INDEX(Decrements!$E$6:$E$58,Census!$G64+Y$5-18)*IF((Census!$F64+Y$5)&gt;=Assumptions!$B$11,1,0))*MIN(15/26*Census!$D64*(1+Assumptions!$B$9)^Y$5*(INT((Census!$F64+Y$5))+IF((Census!$F64+Y$5)-INT((Census!$F64+Y$5))&gt;0.5,1,0)),Assumptions!$B$10))</f>
        <v>12333.728210636717</v>
      </c>
      <c r="Z64" s="30">
        <f>IF(Z$5&gt;$B64,0,INDEX(Decrements!$G$6:$G$58,Census!$G64+Z$5-18)/INDEX(Decrements!$G$6:$G$58,Census!$G64-17)*(INDEX(Decrements!$D$6:$D$58,Census!$G64+Z$5-18)+IF(Z$5=$B64,INDEX(Decrements!$F$6:$F$58,Census!$G64+Z$5-18),0)+INDEX(Decrements!$E$6:$E$58,Census!$G64+Z$5-18)*IF((Census!$F64+Z$5)&gt;=Assumptions!$B$11,1,0))*MIN(15/26*Census!$D64*(1+Assumptions!$B$9)^Z$5*(INT((Census!$F64+Z$5))+IF((Census!$F64+Z$5)-INT((Census!$F64+Z$5))&gt;0.5,1,0)),Assumptions!$B$10))</f>
        <v>777902.377824247</v>
      </c>
      <c r="AA64" s="30">
        <f>IF(AA$5&gt;$B64,0,INDEX(Decrements!$G$6:$G$58,Census!$G64+AA$5-18)/INDEX(Decrements!$G$6:$G$58,Census!$G64-17)*(INDEX(Decrements!$D$6:$D$58,Census!$G64+AA$5-18)+IF(AA$5=$B64,INDEX(Decrements!$F$6:$F$58,Census!$G64+AA$5-18),0)+INDEX(Decrements!$E$6:$E$58,Census!$G64+AA$5-18)*IF((Census!$F64+AA$5)&gt;=Assumptions!$B$11,1,0))*MIN(15/26*Census!$D64*(1+Assumptions!$B$9)^AA$5*(INT((Census!$F64+AA$5))+IF((Census!$F64+AA$5)-INT((Census!$F64+AA$5))&gt;0.5,1,0)),Assumptions!$B$10))</f>
        <v>0</v>
      </c>
      <c r="AB64" s="30">
        <f>IF(AB$5&gt;$B64,0,INDEX(Decrements!$G$6:$G$58,Census!$G64+AB$5-18)/INDEX(Decrements!$G$6:$G$58,Census!$G64-17)*(INDEX(Decrements!$D$6:$D$58,Census!$G64+AB$5-18)+IF(AB$5=$B64,INDEX(Decrements!$F$6:$F$58,Census!$G64+AB$5-18),0)+INDEX(Decrements!$E$6:$E$58,Census!$G64+AB$5-18)*IF((Census!$F64+AB$5)&gt;=Assumptions!$B$11,1,0))*MIN(15/26*Census!$D64*(1+Assumptions!$B$9)^AB$5*(INT((Census!$F64+AB$5))+IF((Census!$F64+AB$5)-INT((Census!$F64+AB$5))&gt;0.5,1,0)),Assumptions!$B$10))</f>
        <v>0</v>
      </c>
      <c r="AC64" s="30">
        <f>IF(AC$5&gt;$B64,0,INDEX(Decrements!$G$6:$G$58,Census!$G64+AC$5-18)/INDEX(Decrements!$G$6:$G$58,Census!$G64-17)*(INDEX(Decrements!$D$6:$D$58,Census!$G64+AC$5-18)+IF(AC$5=$B64,INDEX(Decrements!$F$6:$F$58,Census!$G64+AC$5-18),0)+INDEX(Decrements!$E$6:$E$58,Census!$G64+AC$5-18)*IF((Census!$F64+AC$5)&gt;=Assumptions!$B$11,1,0))*MIN(15/26*Census!$D64*(1+Assumptions!$B$9)^AC$5*(INT((Census!$F64+AC$5))+IF((Census!$F64+AC$5)-INT((Census!$F64+AC$5))&gt;0.5,1,0)),Assumptions!$B$10))</f>
        <v>0</v>
      </c>
      <c r="AD64" s="30">
        <f>IF(AD$5&gt;$B64,0,INDEX(Decrements!$G$6:$G$58,Census!$G64+AD$5-18)/INDEX(Decrements!$G$6:$G$58,Census!$G64-17)*(INDEX(Decrements!$D$6:$D$58,Census!$G64+AD$5-18)+IF(AD$5=$B64,INDEX(Decrements!$F$6:$F$58,Census!$G64+AD$5-18),0)+INDEX(Decrements!$E$6:$E$58,Census!$G64+AD$5-18)*IF((Census!$F64+AD$5)&gt;=Assumptions!$B$11,1,0))*MIN(15/26*Census!$D64*(1+Assumptions!$B$9)^AD$5*(INT((Census!$F64+AD$5))+IF((Census!$F64+AD$5)-INT((Census!$F64+AD$5))&gt;0.5,1,0)),Assumptions!$B$10))</f>
        <v>0</v>
      </c>
      <c r="AE64" s="30">
        <f>IF(AE$5&gt;$B64,0,INDEX(Decrements!$G$6:$G$58,Census!$G64+AE$5-18)/INDEX(Decrements!$G$6:$G$58,Census!$G64-17)*(INDEX(Decrements!$D$6:$D$58,Census!$G64+AE$5-18)+IF(AE$5=$B64,INDEX(Decrements!$F$6:$F$58,Census!$G64+AE$5-18),0)+INDEX(Decrements!$E$6:$E$58,Census!$G64+AE$5-18)*IF((Census!$F64+AE$5)&gt;=Assumptions!$B$11,1,0))*MIN(15/26*Census!$D64*(1+Assumptions!$B$9)^AE$5*(INT((Census!$F64+AE$5))+IF((Census!$F64+AE$5)-INT((Census!$F64+AE$5))&gt;0.5,1,0)),Assumptions!$B$10))</f>
        <v>0</v>
      </c>
      <c r="AF64" s="30">
        <f>IF(AF$5&gt;$B64,0,INDEX(Decrements!$G$6:$G$58,Census!$G64+AF$5-18)/INDEX(Decrements!$G$6:$G$58,Census!$G64-17)*(INDEX(Decrements!$D$6:$D$58,Census!$G64+AF$5-18)+IF(AF$5=$B64,INDEX(Decrements!$F$6:$F$58,Census!$G64+AF$5-18),0)+INDEX(Decrements!$E$6:$E$58,Census!$G64+AF$5-18)*IF((Census!$F64+AF$5)&gt;=Assumptions!$B$11,1,0))*MIN(15/26*Census!$D64*(1+Assumptions!$B$9)^AF$5*(INT((Census!$F64+AF$5))+IF((Census!$F64+AF$5)-INT((Census!$F64+AF$5))&gt;0.5,1,0)),Assumptions!$B$10))</f>
        <v>0</v>
      </c>
      <c r="AG64" s="30">
        <f>IF(AG$5&gt;$B64,0,INDEX(Decrements!$G$6:$G$58,Census!$G64+AG$5-18)/INDEX(Decrements!$G$6:$G$58,Census!$G64-17)*(INDEX(Decrements!$D$6:$D$58,Census!$G64+AG$5-18)+IF(AG$5=$B64,INDEX(Decrements!$F$6:$F$58,Census!$G64+AG$5-18),0)+INDEX(Decrements!$E$6:$E$58,Census!$G64+AG$5-18)*IF((Census!$F64+AG$5)&gt;=Assumptions!$B$11,1,0))*MIN(15/26*Census!$D64*(1+Assumptions!$B$9)^AG$5*(INT((Census!$F64+AG$5))+IF((Census!$F64+AG$5)-INT((Census!$F64+AG$5))&gt;0.5,1,0)),Assumptions!$B$10))</f>
        <v>0</v>
      </c>
      <c r="AH64" s="30">
        <f>IF(AH$5&gt;$B64,0,INDEX(Decrements!$G$6:$G$58,Census!$G64+AH$5-18)/INDEX(Decrements!$G$6:$G$58,Census!$G64-17)*(INDEX(Decrements!$D$6:$D$58,Census!$G64+AH$5-18)+IF(AH$5=$B64,INDEX(Decrements!$F$6:$F$58,Census!$G64+AH$5-18),0)+INDEX(Decrements!$E$6:$E$58,Census!$G64+AH$5-18)*IF((Census!$F64+AH$5)&gt;=Assumptions!$B$11,1,0))*MIN(15/26*Census!$D64*(1+Assumptions!$B$9)^AH$5*(INT((Census!$F64+AH$5))+IF((Census!$F64+AH$5)-INT((Census!$F64+AH$5))&gt;0.5,1,0)),Assumptions!$B$10))</f>
        <v>0</v>
      </c>
      <c r="AI64" s="30">
        <f>IF(AI$5&gt;$B64,0,INDEX(Decrements!$G$6:$G$58,Census!$G64+AI$5-18)/INDEX(Decrements!$G$6:$G$58,Census!$G64-17)*(INDEX(Decrements!$D$6:$D$58,Census!$G64+AI$5-18)+IF(AI$5=$B64,INDEX(Decrements!$F$6:$F$58,Census!$G64+AI$5-18),0)+INDEX(Decrements!$E$6:$E$58,Census!$G64+AI$5-18)*IF((Census!$F64+AI$5)&gt;=Assumptions!$B$11,1,0))*MIN(15/26*Census!$D64*(1+Assumptions!$B$9)^AI$5*(INT((Census!$F64+AI$5))+IF((Census!$F64+AI$5)-INT((Census!$F64+AI$5))&gt;0.5,1,0)),Assumptions!$B$10))</f>
        <v>0</v>
      </c>
      <c r="AJ64" s="30">
        <f>IF(AJ$5&gt;$B64,0,INDEX(Decrements!$G$6:$G$58,Census!$G64+AJ$5-18)/INDEX(Decrements!$G$6:$G$58,Census!$G64-17)*(INDEX(Decrements!$D$6:$D$58,Census!$G64+AJ$5-18)+IF(AJ$5=$B64,INDEX(Decrements!$F$6:$F$58,Census!$G64+AJ$5-18),0)+INDEX(Decrements!$E$6:$E$58,Census!$G64+AJ$5-18)*IF((Census!$F64+AJ$5)&gt;=Assumptions!$B$11,1,0))*MIN(15/26*Census!$D64*(1+Assumptions!$B$9)^AJ$5*(INT((Census!$F64+AJ$5))+IF((Census!$F64+AJ$5)-INT((Census!$F64+AJ$5))&gt;0.5,1,0)),Assumptions!$B$10))</f>
        <v>0</v>
      </c>
      <c r="AK64" s="30">
        <f>IF(AK$5&gt;$B64,0,INDEX(Decrements!$G$6:$G$58,Census!$G64+AK$5-18)/INDEX(Decrements!$G$6:$G$58,Census!$G64-17)*(INDEX(Decrements!$D$6:$D$58,Census!$G64+AK$5-18)+IF(AK$5=$B64,INDEX(Decrements!$F$6:$F$58,Census!$G64+AK$5-18),0)+INDEX(Decrements!$E$6:$E$58,Census!$G64+AK$5-18)*IF((Census!$F64+AK$5)&gt;=Assumptions!$B$11,1,0))*MIN(15/26*Census!$D64*(1+Assumptions!$B$9)^AK$5*(INT((Census!$F64+AK$5))+IF((Census!$F64+AK$5)-INT((Census!$F64+AK$5))&gt;0.5,1,0)),Assumptions!$B$10))</f>
        <v>0</v>
      </c>
      <c r="AL64" s="30">
        <f>IF(AL$5&gt;$B64,0,INDEX(Decrements!$G$6:$G$58,Census!$G64+AL$5-18)/INDEX(Decrements!$G$6:$G$58,Census!$G64-17)*(INDEX(Decrements!$D$6:$D$58,Census!$G64+AL$5-18)+IF(AL$5=$B64,INDEX(Decrements!$F$6:$F$58,Census!$G64+AL$5-18),0)+INDEX(Decrements!$E$6:$E$58,Census!$G64+AL$5-18)*IF((Census!$F64+AL$5)&gt;=Assumptions!$B$11,1,0))*MIN(15/26*Census!$D64*(1+Assumptions!$B$9)^AL$5*(INT((Census!$F64+AL$5))+IF((Census!$F64+AL$5)-INT((Census!$F64+AL$5))&gt;0.5,1,0)),Assumptions!$B$10))</f>
        <v>0</v>
      </c>
      <c r="AM64" s="30">
        <f>IF(AM$5&gt;$B64,0,INDEX(Decrements!$G$6:$G$58,Census!$G64+AM$5-18)/INDEX(Decrements!$G$6:$G$58,Census!$G64-17)*(INDEX(Decrements!$D$6:$D$58,Census!$G64+AM$5-18)+IF(AM$5=$B64,INDEX(Decrements!$F$6:$F$58,Census!$G64+AM$5-18),0)+INDEX(Decrements!$E$6:$E$58,Census!$G64+AM$5-18)*IF((Census!$F64+AM$5)&gt;=Assumptions!$B$11,1,0))*MIN(15/26*Census!$D64*(1+Assumptions!$B$9)^AM$5*(INT((Census!$F64+AM$5))+IF((Census!$F64+AM$5)-INT((Census!$F64+AM$5))&gt;0.5,1,0)),Assumptions!$B$10))</f>
        <v>0</v>
      </c>
      <c r="AN64" s="30">
        <f>IF(AN$5&gt;$B64,0,INDEX(Decrements!$G$6:$G$58,Census!$G64+AN$5-18)/INDEX(Decrements!$G$6:$G$58,Census!$G64-17)*(INDEX(Decrements!$D$6:$D$58,Census!$G64+AN$5-18)+IF(AN$5=$B64,INDEX(Decrements!$F$6:$F$58,Census!$G64+AN$5-18),0)+INDEX(Decrements!$E$6:$E$58,Census!$G64+AN$5-18)*IF((Census!$F64+AN$5)&gt;=Assumptions!$B$11,1,0))*MIN(15/26*Census!$D64*(1+Assumptions!$B$9)^AN$5*(INT((Census!$F64+AN$5))+IF((Census!$F64+AN$5)-INT((Census!$F64+AN$5))&gt;0.5,1,0)),Assumptions!$B$10))</f>
        <v>0</v>
      </c>
      <c r="AO64" s="30">
        <f>IF(AO$5&gt;$B64,0,INDEX(Decrements!$G$6:$G$58,Census!$G64+AO$5-18)/INDEX(Decrements!$G$6:$G$58,Census!$G64-17)*(INDEX(Decrements!$D$6:$D$58,Census!$G64+AO$5-18)+IF(AO$5=$B64,INDEX(Decrements!$F$6:$F$58,Census!$G64+AO$5-18),0)+INDEX(Decrements!$E$6:$E$58,Census!$G64+AO$5-18)*IF((Census!$F64+AO$5)&gt;=Assumptions!$B$11,1,0))*MIN(15/26*Census!$D64*(1+Assumptions!$B$9)^AO$5*(INT((Census!$F64+AO$5))+IF((Census!$F64+AO$5)-INT((Census!$F64+AO$5))&gt;0.5,1,0)),Assumptions!$B$10))</f>
        <v>0</v>
      </c>
      <c r="AP64" s="30">
        <f>IF(AP$5&gt;$B64,0,INDEX(Decrements!$G$6:$G$58,Census!$G64+AP$5-18)/INDEX(Decrements!$G$6:$G$58,Census!$G64-17)*(INDEX(Decrements!$D$6:$D$58,Census!$G64+AP$5-18)+IF(AP$5=$B64,INDEX(Decrements!$F$6:$F$58,Census!$G64+AP$5-18),0)+INDEX(Decrements!$E$6:$E$58,Census!$G64+AP$5-18)*IF((Census!$F64+AP$5)&gt;=Assumptions!$B$11,1,0))*MIN(15/26*Census!$D64*(1+Assumptions!$B$9)^AP$5*(INT((Census!$F64+AP$5))+IF((Census!$F64+AP$5)-INT((Census!$F64+AP$5))&gt;0.5,1,0)),Assumptions!$B$10))</f>
        <v>0</v>
      </c>
      <c r="AQ64" s="30">
        <f>IF(AQ$5&gt;$B64,0,INDEX(Decrements!$G$6:$G$58,Census!$G64+AQ$5-18)/INDEX(Decrements!$G$6:$G$58,Census!$G64-17)*(INDEX(Decrements!$D$6:$D$58,Census!$G64+AQ$5-18)+IF(AQ$5=$B64,INDEX(Decrements!$F$6:$F$58,Census!$G64+AQ$5-18),0)+INDEX(Decrements!$E$6:$E$58,Census!$G64+AQ$5-18)*IF((Census!$F64+AQ$5)&gt;=Assumptions!$B$11,1,0))*MIN(15/26*Census!$D64*(1+Assumptions!$B$9)^AQ$5*(INT((Census!$F64+AQ$5))+IF((Census!$F64+AQ$5)-INT((Census!$F64+AQ$5))&gt;0.5,1,0)),Assumptions!$B$10))</f>
        <v>0</v>
      </c>
      <c r="AR64" s="30">
        <f>IF(AR$5&gt;$B64,0,INDEX(Decrements!$G$6:$G$58,Census!$G64+AR$5-18)/INDEX(Decrements!$G$6:$G$58,Census!$G64-17)*(INDEX(Decrements!$D$6:$D$58,Census!$G64+AR$5-18)+IF(AR$5=$B64,INDEX(Decrements!$F$6:$F$58,Census!$G64+AR$5-18),0)+INDEX(Decrements!$E$6:$E$58,Census!$G64+AR$5-18)*IF((Census!$F64+AR$5)&gt;=Assumptions!$B$11,1,0))*MIN(15/26*Census!$D64*(1+Assumptions!$B$9)^AR$5*(INT((Census!$F64+AR$5))+IF((Census!$F64+AR$5)-INT((Census!$F64+AR$5))&gt;0.5,1,0)),Assumptions!$B$10))</f>
        <v>0</v>
      </c>
      <c r="AS64" s="30">
        <f>IF(AS$5&gt;$B64,0,INDEX(Decrements!$G$6:$G$58,Census!$G64+AS$5-18)/INDEX(Decrements!$G$6:$G$58,Census!$G64-17)*(INDEX(Decrements!$D$6:$D$58,Census!$G64+AS$5-18)+IF(AS$5=$B64,INDEX(Decrements!$F$6:$F$58,Census!$G64+AS$5-18),0)+INDEX(Decrements!$E$6:$E$58,Census!$G64+AS$5-18)*IF((Census!$F64+AS$5)&gt;=Assumptions!$B$11,1,0))*MIN(15/26*Census!$D64*(1+Assumptions!$B$9)^AS$5*(INT((Census!$F64+AS$5))+IF((Census!$F64+AS$5)-INT((Census!$F64+AS$5))&gt;0.5,1,0)),Assumptions!$B$10))</f>
        <v>0</v>
      </c>
      <c r="AT64" s="30">
        <f>IF(AT$5&gt;$B64,0,INDEX(Decrements!$G$6:$G$58,Census!$G64+AT$5-18)/INDEX(Decrements!$G$6:$G$58,Census!$G64-17)*(INDEX(Decrements!$D$6:$D$58,Census!$G64+AT$5-18)+IF(AT$5=$B64,INDEX(Decrements!$F$6:$F$58,Census!$G64+AT$5-18),0)+INDEX(Decrements!$E$6:$E$58,Census!$G64+AT$5-18)*IF((Census!$F64+AT$5)&gt;=Assumptions!$B$11,1,0))*MIN(15/26*Census!$D64*(1+Assumptions!$B$9)^AT$5*(INT((Census!$F64+AT$5))+IF((Census!$F64+AT$5)-INT((Census!$F64+AT$5))&gt;0.5,1,0)),Assumptions!$B$10))</f>
        <v>0</v>
      </c>
      <c r="AU64" s="30">
        <f>IF(AU$5&gt;$B64,0,INDEX(Decrements!$G$6:$G$58,Census!$G64+AU$5-18)/INDEX(Decrements!$G$6:$G$58,Census!$G64-17)*(INDEX(Decrements!$D$6:$D$58,Census!$G64+AU$5-18)+IF(AU$5=$B64,INDEX(Decrements!$F$6:$F$58,Census!$G64+AU$5-18),0)+INDEX(Decrements!$E$6:$E$58,Census!$G64+AU$5-18)*IF((Census!$F64+AU$5)&gt;=Assumptions!$B$11,1,0))*MIN(15/26*Census!$D64*(1+Assumptions!$B$9)^AU$5*(INT((Census!$F64+AU$5))+IF((Census!$F64+AU$5)-INT((Census!$F64+AU$5))&gt;0.5,1,0)),Assumptions!$B$10))</f>
        <v>0</v>
      </c>
    </row>
    <row r="65" spans="1:47" x14ac:dyDescent="0.3">
      <c r="A65" s="10" t="str">
        <f>Census!A65</f>
        <v>E060</v>
      </c>
      <c r="B65" s="29">
        <f>Census!H65</f>
        <v>27</v>
      </c>
      <c r="C65" s="30">
        <f>IF(C$5&gt;$B65,0,INDEX(Decrements!$G$6:$G$58,Census!$G65+C$5-18)/INDEX(Decrements!$G$6:$G$58,Census!$G65-17)*(INDEX(Decrements!$D$6:$D$58,Census!$G65+C$5-18)+IF(C$5=$B65,INDEX(Decrements!$F$6:$F$58,Census!$G65+C$5-18),0)+INDEX(Decrements!$E$6:$E$58,Census!$G65+C$5-18)*IF((Census!$F65+C$5)&gt;=Assumptions!$B$11,1,0))*MIN(15/26*Census!$D65*(1+Assumptions!$B$9)^C$5*(INT((Census!$F65+C$5))+IF((Census!$F65+C$5)-INT((Census!$F65+C$5))&gt;0.5,1,0)),Assumptions!$B$10))</f>
        <v>23967.326471144053</v>
      </c>
      <c r="D65" s="30">
        <f>IF(D$5&gt;$B65,0,INDEX(Decrements!$G$6:$G$58,Census!$G65+D$5-18)/INDEX(Decrements!$G$6:$G$58,Census!$G65-17)*(INDEX(Decrements!$D$6:$D$58,Census!$G65+D$5-18)+IF(D$5=$B65,INDEX(Decrements!$F$6:$F$58,Census!$G65+D$5-18),0)+INDEX(Decrements!$E$6:$E$58,Census!$G65+D$5-18)*IF((Census!$F65+D$5)&gt;=Assumptions!$B$11,1,0))*MIN(15/26*Census!$D65*(1+Assumptions!$B$9)^D$5*(INT((Census!$F65+D$5))+IF((Census!$F65+D$5)-INT((Census!$F65+D$5))&gt;0.5,1,0)),Assumptions!$B$10))</f>
        <v>25904.209438981496</v>
      </c>
      <c r="E65" s="30">
        <f>IF(E$5&gt;$B65,0,INDEX(Decrements!$G$6:$G$58,Census!$G65+E$5-18)/INDEX(Decrements!$G$6:$G$58,Census!$G65-17)*(INDEX(Decrements!$D$6:$D$58,Census!$G65+E$5-18)+IF(E$5=$B65,INDEX(Decrements!$F$6:$F$58,Census!$G65+E$5-18),0)+INDEX(Decrements!$E$6:$E$58,Census!$G65+E$5-18)*IF((Census!$F65+E$5)&gt;=Assumptions!$B$11,1,0))*MIN(15/26*Census!$D65*(1+Assumptions!$B$9)^E$5*(INT((Census!$F65+E$5))+IF((Census!$F65+E$5)-INT((Census!$F65+E$5))&gt;0.5,1,0)),Assumptions!$B$10))</f>
        <v>20177.605372959115</v>
      </c>
      <c r="F65" s="30">
        <f>IF(F$5&gt;$B65,0,INDEX(Decrements!$G$6:$G$58,Census!$G65+F$5-18)/INDEX(Decrements!$G$6:$G$58,Census!$G65-17)*(INDEX(Decrements!$D$6:$D$58,Census!$G65+F$5-18)+IF(F$5=$B65,INDEX(Decrements!$F$6:$F$58,Census!$G65+F$5-18),0)+INDEX(Decrements!$E$6:$E$58,Census!$G65+F$5-18)*IF((Census!$F65+F$5)&gt;=Assumptions!$B$11,1,0))*MIN(15/26*Census!$D65*(1+Assumptions!$B$9)^F$5*(INT((Census!$F65+F$5))+IF((Census!$F65+F$5)-INT((Census!$F65+F$5))&gt;0.5,1,0)),Assumptions!$B$10))</f>
        <v>22046.25788293705</v>
      </c>
      <c r="G65" s="30">
        <f>IF(G$5&gt;$B65,0,INDEX(Decrements!$G$6:$G$58,Census!$G65+G$5-18)/INDEX(Decrements!$G$6:$G$58,Census!$G65-17)*(INDEX(Decrements!$D$6:$D$58,Census!$G65+G$5-18)+IF(G$5=$B65,INDEX(Decrements!$F$6:$F$58,Census!$G65+G$5-18),0)+INDEX(Decrements!$E$6:$E$58,Census!$G65+G$5-18)*IF((Census!$F65+G$5)&gt;=Assumptions!$B$11,1,0))*MIN(15/26*Census!$D65*(1+Assumptions!$B$9)^G$5*(INT((Census!$F65+G$5))+IF((Census!$F65+G$5)-INT((Census!$F65+G$5))&gt;0.5,1,0)),Assumptions!$B$10))</f>
        <v>23889.070081556973</v>
      </c>
      <c r="H65" s="30">
        <f>IF(H$5&gt;$B65,0,INDEX(Decrements!$G$6:$G$58,Census!$G65+H$5-18)/INDEX(Decrements!$G$6:$G$58,Census!$G65-17)*(INDEX(Decrements!$D$6:$D$58,Census!$G65+H$5-18)+IF(H$5=$B65,INDEX(Decrements!$F$6:$F$58,Census!$G65+H$5-18),0)+INDEX(Decrements!$E$6:$E$58,Census!$G65+H$5-18)*IF((Census!$F65+H$5)&gt;=Assumptions!$B$11,1,0))*MIN(15/26*Census!$D65*(1+Assumptions!$B$9)^H$5*(INT((Census!$F65+H$5))+IF((Census!$F65+H$5)-INT((Census!$F65+H$5))&gt;0.5,1,0)),Assumptions!$B$10))</f>
        <v>25706.363789469557</v>
      </c>
      <c r="I65" s="30">
        <f>IF(I$5&gt;$B65,0,INDEX(Decrements!$G$6:$G$58,Census!$G65+I$5-18)/INDEX(Decrements!$G$6:$G$58,Census!$G65-17)*(INDEX(Decrements!$D$6:$D$58,Census!$G65+I$5-18)+IF(I$5=$B65,INDEX(Decrements!$F$6:$F$58,Census!$G65+I$5-18),0)+INDEX(Decrements!$E$6:$E$58,Census!$G65+I$5-18)*IF((Census!$F65+I$5)&gt;=Assumptions!$B$11,1,0))*MIN(15/26*Census!$D65*(1+Assumptions!$B$9)^I$5*(INT((Census!$F65+I$5))+IF((Census!$F65+I$5)-INT((Census!$F65+I$5))&gt;0.5,1,0)),Assumptions!$B$10))</f>
        <v>27498.462845774258</v>
      </c>
      <c r="J65" s="30">
        <f>IF(J$5&gt;$B65,0,INDEX(Decrements!$G$6:$G$58,Census!$G65+J$5-18)/INDEX(Decrements!$G$6:$G$58,Census!$G65-17)*(INDEX(Decrements!$D$6:$D$58,Census!$G65+J$5-18)+IF(J$5=$B65,INDEX(Decrements!$F$6:$F$58,Census!$G65+J$5-18),0)+INDEX(Decrements!$E$6:$E$58,Census!$G65+J$5-18)*IF((Census!$F65+J$5)&gt;=Assumptions!$B$11,1,0))*MIN(15/26*Census!$D65*(1+Assumptions!$B$9)^J$5*(INT((Census!$F65+J$5))+IF((Census!$F65+J$5)-INT((Census!$F65+J$5))&gt;0.5,1,0)),Assumptions!$B$10))</f>
        <v>18473.266425086655</v>
      </c>
      <c r="K65" s="30">
        <f>IF(K$5&gt;$B65,0,INDEX(Decrements!$G$6:$G$58,Census!$G65+K$5-18)/INDEX(Decrements!$G$6:$G$58,Census!$G65-17)*(INDEX(Decrements!$D$6:$D$58,Census!$G65+K$5-18)+IF(K$5=$B65,INDEX(Decrements!$F$6:$F$58,Census!$G65+K$5-18),0)+INDEX(Decrements!$E$6:$E$58,Census!$G65+K$5-18)*IF((Census!$F65+K$5)&gt;=Assumptions!$B$11,1,0))*MIN(15/26*Census!$D65*(1+Assumptions!$B$9)^K$5*(INT((Census!$F65+K$5))+IF((Census!$F65+K$5)-INT((Census!$F65+K$5))&gt;0.5,1,0)),Assumptions!$B$10))</f>
        <v>20225.345849146946</v>
      </c>
      <c r="L65" s="30">
        <f>IF(L$5&gt;$B65,0,INDEX(Decrements!$G$6:$G$58,Census!$G65+L$5-18)/INDEX(Decrements!$G$6:$G$58,Census!$G65-17)*(INDEX(Decrements!$D$6:$D$58,Census!$G65+L$5-18)+IF(L$5=$B65,INDEX(Decrements!$F$6:$F$58,Census!$G65+L$5-18),0)+INDEX(Decrements!$E$6:$E$58,Census!$G65+L$5-18)*IF((Census!$F65+L$5)&gt;=Assumptions!$B$11,1,0))*MIN(15/26*Census!$D65*(1+Assumptions!$B$9)^L$5*(INT((Census!$F65+L$5))+IF((Census!$F65+L$5)-INT((Census!$F65+L$5))&gt;0.5,1,0)),Assumptions!$B$10))</f>
        <v>22058.795688687369</v>
      </c>
      <c r="M65" s="30">
        <f>IF(M$5&gt;$B65,0,INDEX(Decrements!$G$6:$G$58,Census!$G65+M$5-18)/INDEX(Decrements!$G$6:$G$58,Census!$G65-17)*(INDEX(Decrements!$D$6:$D$58,Census!$G65+M$5-18)+IF(M$5=$B65,INDEX(Decrements!$F$6:$F$58,Census!$G65+M$5-18),0)+INDEX(Decrements!$E$6:$E$58,Census!$G65+M$5-18)*IF((Census!$F65+M$5)&gt;=Assumptions!$B$11,1,0))*MIN(15/26*Census!$D65*(1+Assumptions!$B$9)^M$5*(INT((Census!$F65+M$5))+IF((Census!$F65+M$5)-INT((Census!$F65+M$5))&gt;0.5,1,0)),Assumptions!$B$10))</f>
        <v>23977.210215020536</v>
      </c>
      <c r="N65" s="30">
        <f>IF(N$5&gt;$B65,0,INDEX(Decrements!$G$6:$G$58,Census!$G65+N$5-18)/INDEX(Decrements!$G$6:$G$58,Census!$G65-17)*(INDEX(Decrements!$D$6:$D$58,Census!$G65+N$5-18)+IF(N$5=$B65,INDEX(Decrements!$F$6:$F$58,Census!$G65+N$5-18),0)+INDEX(Decrements!$E$6:$E$58,Census!$G65+N$5-18)*IF((Census!$F65+N$5)&gt;=Assumptions!$B$11,1,0))*MIN(15/26*Census!$D65*(1+Assumptions!$B$9)^N$5*(INT((Census!$F65+N$5))+IF((Census!$F65+N$5)-INT((Census!$F65+N$5))&gt;0.5,1,0)),Assumptions!$B$10))</f>
        <v>25984.395456445636</v>
      </c>
      <c r="O65" s="30">
        <f>IF(O$5&gt;$B65,0,INDEX(Decrements!$G$6:$G$58,Census!$G65+O$5-18)/INDEX(Decrements!$G$6:$G$58,Census!$G65-17)*(INDEX(Decrements!$D$6:$D$58,Census!$G65+O$5-18)+IF(O$5=$B65,INDEX(Decrements!$F$6:$F$58,Census!$G65+O$5-18),0)+INDEX(Decrements!$E$6:$E$58,Census!$G65+O$5-18)*IF((Census!$F65+O$5)&gt;=Assumptions!$B$11,1,0))*MIN(15/26*Census!$D65*(1+Assumptions!$B$9)^O$5*(INT((Census!$F65+O$5))+IF((Census!$F65+O$5)-INT((Census!$F65+O$5))&gt;0.5,1,0)),Assumptions!$B$10))</f>
        <v>17268.432546506629</v>
      </c>
      <c r="P65" s="30">
        <f>IF(P$5&gt;$B65,0,INDEX(Decrements!$G$6:$G$58,Census!$G65+P$5-18)/INDEX(Decrements!$G$6:$G$58,Census!$G65-17)*(INDEX(Decrements!$D$6:$D$58,Census!$G65+P$5-18)+IF(P$5=$B65,INDEX(Decrements!$F$6:$F$58,Census!$G65+P$5-18),0)+INDEX(Decrements!$E$6:$E$58,Census!$G65+P$5-18)*IF((Census!$F65+P$5)&gt;=Assumptions!$B$11,1,0))*MIN(15/26*Census!$D65*(1+Assumptions!$B$9)^P$5*(INT((Census!$F65+P$5))+IF((Census!$F65+P$5)-INT((Census!$F65+P$5))&gt;0.5,1,0)),Assumptions!$B$10))</f>
        <v>19046.395145798997</v>
      </c>
      <c r="Q65" s="30">
        <f>IF(Q$5&gt;$B65,0,INDEX(Decrements!$G$6:$G$58,Census!$G65+Q$5-18)/INDEX(Decrements!$G$6:$G$58,Census!$G65-17)*(INDEX(Decrements!$D$6:$D$58,Census!$G65+Q$5-18)+IF(Q$5=$B65,INDEX(Decrements!$F$6:$F$58,Census!$G65+Q$5-18),0)+INDEX(Decrements!$E$6:$E$58,Census!$G65+Q$5-18)*IF((Census!$F65+Q$5)&gt;=Assumptions!$B$11,1,0))*MIN(15/26*Census!$D65*(1+Assumptions!$B$9)^Q$5*(INT((Census!$F65+Q$5))+IF((Census!$F65+Q$5)-INT((Census!$F65+Q$5))&gt;0.5,1,0)),Assumptions!$B$10))</f>
        <v>20965.757174133709</v>
      </c>
      <c r="R65" s="30">
        <f>IF(R$5&gt;$B65,0,INDEX(Decrements!$G$6:$G$58,Census!$G65+R$5-18)/INDEX(Decrements!$G$6:$G$58,Census!$G65-17)*(INDEX(Decrements!$D$6:$D$58,Census!$G65+R$5-18)+IF(R$5=$B65,INDEX(Decrements!$F$6:$F$58,Census!$G65+R$5-18),0)+INDEX(Decrements!$E$6:$E$58,Census!$G65+R$5-18)*IF((Census!$F65+R$5)&gt;=Assumptions!$B$11,1,0))*MIN(15/26*Census!$D65*(1+Assumptions!$B$9)^R$5*(INT((Census!$F65+R$5))+IF((Census!$F65+R$5)-INT((Census!$F65+R$5))&gt;0.5,1,0)),Assumptions!$B$10))</f>
        <v>23037.962998624658</v>
      </c>
      <c r="S65" s="30">
        <f>IF(S$5&gt;$B65,0,INDEX(Decrements!$G$6:$G$58,Census!$G65+S$5-18)/INDEX(Decrements!$G$6:$G$58,Census!$G65-17)*(INDEX(Decrements!$D$6:$D$58,Census!$G65+S$5-18)+IF(S$5=$B65,INDEX(Decrements!$F$6:$F$58,Census!$G65+S$5-18),0)+INDEX(Decrements!$E$6:$E$58,Census!$G65+S$5-18)*IF((Census!$F65+S$5)&gt;=Assumptions!$B$11,1,0))*MIN(15/26*Census!$D65*(1+Assumptions!$B$9)^S$5*(INT((Census!$F65+S$5))+IF((Census!$F65+S$5)-INT((Census!$F65+S$5))&gt;0.5,1,0)),Assumptions!$B$10))</f>
        <v>22735.678045222099</v>
      </c>
      <c r="T65" s="30">
        <f>IF(T$5&gt;$B65,0,INDEX(Decrements!$G$6:$G$58,Census!$G65+T$5-18)/INDEX(Decrements!$G$6:$G$58,Census!$G65-17)*(INDEX(Decrements!$D$6:$D$58,Census!$G65+T$5-18)+IF(T$5=$B65,INDEX(Decrements!$F$6:$F$58,Census!$G65+T$5-18),0)+INDEX(Decrements!$E$6:$E$58,Census!$G65+T$5-18)*IF((Census!$F65+T$5)&gt;=Assumptions!$B$11,1,0))*MIN(15/26*Census!$D65*(1+Assumptions!$B$9)^T$5*(INT((Census!$F65+T$5))+IF((Census!$F65+T$5)-INT((Census!$F65+T$5))&gt;0.5,1,0)),Assumptions!$B$10))</f>
        <v>15405.123800680494</v>
      </c>
      <c r="U65" s="30">
        <f>IF(U$5&gt;$B65,0,INDEX(Decrements!$G$6:$G$58,Census!$G65+U$5-18)/INDEX(Decrements!$G$6:$G$58,Census!$G65-17)*(INDEX(Decrements!$D$6:$D$58,Census!$G65+U$5-18)+IF(U$5=$B65,INDEX(Decrements!$F$6:$F$58,Census!$G65+U$5-18),0)+INDEX(Decrements!$E$6:$E$58,Census!$G65+U$5-18)*IF((Census!$F65+U$5)&gt;=Assumptions!$B$11,1,0))*MIN(15/26*Census!$D65*(1+Assumptions!$B$9)^U$5*(INT((Census!$F65+U$5))+IF((Census!$F65+U$5)-INT((Census!$F65+U$5))&gt;0.5,1,0)),Assumptions!$B$10))</f>
        <v>15212.756555086184</v>
      </c>
      <c r="V65" s="30">
        <f>IF(V$5&gt;$B65,0,INDEX(Decrements!$G$6:$G$58,Census!$G65+V$5-18)/INDEX(Decrements!$G$6:$G$58,Census!$G65-17)*(INDEX(Decrements!$D$6:$D$58,Census!$G65+V$5-18)+IF(V$5=$B65,INDEX(Decrements!$F$6:$F$58,Census!$G65+V$5-18),0)+INDEX(Decrements!$E$6:$E$58,Census!$G65+V$5-18)*IF((Census!$F65+V$5)&gt;=Assumptions!$B$11,1,0))*MIN(15/26*Census!$D65*(1+Assumptions!$B$9)^V$5*(INT((Census!$F65+V$5))+IF((Census!$F65+V$5)-INT((Census!$F65+V$5))&gt;0.5,1,0)),Assumptions!$B$10))</f>
        <v>15032.932451691437</v>
      </c>
      <c r="W65" s="30">
        <f>IF(W$5&gt;$B65,0,INDEX(Decrements!$G$6:$G$58,Census!$G65+W$5-18)/INDEX(Decrements!$G$6:$G$58,Census!$G65-17)*(INDEX(Decrements!$D$6:$D$58,Census!$G65+W$5-18)+IF(W$5=$B65,INDEX(Decrements!$F$6:$F$58,Census!$G65+W$5-18),0)+INDEX(Decrements!$E$6:$E$58,Census!$G65+W$5-18)*IF((Census!$F65+W$5)&gt;=Assumptions!$B$11,1,0))*MIN(15/26*Census!$D65*(1+Assumptions!$B$9)^W$5*(INT((Census!$F65+W$5))+IF((Census!$F65+W$5)-INT((Census!$F65+W$5))&gt;0.5,1,0)),Assumptions!$B$10))</f>
        <v>14865.915799244571</v>
      </c>
      <c r="X65" s="30">
        <f>IF(X$5&gt;$B65,0,INDEX(Decrements!$G$6:$G$58,Census!$G65+X$5-18)/INDEX(Decrements!$G$6:$G$58,Census!$G65-17)*(INDEX(Decrements!$D$6:$D$58,Census!$G65+X$5-18)+IF(X$5=$B65,INDEX(Decrements!$F$6:$F$58,Census!$G65+X$5-18),0)+INDEX(Decrements!$E$6:$E$58,Census!$G65+X$5-18)*IF((Census!$F65+X$5)&gt;=Assumptions!$B$11,1,0))*MIN(15/26*Census!$D65*(1+Assumptions!$B$9)^X$5*(INT((Census!$F65+X$5))+IF((Census!$F65+X$5)-INT((Census!$F65+X$5))&gt;0.5,1,0)),Assumptions!$B$10))</f>
        <v>14711.979628656447</v>
      </c>
      <c r="Y65" s="30">
        <f>IF(Y$5&gt;$B65,0,INDEX(Decrements!$G$6:$G$58,Census!$G65+Y$5-18)/INDEX(Decrements!$G$6:$G$58,Census!$G65-17)*(INDEX(Decrements!$D$6:$D$58,Census!$G65+Y$5-18)+IF(Y$5=$B65,INDEX(Decrements!$F$6:$F$58,Census!$G65+Y$5-18),0)+INDEX(Decrements!$E$6:$E$58,Census!$G65+Y$5-18)*IF((Census!$F65+Y$5)&gt;=Assumptions!$B$11,1,0))*MIN(15/26*Census!$D65*(1+Assumptions!$B$9)^Y$5*(INT((Census!$F65+Y$5))+IF((Census!$F65+Y$5)-INT((Census!$F65+Y$5))&gt;0.5,1,0)),Assumptions!$B$10))</f>
        <v>8593.8298545053258</v>
      </c>
      <c r="Z65" s="30">
        <f>IF(Z$5&gt;$B65,0,INDEX(Decrements!$G$6:$G$58,Census!$G65+Z$5-18)/INDEX(Decrements!$G$6:$G$58,Census!$G65-17)*(INDEX(Decrements!$D$6:$D$58,Census!$G65+Z$5-18)+IF(Z$5=$B65,INDEX(Decrements!$F$6:$F$58,Census!$G65+Z$5-18),0)+INDEX(Decrements!$E$6:$E$58,Census!$G65+Z$5-18)*IF((Census!$F65+Z$5)&gt;=Assumptions!$B$11,1,0))*MIN(15/26*Census!$D65*(1+Assumptions!$B$9)^Z$5*(INT((Census!$F65+Z$5))+IF((Census!$F65+Z$5)-INT((Census!$F65+Z$5))&gt;0.5,1,0)),Assumptions!$B$10))</f>
        <v>8702.1832487367501</v>
      </c>
      <c r="AA65" s="30">
        <f>IF(AA$5&gt;$B65,0,INDEX(Decrements!$G$6:$G$58,Census!$G65+AA$5-18)/INDEX(Decrements!$G$6:$G$58,Census!$G65-17)*(INDEX(Decrements!$D$6:$D$58,Census!$G65+AA$5-18)+IF(AA$5=$B65,INDEX(Decrements!$F$6:$F$58,Census!$G65+AA$5-18),0)+INDEX(Decrements!$E$6:$E$58,Census!$G65+AA$5-18)*IF((Census!$F65+AA$5)&gt;=Assumptions!$B$11,1,0))*MIN(15/26*Census!$D65*(1+Assumptions!$B$9)^AA$5*(INT((Census!$F65+AA$5))+IF((Census!$F65+AA$5)-INT((Census!$F65+AA$5))&gt;0.5,1,0)),Assumptions!$B$10))</f>
        <v>8824.8731192577143</v>
      </c>
      <c r="AB65" s="30">
        <f>IF(AB$5&gt;$B65,0,INDEX(Decrements!$G$6:$G$58,Census!$G65+AB$5-18)/INDEX(Decrements!$G$6:$G$58,Census!$G65-17)*(INDEX(Decrements!$D$6:$D$58,Census!$G65+AB$5-18)+IF(AB$5=$B65,INDEX(Decrements!$F$6:$F$58,Census!$G65+AB$5-18),0)+INDEX(Decrements!$E$6:$E$58,Census!$G65+AB$5-18)*IF((Census!$F65+AB$5)&gt;=Assumptions!$B$11,1,0))*MIN(15/26*Census!$D65*(1+Assumptions!$B$9)^AB$5*(INT((Census!$F65+AB$5))+IF((Census!$F65+AB$5)-INT((Census!$F65+AB$5))&gt;0.5,1,0)),Assumptions!$B$10))</f>
        <v>8962.7333297399946</v>
      </c>
      <c r="AC65" s="30">
        <f>IF(AC$5&gt;$B65,0,INDEX(Decrements!$G$6:$G$58,Census!$G65+AC$5-18)/INDEX(Decrements!$G$6:$G$58,Census!$G65-17)*(INDEX(Decrements!$D$6:$D$58,Census!$G65+AC$5-18)+IF(AC$5=$B65,INDEX(Decrements!$F$6:$F$58,Census!$G65+AC$5-18),0)+INDEX(Decrements!$E$6:$E$58,Census!$G65+AC$5-18)*IF((Census!$F65+AC$5)&gt;=Assumptions!$B$11,1,0))*MIN(15/26*Census!$D65*(1+Assumptions!$B$9)^AC$5*(INT((Census!$F65+AC$5))+IF((Census!$F65+AC$5)-INT((Census!$F65+AC$5))&gt;0.5,1,0)),Assumptions!$B$10))</f>
        <v>565289.86612470855</v>
      </c>
      <c r="AD65" s="30">
        <f>IF(AD$5&gt;$B65,0,INDEX(Decrements!$G$6:$G$58,Census!$G65+AD$5-18)/INDEX(Decrements!$G$6:$G$58,Census!$G65-17)*(INDEX(Decrements!$D$6:$D$58,Census!$G65+AD$5-18)+IF(AD$5=$B65,INDEX(Decrements!$F$6:$F$58,Census!$G65+AD$5-18),0)+INDEX(Decrements!$E$6:$E$58,Census!$G65+AD$5-18)*IF((Census!$F65+AD$5)&gt;=Assumptions!$B$11,1,0))*MIN(15/26*Census!$D65*(1+Assumptions!$B$9)^AD$5*(INT((Census!$F65+AD$5))+IF((Census!$F65+AD$5)-INT((Census!$F65+AD$5))&gt;0.5,1,0)),Assumptions!$B$10))</f>
        <v>0</v>
      </c>
      <c r="AE65" s="30">
        <f>IF(AE$5&gt;$B65,0,INDEX(Decrements!$G$6:$G$58,Census!$G65+AE$5-18)/INDEX(Decrements!$G$6:$G$58,Census!$G65-17)*(INDEX(Decrements!$D$6:$D$58,Census!$G65+AE$5-18)+IF(AE$5=$B65,INDEX(Decrements!$F$6:$F$58,Census!$G65+AE$5-18),0)+INDEX(Decrements!$E$6:$E$58,Census!$G65+AE$5-18)*IF((Census!$F65+AE$5)&gt;=Assumptions!$B$11,1,0))*MIN(15/26*Census!$D65*(1+Assumptions!$B$9)^AE$5*(INT((Census!$F65+AE$5))+IF((Census!$F65+AE$5)-INT((Census!$F65+AE$5))&gt;0.5,1,0)),Assumptions!$B$10))</f>
        <v>0</v>
      </c>
      <c r="AF65" s="30">
        <f>IF(AF$5&gt;$B65,0,INDEX(Decrements!$G$6:$G$58,Census!$G65+AF$5-18)/INDEX(Decrements!$G$6:$G$58,Census!$G65-17)*(INDEX(Decrements!$D$6:$D$58,Census!$G65+AF$5-18)+IF(AF$5=$B65,INDEX(Decrements!$F$6:$F$58,Census!$G65+AF$5-18),0)+INDEX(Decrements!$E$6:$E$58,Census!$G65+AF$5-18)*IF((Census!$F65+AF$5)&gt;=Assumptions!$B$11,1,0))*MIN(15/26*Census!$D65*(1+Assumptions!$B$9)^AF$5*(INT((Census!$F65+AF$5))+IF((Census!$F65+AF$5)-INT((Census!$F65+AF$5))&gt;0.5,1,0)),Assumptions!$B$10))</f>
        <v>0</v>
      </c>
      <c r="AG65" s="30">
        <f>IF(AG$5&gt;$B65,0,INDEX(Decrements!$G$6:$G$58,Census!$G65+AG$5-18)/INDEX(Decrements!$G$6:$G$58,Census!$G65-17)*(INDEX(Decrements!$D$6:$D$58,Census!$G65+AG$5-18)+IF(AG$5=$B65,INDEX(Decrements!$F$6:$F$58,Census!$G65+AG$5-18),0)+INDEX(Decrements!$E$6:$E$58,Census!$G65+AG$5-18)*IF((Census!$F65+AG$5)&gt;=Assumptions!$B$11,1,0))*MIN(15/26*Census!$D65*(1+Assumptions!$B$9)^AG$5*(INT((Census!$F65+AG$5))+IF((Census!$F65+AG$5)-INT((Census!$F65+AG$5))&gt;0.5,1,0)),Assumptions!$B$10))</f>
        <v>0</v>
      </c>
      <c r="AH65" s="30">
        <f>IF(AH$5&gt;$B65,0,INDEX(Decrements!$G$6:$G$58,Census!$G65+AH$5-18)/INDEX(Decrements!$G$6:$G$58,Census!$G65-17)*(INDEX(Decrements!$D$6:$D$58,Census!$G65+AH$5-18)+IF(AH$5=$B65,INDEX(Decrements!$F$6:$F$58,Census!$G65+AH$5-18),0)+INDEX(Decrements!$E$6:$E$58,Census!$G65+AH$5-18)*IF((Census!$F65+AH$5)&gt;=Assumptions!$B$11,1,0))*MIN(15/26*Census!$D65*(1+Assumptions!$B$9)^AH$5*(INT((Census!$F65+AH$5))+IF((Census!$F65+AH$5)-INT((Census!$F65+AH$5))&gt;0.5,1,0)),Assumptions!$B$10))</f>
        <v>0</v>
      </c>
      <c r="AI65" s="30">
        <f>IF(AI$5&gt;$B65,0,INDEX(Decrements!$G$6:$G$58,Census!$G65+AI$5-18)/INDEX(Decrements!$G$6:$G$58,Census!$G65-17)*(INDEX(Decrements!$D$6:$D$58,Census!$G65+AI$5-18)+IF(AI$5=$B65,INDEX(Decrements!$F$6:$F$58,Census!$G65+AI$5-18),0)+INDEX(Decrements!$E$6:$E$58,Census!$G65+AI$5-18)*IF((Census!$F65+AI$5)&gt;=Assumptions!$B$11,1,0))*MIN(15/26*Census!$D65*(1+Assumptions!$B$9)^AI$5*(INT((Census!$F65+AI$5))+IF((Census!$F65+AI$5)-INT((Census!$F65+AI$5))&gt;0.5,1,0)),Assumptions!$B$10))</f>
        <v>0</v>
      </c>
      <c r="AJ65" s="30">
        <f>IF(AJ$5&gt;$B65,0,INDEX(Decrements!$G$6:$G$58,Census!$G65+AJ$5-18)/INDEX(Decrements!$G$6:$G$58,Census!$G65-17)*(INDEX(Decrements!$D$6:$D$58,Census!$G65+AJ$5-18)+IF(AJ$5=$B65,INDEX(Decrements!$F$6:$F$58,Census!$G65+AJ$5-18),0)+INDEX(Decrements!$E$6:$E$58,Census!$G65+AJ$5-18)*IF((Census!$F65+AJ$5)&gt;=Assumptions!$B$11,1,0))*MIN(15/26*Census!$D65*(1+Assumptions!$B$9)^AJ$5*(INT((Census!$F65+AJ$5))+IF((Census!$F65+AJ$5)-INT((Census!$F65+AJ$5))&gt;0.5,1,0)),Assumptions!$B$10))</f>
        <v>0</v>
      </c>
      <c r="AK65" s="30">
        <f>IF(AK$5&gt;$B65,0,INDEX(Decrements!$G$6:$G$58,Census!$G65+AK$5-18)/INDEX(Decrements!$G$6:$G$58,Census!$G65-17)*(INDEX(Decrements!$D$6:$D$58,Census!$G65+AK$5-18)+IF(AK$5=$B65,INDEX(Decrements!$F$6:$F$58,Census!$G65+AK$5-18),0)+INDEX(Decrements!$E$6:$E$58,Census!$G65+AK$5-18)*IF((Census!$F65+AK$5)&gt;=Assumptions!$B$11,1,0))*MIN(15/26*Census!$D65*(1+Assumptions!$B$9)^AK$5*(INT((Census!$F65+AK$5))+IF((Census!$F65+AK$5)-INT((Census!$F65+AK$5))&gt;0.5,1,0)),Assumptions!$B$10))</f>
        <v>0</v>
      </c>
      <c r="AL65" s="30">
        <f>IF(AL$5&gt;$B65,0,INDEX(Decrements!$G$6:$G$58,Census!$G65+AL$5-18)/INDEX(Decrements!$G$6:$G$58,Census!$G65-17)*(INDEX(Decrements!$D$6:$D$58,Census!$G65+AL$5-18)+IF(AL$5=$B65,INDEX(Decrements!$F$6:$F$58,Census!$G65+AL$5-18),0)+INDEX(Decrements!$E$6:$E$58,Census!$G65+AL$5-18)*IF((Census!$F65+AL$5)&gt;=Assumptions!$B$11,1,0))*MIN(15/26*Census!$D65*(1+Assumptions!$B$9)^AL$5*(INT((Census!$F65+AL$5))+IF((Census!$F65+AL$5)-INT((Census!$F65+AL$5))&gt;0.5,1,0)),Assumptions!$B$10))</f>
        <v>0</v>
      </c>
      <c r="AM65" s="30">
        <f>IF(AM$5&gt;$B65,0,INDEX(Decrements!$G$6:$G$58,Census!$G65+AM$5-18)/INDEX(Decrements!$G$6:$G$58,Census!$G65-17)*(INDEX(Decrements!$D$6:$D$58,Census!$G65+AM$5-18)+IF(AM$5=$B65,INDEX(Decrements!$F$6:$F$58,Census!$G65+AM$5-18),0)+INDEX(Decrements!$E$6:$E$58,Census!$G65+AM$5-18)*IF((Census!$F65+AM$5)&gt;=Assumptions!$B$11,1,0))*MIN(15/26*Census!$D65*(1+Assumptions!$B$9)^AM$5*(INT((Census!$F65+AM$5))+IF((Census!$F65+AM$5)-INT((Census!$F65+AM$5))&gt;0.5,1,0)),Assumptions!$B$10))</f>
        <v>0</v>
      </c>
      <c r="AN65" s="30">
        <f>IF(AN$5&gt;$B65,0,INDEX(Decrements!$G$6:$G$58,Census!$G65+AN$5-18)/INDEX(Decrements!$G$6:$G$58,Census!$G65-17)*(INDEX(Decrements!$D$6:$D$58,Census!$G65+AN$5-18)+IF(AN$5=$B65,INDEX(Decrements!$F$6:$F$58,Census!$G65+AN$5-18),0)+INDEX(Decrements!$E$6:$E$58,Census!$G65+AN$5-18)*IF((Census!$F65+AN$5)&gt;=Assumptions!$B$11,1,0))*MIN(15/26*Census!$D65*(1+Assumptions!$B$9)^AN$5*(INT((Census!$F65+AN$5))+IF((Census!$F65+AN$5)-INT((Census!$F65+AN$5))&gt;0.5,1,0)),Assumptions!$B$10))</f>
        <v>0</v>
      </c>
      <c r="AO65" s="30">
        <f>IF(AO$5&gt;$B65,0,INDEX(Decrements!$G$6:$G$58,Census!$G65+AO$5-18)/INDEX(Decrements!$G$6:$G$58,Census!$G65-17)*(INDEX(Decrements!$D$6:$D$58,Census!$G65+AO$5-18)+IF(AO$5=$B65,INDEX(Decrements!$F$6:$F$58,Census!$G65+AO$5-18),0)+INDEX(Decrements!$E$6:$E$58,Census!$G65+AO$5-18)*IF((Census!$F65+AO$5)&gt;=Assumptions!$B$11,1,0))*MIN(15/26*Census!$D65*(1+Assumptions!$B$9)^AO$5*(INT((Census!$F65+AO$5))+IF((Census!$F65+AO$5)-INT((Census!$F65+AO$5))&gt;0.5,1,0)),Assumptions!$B$10))</f>
        <v>0</v>
      </c>
      <c r="AP65" s="30">
        <f>IF(AP$5&gt;$B65,0,INDEX(Decrements!$G$6:$G$58,Census!$G65+AP$5-18)/INDEX(Decrements!$G$6:$G$58,Census!$G65-17)*(INDEX(Decrements!$D$6:$D$58,Census!$G65+AP$5-18)+IF(AP$5=$B65,INDEX(Decrements!$F$6:$F$58,Census!$G65+AP$5-18),0)+INDEX(Decrements!$E$6:$E$58,Census!$G65+AP$5-18)*IF((Census!$F65+AP$5)&gt;=Assumptions!$B$11,1,0))*MIN(15/26*Census!$D65*(1+Assumptions!$B$9)^AP$5*(INT((Census!$F65+AP$5))+IF((Census!$F65+AP$5)-INT((Census!$F65+AP$5))&gt;0.5,1,0)),Assumptions!$B$10))</f>
        <v>0</v>
      </c>
      <c r="AQ65" s="30">
        <f>IF(AQ$5&gt;$B65,0,INDEX(Decrements!$G$6:$G$58,Census!$G65+AQ$5-18)/INDEX(Decrements!$G$6:$G$58,Census!$G65-17)*(INDEX(Decrements!$D$6:$D$58,Census!$G65+AQ$5-18)+IF(AQ$5=$B65,INDEX(Decrements!$F$6:$F$58,Census!$G65+AQ$5-18),0)+INDEX(Decrements!$E$6:$E$58,Census!$G65+AQ$5-18)*IF((Census!$F65+AQ$5)&gt;=Assumptions!$B$11,1,0))*MIN(15/26*Census!$D65*(1+Assumptions!$B$9)^AQ$5*(INT((Census!$F65+AQ$5))+IF((Census!$F65+AQ$5)-INT((Census!$F65+AQ$5))&gt;0.5,1,0)),Assumptions!$B$10))</f>
        <v>0</v>
      </c>
      <c r="AR65" s="30">
        <f>IF(AR$5&gt;$B65,0,INDEX(Decrements!$G$6:$G$58,Census!$G65+AR$5-18)/INDEX(Decrements!$G$6:$G$58,Census!$G65-17)*(INDEX(Decrements!$D$6:$D$58,Census!$G65+AR$5-18)+IF(AR$5=$B65,INDEX(Decrements!$F$6:$F$58,Census!$G65+AR$5-18),0)+INDEX(Decrements!$E$6:$E$58,Census!$G65+AR$5-18)*IF((Census!$F65+AR$5)&gt;=Assumptions!$B$11,1,0))*MIN(15/26*Census!$D65*(1+Assumptions!$B$9)^AR$5*(INT((Census!$F65+AR$5))+IF((Census!$F65+AR$5)-INT((Census!$F65+AR$5))&gt;0.5,1,0)),Assumptions!$B$10))</f>
        <v>0</v>
      </c>
      <c r="AS65" s="30">
        <f>IF(AS$5&gt;$B65,0,INDEX(Decrements!$G$6:$G$58,Census!$G65+AS$5-18)/INDEX(Decrements!$G$6:$G$58,Census!$G65-17)*(INDEX(Decrements!$D$6:$D$58,Census!$G65+AS$5-18)+IF(AS$5=$B65,INDEX(Decrements!$F$6:$F$58,Census!$G65+AS$5-18),0)+INDEX(Decrements!$E$6:$E$58,Census!$G65+AS$5-18)*IF((Census!$F65+AS$5)&gt;=Assumptions!$B$11,1,0))*MIN(15/26*Census!$D65*(1+Assumptions!$B$9)^AS$5*(INT((Census!$F65+AS$5))+IF((Census!$F65+AS$5)-INT((Census!$F65+AS$5))&gt;0.5,1,0)),Assumptions!$B$10))</f>
        <v>0</v>
      </c>
      <c r="AT65" s="30">
        <f>IF(AT$5&gt;$B65,0,INDEX(Decrements!$G$6:$G$58,Census!$G65+AT$5-18)/INDEX(Decrements!$G$6:$G$58,Census!$G65-17)*(INDEX(Decrements!$D$6:$D$58,Census!$G65+AT$5-18)+IF(AT$5=$B65,INDEX(Decrements!$F$6:$F$58,Census!$G65+AT$5-18),0)+INDEX(Decrements!$E$6:$E$58,Census!$G65+AT$5-18)*IF((Census!$F65+AT$5)&gt;=Assumptions!$B$11,1,0))*MIN(15/26*Census!$D65*(1+Assumptions!$B$9)^AT$5*(INT((Census!$F65+AT$5))+IF((Census!$F65+AT$5)-INT((Census!$F65+AT$5))&gt;0.5,1,0)),Assumptions!$B$10))</f>
        <v>0</v>
      </c>
      <c r="AU65" s="30">
        <f>IF(AU$5&gt;$B65,0,INDEX(Decrements!$G$6:$G$58,Census!$G65+AU$5-18)/INDEX(Decrements!$G$6:$G$58,Census!$G65-17)*(INDEX(Decrements!$D$6:$D$58,Census!$G65+AU$5-18)+IF(AU$5=$B65,INDEX(Decrements!$F$6:$F$58,Census!$G65+AU$5-18),0)+INDEX(Decrements!$E$6:$E$58,Census!$G65+AU$5-18)*IF((Census!$F65+AU$5)&gt;=Assumptions!$B$11,1,0))*MIN(15/26*Census!$D65*(1+Assumptions!$B$9)^AU$5*(INT((Census!$F65+AU$5))+IF((Census!$F65+AU$5)-INT((Census!$F65+AU$5))&gt;0.5,1,0)),Assumptions!$B$10))</f>
        <v>0</v>
      </c>
    </row>
    <row r="66" spans="1:47" x14ac:dyDescent="0.3">
      <c r="A66" s="10" t="str">
        <f>Census!A66</f>
        <v>E061</v>
      </c>
      <c r="B66" s="29">
        <f>Census!H66</f>
        <v>5</v>
      </c>
      <c r="C66" s="30">
        <f>IF(C$5&gt;$B66,0,INDEX(Decrements!$G$6:$G$58,Census!$G66+C$5-18)/INDEX(Decrements!$G$6:$G$58,Census!$G66-17)*(INDEX(Decrements!$D$6:$D$58,Census!$G66+C$5-18)+IF(C$5=$B66,INDEX(Decrements!$F$6:$F$58,Census!$G66+C$5-18),0)+INDEX(Decrements!$E$6:$E$58,Census!$G66+C$5-18)*IF((Census!$F66+C$5)&gt;=Assumptions!$B$11,1,0))*MIN(15/26*Census!$D66*(1+Assumptions!$B$9)^C$5*(INT((Census!$F66+C$5))+IF((Census!$F66+C$5)-INT((Census!$F66+C$5))&gt;0.5,1,0)),Assumptions!$B$10))</f>
        <v>28628.279094688511</v>
      </c>
      <c r="D66" s="30">
        <f>IF(D$5&gt;$B66,0,INDEX(Decrements!$G$6:$G$58,Census!$G66+D$5-18)/INDEX(Decrements!$G$6:$G$58,Census!$G66-17)*(INDEX(Decrements!$D$6:$D$58,Census!$G66+D$5-18)+IF(D$5=$B66,INDEX(Decrements!$F$6:$F$58,Census!$G66+D$5-18),0)+INDEX(Decrements!$E$6:$E$58,Census!$G66+D$5-18)*IF((Census!$F66+D$5)&gt;=Assumptions!$B$11,1,0))*MIN(15/26*Census!$D66*(1+Assumptions!$B$9)^D$5*(INT((Census!$F66+D$5))+IF((Census!$F66+D$5)-INT((Census!$F66+D$5))&gt;0.5,1,0)),Assumptions!$B$10))</f>
        <v>28989.232390649773</v>
      </c>
      <c r="E66" s="30">
        <f>IF(E$5&gt;$B66,0,INDEX(Decrements!$G$6:$G$58,Census!$G66+E$5-18)/INDEX(Decrements!$G$6:$G$58,Census!$G66-17)*(INDEX(Decrements!$D$6:$D$58,Census!$G66+E$5-18)+IF(E$5=$B66,INDEX(Decrements!$F$6:$F$58,Census!$G66+E$5-18),0)+INDEX(Decrements!$E$6:$E$58,Census!$G66+E$5-18)*IF((Census!$F66+E$5)&gt;=Assumptions!$B$11,1,0))*MIN(15/26*Census!$D66*(1+Assumptions!$B$9)^E$5*(INT((Census!$F66+E$5))+IF((Census!$F66+E$5)-INT((Census!$F66+E$5))&gt;0.5,1,0)),Assumptions!$B$10))</f>
        <v>29397.9442123673</v>
      </c>
      <c r="F66" s="30">
        <f>IF(F$5&gt;$B66,0,INDEX(Decrements!$G$6:$G$58,Census!$G66+F$5-18)/INDEX(Decrements!$G$6:$G$58,Census!$G66-17)*(INDEX(Decrements!$D$6:$D$58,Census!$G66+F$5-18)+IF(F$5=$B66,INDEX(Decrements!$F$6:$F$58,Census!$G66+F$5-18),0)+INDEX(Decrements!$E$6:$E$58,Census!$G66+F$5-18)*IF((Census!$F66+F$5)&gt;=Assumptions!$B$11,1,0))*MIN(15/26*Census!$D66*(1+Assumptions!$B$9)^F$5*(INT((Census!$F66+F$5))+IF((Census!$F66+F$5)-INT((Census!$F66+F$5))&gt;0.5,1,0)),Assumptions!$B$10))</f>
        <v>29857.192376289251</v>
      </c>
      <c r="G66" s="30">
        <f>IF(G$5&gt;$B66,0,INDEX(Decrements!$G$6:$G$58,Census!$G66+G$5-18)/INDEX(Decrements!$G$6:$G$58,Census!$G66-17)*(INDEX(Decrements!$D$6:$D$58,Census!$G66+G$5-18)+IF(G$5=$B66,INDEX(Decrements!$F$6:$F$58,Census!$G66+G$5-18),0)+INDEX(Decrements!$E$6:$E$58,Census!$G66+G$5-18)*IF((Census!$F66+G$5)&gt;=Assumptions!$B$11,1,0))*MIN(15/26*Census!$D66*(1+Assumptions!$B$9)^G$5*(INT((Census!$F66+G$5))+IF((Census!$F66+G$5)-INT((Census!$F66+G$5))&gt;0.5,1,0)),Assumptions!$B$10))</f>
        <v>1883127.351926005</v>
      </c>
      <c r="H66" s="30">
        <f>IF(H$5&gt;$B66,0,INDEX(Decrements!$G$6:$G$58,Census!$G66+H$5-18)/INDEX(Decrements!$G$6:$G$58,Census!$G66-17)*(INDEX(Decrements!$D$6:$D$58,Census!$G66+H$5-18)+IF(H$5=$B66,INDEX(Decrements!$F$6:$F$58,Census!$G66+H$5-18),0)+INDEX(Decrements!$E$6:$E$58,Census!$G66+H$5-18)*IF((Census!$F66+H$5)&gt;=Assumptions!$B$11,1,0))*MIN(15/26*Census!$D66*(1+Assumptions!$B$9)^H$5*(INT((Census!$F66+H$5))+IF((Census!$F66+H$5)-INT((Census!$F66+H$5))&gt;0.5,1,0)),Assumptions!$B$10))</f>
        <v>0</v>
      </c>
      <c r="I66" s="30">
        <f>IF(I$5&gt;$B66,0,INDEX(Decrements!$G$6:$G$58,Census!$G66+I$5-18)/INDEX(Decrements!$G$6:$G$58,Census!$G66-17)*(INDEX(Decrements!$D$6:$D$58,Census!$G66+I$5-18)+IF(I$5=$B66,INDEX(Decrements!$F$6:$F$58,Census!$G66+I$5-18),0)+INDEX(Decrements!$E$6:$E$58,Census!$G66+I$5-18)*IF((Census!$F66+I$5)&gt;=Assumptions!$B$11,1,0))*MIN(15/26*Census!$D66*(1+Assumptions!$B$9)^I$5*(INT((Census!$F66+I$5))+IF((Census!$F66+I$5)-INT((Census!$F66+I$5))&gt;0.5,1,0)),Assumptions!$B$10))</f>
        <v>0</v>
      </c>
      <c r="J66" s="30">
        <f>IF(J$5&gt;$B66,0,INDEX(Decrements!$G$6:$G$58,Census!$G66+J$5-18)/INDEX(Decrements!$G$6:$G$58,Census!$G66-17)*(INDEX(Decrements!$D$6:$D$58,Census!$G66+J$5-18)+IF(J$5=$B66,INDEX(Decrements!$F$6:$F$58,Census!$G66+J$5-18),0)+INDEX(Decrements!$E$6:$E$58,Census!$G66+J$5-18)*IF((Census!$F66+J$5)&gt;=Assumptions!$B$11,1,0))*MIN(15/26*Census!$D66*(1+Assumptions!$B$9)^J$5*(INT((Census!$F66+J$5))+IF((Census!$F66+J$5)-INT((Census!$F66+J$5))&gt;0.5,1,0)),Assumptions!$B$10))</f>
        <v>0</v>
      </c>
      <c r="K66" s="30">
        <f>IF(K$5&gt;$B66,0,INDEX(Decrements!$G$6:$G$58,Census!$G66+K$5-18)/INDEX(Decrements!$G$6:$G$58,Census!$G66-17)*(INDEX(Decrements!$D$6:$D$58,Census!$G66+K$5-18)+IF(K$5=$B66,INDEX(Decrements!$F$6:$F$58,Census!$G66+K$5-18),0)+INDEX(Decrements!$E$6:$E$58,Census!$G66+K$5-18)*IF((Census!$F66+K$5)&gt;=Assumptions!$B$11,1,0))*MIN(15/26*Census!$D66*(1+Assumptions!$B$9)^K$5*(INT((Census!$F66+K$5))+IF((Census!$F66+K$5)-INT((Census!$F66+K$5))&gt;0.5,1,0)),Assumptions!$B$10))</f>
        <v>0</v>
      </c>
      <c r="L66" s="30">
        <f>IF(L$5&gt;$B66,0,INDEX(Decrements!$G$6:$G$58,Census!$G66+L$5-18)/INDEX(Decrements!$G$6:$G$58,Census!$G66-17)*(INDEX(Decrements!$D$6:$D$58,Census!$G66+L$5-18)+IF(L$5=$B66,INDEX(Decrements!$F$6:$F$58,Census!$G66+L$5-18),0)+INDEX(Decrements!$E$6:$E$58,Census!$G66+L$5-18)*IF((Census!$F66+L$5)&gt;=Assumptions!$B$11,1,0))*MIN(15/26*Census!$D66*(1+Assumptions!$B$9)^L$5*(INT((Census!$F66+L$5))+IF((Census!$F66+L$5)-INT((Census!$F66+L$5))&gt;0.5,1,0)),Assumptions!$B$10))</f>
        <v>0</v>
      </c>
      <c r="M66" s="30">
        <f>IF(M$5&gt;$B66,0,INDEX(Decrements!$G$6:$G$58,Census!$G66+M$5-18)/INDEX(Decrements!$G$6:$G$58,Census!$G66-17)*(INDEX(Decrements!$D$6:$D$58,Census!$G66+M$5-18)+IF(M$5=$B66,INDEX(Decrements!$F$6:$F$58,Census!$G66+M$5-18),0)+INDEX(Decrements!$E$6:$E$58,Census!$G66+M$5-18)*IF((Census!$F66+M$5)&gt;=Assumptions!$B$11,1,0))*MIN(15/26*Census!$D66*(1+Assumptions!$B$9)^M$5*(INT((Census!$F66+M$5))+IF((Census!$F66+M$5)-INT((Census!$F66+M$5))&gt;0.5,1,0)),Assumptions!$B$10))</f>
        <v>0</v>
      </c>
      <c r="N66" s="30">
        <f>IF(N$5&gt;$B66,0,INDEX(Decrements!$G$6:$G$58,Census!$G66+N$5-18)/INDEX(Decrements!$G$6:$G$58,Census!$G66-17)*(INDEX(Decrements!$D$6:$D$58,Census!$G66+N$5-18)+IF(N$5=$B66,INDEX(Decrements!$F$6:$F$58,Census!$G66+N$5-18),0)+INDEX(Decrements!$E$6:$E$58,Census!$G66+N$5-18)*IF((Census!$F66+N$5)&gt;=Assumptions!$B$11,1,0))*MIN(15/26*Census!$D66*(1+Assumptions!$B$9)^N$5*(INT((Census!$F66+N$5))+IF((Census!$F66+N$5)-INT((Census!$F66+N$5))&gt;0.5,1,0)),Assumptions!$B$10))</f>
        <v>0</v>
      </c>
      <c r="O66" s="30">
        <f>IF(O$5&gt;$B66,0,INDEX(Decrements!$G$6:$G$58,Census!$G66+O$5-18)/INDEX(Decrements!$G$6:$G$58,Census!$G66-17)*(INDEX(Decrements!$D$6:$D$58,Census!$G66+O$5-18)+IF(O$5=$B66,INDEX(Decrements!$F$6:$F$58,Census!$G66+O$5-18),0)+INDEX(Decrements!$E$6:$E$58,Census!$G66+O$5-18)*IF((Census!$F66+O$5)&gt;=Assumptions!$B$11,1,0))*MIN(15/26*Census!$D66*(1+Assumptions!$B$9)^O$5*(INT((Census!$F66+O$5))+IF((Census!$F66+O$5)-INT((Census!$F66+O$5))&gt;0.5,1,0)),Assumptions!$B$10))</f>
        <v>0</v>
      </c>
      <c r="P66" s="30">
        <f>IF(P$5&gt;$B66,0,INDEX(Decrements!$G$6:$G$58,Census!$G66+P$5-18)/INDEX(Decrements!$G$6:$G$58,Census!$G66-17)*(INDEX(Decrements!$D$6:$D$58,Census!$G66+P$5-18)+IF(P$5=$B66,INDEX(Decrements!$F$6:$F$58,Census!$G66+P$5-18),0)+INDEX(Decrements!$E$6:$E$58,Census!$G66+P$5-18)*IF((Census!$F66+P$5)&gt;=Assumptions!$B$11,1,0))*MIN(15/26*Census!$D66*(1+Assumptions!$B$9)^P$5*(INT((Census!$F66+P$5))+IF((Census!$F66+P$5)-INT((Census!$F66+P$5))&gt;0.5,1,0)),Assumptions!$B$10))</f>
        <v>0</v>
      </c>
      <c r="Q66" s="30">
        <f>IF(Q$5&gt;$B66,0,INDEX(Decrements!$G$6:$G$58,Census!$G66+Q$5-18)/INDEX(Decrements!$G$6:$G$58,Census!$G66-17)*(INDEX(Decrements!$D$6:$D$58,Census!$G66+Q$5-18)+IF(Q$5=$B66,INDEX(Decrements!$F$6:$F$58,Census!$G66+Q$5-18),0)+INDEX(Decrements!$E$6:$E$58,Census!$G66+Q$5-18)*IF((Census!$F66+Q$5)&gt;=Assumptions!$B$11,1,0))*MIN(15/26*Census!$D66*(1+Assumptions!$B$9)^Q$5*(INT((Census!$F66+Q$5))+IF((Census!$F66+Q$5)-INT((Census!$F66+Q$5))&gt;0.5,1,0)),Assumptions!$B$10))</f>
        <v>0</v>
      </c>
      <c r="R66" s="30">
        <f>IF(R$5&gt;$B66,0,INDEX(Decrements!$G$6:$G$58,Census!$G66+R$5-18)/INDEX(Decrements!$G$6:$G$58,Census!$G66-17)*(INDEX(Decrements!$D$6:$D$58,Census!$G66+R$5-18)+IF(R$5=$B66,INDEX(Decrements!$F$6:$F$58,Census!$G66+R$5-18),0)+INDEX(Decrements!$E$6:$E$58,Census!$G66+R$5-18)*IF((Census!$F66+R$5)&gt;=Assumptions!$B$11,1,0))*MIN(15/26*Census!$D66*(1+Assumptions!$B$9)^R$5*(INT((Census!$F66+R$5))+IF((Census!$F66+R$5)-INT((Census!$F66+R$5))&gt;0.5,1,0)),Assumptions!$B$10))</f>
        <v>0</v>
      </c>
      <c r="S66" s="30">
        <f>IF(S$5&gt;$B66,0,INDEX(Decrements!$G$6:$G$58,Census!$G66+S$5-18)/INDEX(Decrements!$G$6:$G$58,Census!$G66-17)*(INDEX(Decrements!$D$6:$D$58,Census!$G66+S$5-18)+IF(S$5=$B66,INDEX(Decrements!$F$6:$F$58,Census!$G66+S$5-18),0)+INDEX(Decrements!$E$6:$E$58,Census!$G66+S$5-18)*IF((Census!$F66+S$5)&gt;=Assumptions!$B$11,1,0))*MIN(15/26*Census!$D66*(1+Assumptions!$B$9)^S$5*(INT((Census!$F66+S$5))+IF((Census!$F66+S$5)-INT((Census!$F66+S$5))&gt;0.5,1,0)),Assumptions!$B$10))</f>
        <v>0</v>
      </c>
      <c r="T66" s="30">
        <f>IF(T$5&gt;$B66,0,INDEX(Decrements!$G$6:$G$58,Census!$G66+T$5-18)/INDEX(Decrements!$G$6:$G$58,Census!$G66-17)*(INDEX(Decrements!$D$6:$D$58,Census!$G66+T$5-18)+IF(T$5=$B66,INDEX(Decrements!$F$6:$F$58,Census!$G66+T$5-18),0)+INDEX(Decrements!$E$6:$E$58,Census!$G66+T$5-18)*IF((Census!$F66+T$5)&gt;=Assumptions!$B$11,1,0))*MIN(15/26*Census!$D66*(1+Assumptions!$B$9)^T$5*(INT((Census!$F66+T$5))+IF((Census!$F66+T$5)-INT((Census!$F66+T$5))&gt;0.5,1,0)),Assumptions!$B$10))</f>
        <v>0</v>
      </c>
      <c r="U66" s="30">
        <f>IF(U$5&gt;$B66,0,INDEX(Decrements!$G$6:$G$58,Census!$G66+U$5-18)/INDEX(Decrements!$G$6:$G$58,Census!$G66-17)*(INDEX(Decrements!$D$6:$D$58,Census!$G66+U$5-18)+IF(U$5=$B66,INDEX(Decrements!$F$6:$F$58,Census!$G66+U$5-18),0)+INDEX(Decrements!$E$6:$E$58,Census!$G66+U$5-18)*IF((Census!$F66+U$5)&gt;=Assumptions!$B$11,1,0))*MIN(15/26*Census!$D66*(1+Assumptions!$B$9)^U$5*(INT((Census!$F66+U$5))+IF((Census!$F66+U$5)-INT((Census!$F66+U$5))&gt;0.5,1,0)),Assumptions!$B$10))</f>
        <v>0</v>
      </c>
      <c r="V66" s="30">
        <f>IF(V$5&gt;$B66,0,INDEX(Decrements!$G$6:$G$58,Census!$G66+V$5-18)/INDEX(Decrements!$G$6:$G$58,Census!$G66-17)*(INDEX(Decrements!$D$6:$D$58,Census!$G66+V$5-18)+IF(V$5=$B66,INDEX(Decrements!$F$6:$F$58,Census!$G66+V$5-18),0)+INDEX(Decrements!$E$6:$E$58,Census!$G66+V$5-18)*IF((Census!$F66+V$5)&gt;=Assumptions!$B$11,1,0))*MIN(15/26*Census!$D66*(1+Assumptions!$B$9)^V$5*(INT((Census!$F66+V$5))+IF((Census!$F66+V$5)-INT((Census!$F66+V$5))&gt;0.5,1,0)),Assumptions!$B$10))</f>
        <v>0</v>
      </c>
      <c r="W66" s="30">
        <f>IF(W$5&gt;$B66,0,INDEX(Decrements!$G$6:$G$58,Census!$G66+W$5-18)/INDEX(Decrements!$G$6:$G$58,Census!$G66-17)*(INDEX(Decrements!$D$6:$D$58,Census!$G66+W$5-18)+IF(W$5=$B66,INDEX(Decrements!$F$6:$F$58,Census!$G66+W$5-18),0)+INDEX(Decrements!$E$6:$E$58,Census!$G66+W$5-18)*IF((Census!$F66+W$5)&gt;=Assumptions!$B$11,1,0))*MIN(15/26*Census!$D66*(1+Assumptions!$B$9)^W$5*(INT((Census!$F66+W$5))+IF((Census!$F66+W$5)-INT((Census!$F66+W$5))&gt;0.5,1,0)),Assumptions!$B$10))</f>
        <v>0</v>
      </c>
      <c r="X66" s="30">
        <f>IF(X$5&gt;$B66,0,INDEX(Decrements!$G$6:$G$58,Census!$G66+X$5-18)/INDEX(Decrements!$G$6:$G$58,Census!$G66-17)*(INDEX(Decrements!$D$6:$D$58,Census!$G66+X$5-18)+IF(X$5=$B66,INDEX(Decrements!$F$6:$F$58,Census!$G66+X$5-18),0)+INDEX(Decrements!$E$6:$E$58,Census!$G66+X$5-18)*IF((Census!$F66+X$5)&gt;=Assumptions!$B$11,1,0))*MIN(15/26*Census!$D66*(1+Assumptions!$B$9)^X$5*(INT((Census!$F66+X$5))+IF((Census!$F66+X$5)-INT((Census!$F66+X$5))&gt;0.5,1,0)),Assumptions!$B$10))</f>
        <v>0</v>
      </c>
      <c r="Y66" s="30">
        <f>IF(Y$5&gt;$B66,0,INDEX(Decrements!$G$6:$G$58,Census!$G66+Y$5-18)/INDEX(Decrements!$G$6:$G$58,Census!$G66-17)*(INDEX(Decrements!$D$6:$D$58,Census!$G66+Y$5-18)+IF(Y$5=$B66,INDEX(Decrements!$F$6:$F$58,Census!$G66+Y$5-18),0)+INDEX(Decrements!$E$6:$E$58,Census!$G66+Y$5-18)*IF((Census!$F66+Y$5)&gt;=Assumptions!$B$11,1,0))*MIN(15/26*Census!$D66*(1+Assumptions!$B$9)^Y$5*(INT((Census!$F66+Y$5))+IF((Census!$F66+Y$5)-INT((Census!$F66+Y$5))&gt;0.5,1,0)),Assumptions!$B$10))</f>
        <v>0</v>
      </c>
      <c r="Z66" s="30">
        <f>IF(Z$5&gt;$B66,0,INDEX(Decrements!$G$6:$G$58,Census!$G66+Z$5-18)/INDEX(Decrements!$G$6:$G$58,Census!$G66-17)*(INDEX(Decrements!$D$6:$D$58,Census!$G66+Z$5-18)+IF(Z$5=$B66,INDEX(Decrements!$F$6:$F$58,Census!$G66+Z$5-18),0)+INDEX(Decrements!$E$6:$E$58,Census!$G66+Z$5-18)*IF((Census!$F66+Z$5)&gt;=Assumptions!$B$11,1,0))*MIN(15/26*Census!$D66*(1+Assumptions!$B$9)^Z$5*(INT((Census!$F66+Z$5))+IF((Census!$F66+Z$5)-INT((Census!$F66+Z$5))&gt;0.5,1,0)),Assumptions!$B$10))</f>
        <v>0</v>
      </c>
      <c r="AA66" s="30">
        <f>IF(AA$5&gt;$B66,0,INDEX(Decrements!$G$6:$G$58,Census!$G66+AA$5-18)/INDEX(Decrements!$G$6:$G$58,Census!$G66-17)*(INDEX(Decrements!$D$6:$D$58,Census!$G66+AA$5-18)+IF(AA$5=$B66,INDEX(Decrements!$F$6:$F$58,Census!$G66+AA$5-18),0)+INDEX(Decrements!$E$6:$E$58,Census!$G66+AA$5-18)*IF((Census!$F66+AA$5)&gt;=Assumptions!$B$11,1,0))*MIN(15/26*Census!$D66*(1+Assumptions!$B$9)^AA$5*(INT((Census!$F66+AA$5))+IF((Census!$F66+AA$5)-INT((Census!$F66+AA$5))&gt;0.5,1,0)),Assumptions!$B$10))</f>
        <v>0</v>
      </c>
      <c r="AB66" s="30">
        <f>IF(AB$5&gt;$B66,0,INDEX(Decrements!$G$6:$G$58,Census!$G66+AB$5-18)/INDEX(Decrements!$G$6:$G$58,Census!$G66-17)*(INDEX(Decrements!$D$6:$D$58,Census!$G66+AB$5-18)+IF(AB$5=$B66,INDEX(Decrements!$F$6:$F$58,Census!$G66+AB$5-18),0)+INDEX(Decrements!$E$6:$E$58,Census!$G66+AB$5-18)*IF((Census!$F66+AB$5)&gt;=Assumptions!$B$11,1,0))*MIN(15/26*Census!$D66*(1+Assumptions!$B$9)^AB$5*(INT((Census!$F66+AB$5))+IF((Census!$F66+AB$5)-INT((Census!$F66+AB$5))&gt;0.5,1,0)),Assumptions!$B$10))</f>
        <v>0</v>
      </c>
      <c r="AC66" s="30">
        <f>IF(AC$5&gt;$B66,0,INDEX(Decrements!$G$6:$G$58,Census!$G66+AC$5-18)/INDEX(Decrements!$G$6:$G$58,Census!$G66-17)*(INDEX(Decrements!$D$6:$D$58,Census!$G66+AC$5-18)+IF(AC$5=$B66,INDEX(Decrements!$F$6:$F$58,Census!$G66+AC$5-18),0)+INDEX(Decrements!$E$6:$E$58,Census!$G66+AC$5-18)*IF((Census!$F66+AC$5)&gt;=Assumptions!$B$11,1,0))*MIN(15/26*Census!$D66*(1+Assumptions!$B$9)^AC$5*(INT((Census!$F66+AC$5))+IF((Census!$F66+AC$5)-INT((Census!$F66+AC$5))&gt;0.5,1,0)),Assumptions!$B$10))</f>
        <v>0</v>
      </c>
      <c r="AD66" s="30">
        <f>IF(AD$5&gt;$B66,0,INDEX(Decrements!$G$6:$G$58,Census!$G66+AD$5-18)/INDEX(Decrements!$G$6:$G$58,Census!$G66-17)*(INDEX(Decrements!$D$6:$D$58,Census!$G66+AD$5-18)+IF(AD$5=$B66,INDEX(Decrements!$F$6:$F$58,Census!$G66+AD$5-18),0)+INDEX(Decrements!$E$6:$E$58,Census!$G66+AD$5-18)*IF((Census!$F66+AD$5)&gt;=Assumptions!$B$11,1,0))*MIN(15/26*Census!$D66*(1+Assumptions!$B$9)^AD$5*(INT((Census!$F66+AD$5))+IF((Census!$F66+AD$5)-INT((Census!$F66+AD$5))&gt;0.5,1,0)),Assumptions!$B$10))</f>
        <v>0</v>
      </c>
      <c r="AE66" s="30">
        <f>IF(AE$5&gt;$B66,0,INDEX(Decrements!$G$6:$G$58,Census!$G66+AE$5-18)/INDEX(Decrements!$G$6:$G$58,Census!$G66-17)*(INDEX(Decrements!$D$6:$D$58,Census!$G66+AE$5-18)+IF(AE$5=$B66,INDEX(Decrements!$F$6:$F$58,Census!$G66+AE$5-18),0)+INDEX(Decrements!$E$6:$E$58,Census!$G66+AE$5-18)*IF((Census!$F66+AE$5)&gt;=Assumptions!$B$11,1,0))*MIN(15/26*Census!$D66*(1+Assumptions!$B$9)^AE$5*(INT((Census!$F66+AE$5))+IF((Census!$F66+AE$5)-INT((Census!$F66+AE$5))&gt;0.5,1,0)),Assumptions!$B$10))</f>
        <v>0</v>
      </c>
      <c r="AF66" s="30">
        <f>IF(AF$5&gt;$B66,0,INDEX(Decrements!$G$6:$G$58,Census!$G66+AF$5-18)/INDEX(Decrements!$G$6:$G$58,Census!$G66-17)*(INDEX(Decrements!$D$6:$D$58,Census!$G66+AF$5-18)+IF(AF$5=$B66,INDEX(Decrements!$F$6:$F$58,Census!$G66+AF$5-18),0)+INDEX(Decrements!$E$6:$E$58,Census!$G66+AF$5-18)*IF((Census!$F66+AF$5)&gt;=Assumptions!$B$11,1,0))*MIN(15/26*Census!$D66*(1+Assumptions!$B$9)^AF$5*(INT((Census!$F66+AF$5))+IF((Census!$F66+AF$5)-INT((Census!$F66+AF$5))&gt;0.5,1,0)),Assumptions!$B$10))</f>
        <v>0</v>
      </c>
      <c r="AG66" s="30">
        <f>IF(AG$5&gt;$B66,0,INDEX(Decrements!$G$6:$G$58,Census!$G66+AG$5-18)/INDEX(Decrements!$G$6:$G$58,Census!$G66-17)*(INDEX(Decrements!$D$6:$D$58,Census!$G66+AG$5-18)+IF(AG$5=$B66,INDEX(Decrements!$F$6:$F$58,Census!$G66+AG$5-18),0)+INDEX(Decrements!$E$6:$E$58,Census!$G66+AG$5-18)*IF((Census!$F66+AG$5)&gt;=Assumptions!$B$11,1,0))*MIN(15/26*Census!$D66*(1+Assumptions!$B$9)^AG$5*(INT((Census!$F66+AG$5))+IF((Census!$F66+AG$5)-INT((Census!$F66+AG$5))&gt;0.5,1,0)),Assumptions!$B$10))</f>
        <v>0</v>
      </c>
      <c r="AH66" s="30">
        <f>IF(AH$5&gt;$B66,0,INDEX(Decrements!$G$6:$G$58,Census!$G66+AH$5-18)/INDEX(Decrements!$G$6:$G$58,Census!$G66-17)*(INDEX(Decrements!$D$6:$D$58,Census!$G66+AH$5-18)+IF(AH$5=$B66,INDEX(Decrements!$F$6:$F$58,Census!$G66+AH$5-18),0)+INDEX(Decrements!$E$6:$E$58,Census!$G66+AH$5-18)*IF((Census!$F66+AH$5)&gt;=Assumptions!$B$11,1,0))*MIN(15/26*Census!$D66*(1+Assumptions!$B$9)^AH$5*(INT((Census!$F66+AH$5))+IF((Census!$F66+AH$5)-INT((Census!$F66+AH$5))&gt;0.5,1,0)),Assumptions!$B$10))</f>
        <v>0</v>
      </c>
      <c r="AI66" s="30">
        <f>IF(AI$5&gt;$B66,0,INDEX(Decrements!$G$6:$G$58,Census!$G66+AI$5-18)/INDEX(Decrements!$G$6:$G$58,Census!$G66-17)*(INDEX(Decrements!$D$6:$D$58,Census!$G66+AI$5-18)+IF(AI$5=$B66,INDEX(Decrements!$F$6:$F$58,Census!$G66+AI$5-18),0)+INDEX(Decrements!$E$6:$E$58,Census!$G66+AI$5-18)*IF((Census!$F66+AI$5)&gt;=Assumptions!$B$11,1,0))*MIN(15/26*Census!$D66*(1+Assumptions!$B$9)^AI$5*(INT((Census!$F66+AI$5))+IF((Census!$F66+AI$5)-INT((Census!$F66+AI$5))&gt;0.5,1,0)),Assumptions!$B$10))</f>
        <v>0</v>
      </c>
      <c r="AJ66" s="30">
        <f>IF(AJ$5&gt;$B66,0,INDEX(Decrements!$G$6:$G$58,Census!$G66+AJ$5-18)/INDEX(Decrements!$G$6:$G$58,Census!$G66-17)*(INDEX(Decrements!$D$6:$D$58,Census!$G66+AJ$5-18)+IF(AJ$5=$B66,INDEX(Decrements!$F$6:$F$58,Census!$G66+AJ$5-18),0)+INDEX(Decrements!$E$6:$E$58,Census!$G66+AJ$5-18)*IF((Census!$F66+AJ$5)&gt;=Assumptions!$B$11,1,0))*MIN(15/26*Census!$D66*(1+Assumptions!$B$9)^AJ$5*(INT((Census!$F66+AJ$5))+IF((Census!$F66+AJ$5)-INT((Census!$F66+AJ$5))&gt;0.5,1,0)),Assumptions!$B$10))</f>
        <v>0</v>
      </c>
      <c r="AK66" s="30">
        <f>IF(AK$5&gt;$B66,0,INDEX(Decrements!$G$6:$G$58,Census!$G66+AK$5-18)/INDEX(Decrements!$G$6:$G$58,Census!$G66-17)*(INDEX(Decrements!$D$6:$D$58,Census!$G66+AK$5-18)+IF(AK$5=$B66,INDEX(Decrements!$F$6:$F$58,Census!$G66+AK$5-18),0)+INDEX(Decrements!$E$6:$E$58,Census!$G66+AK$5-18)*IF((Census!$F66+AK$5)&gt;=Assumptions!$B$11,1,0))*MIN(15/26*Census!$D66*(1+Assumptions!$B$9)^AK$5*(INT((Census!$F66+AK$5))+IF((Census!$F66+AK$5)-INT((Census!$F66+AK$5))&gt;0.5,1,0)),Assumptions!$B$10))</f>
        <v>0</v>
      </c>
      <c r="AL66" s="30">
        <f>IF(AL$5&gt;$B66,0,INDEX(Decrements!$G$6:$G$58,Census!$G66+AL$5-18)/INDEX(Decrements!$G$6:$G$58,Census!$G66-17)*(INDEX(Decrements!$D$6:$D$58,Census!$G66+AL$5-18)+IF(AL$5=$B66,INDEX(Decrements!$F$6:$F$58,Census!$G66+AL$5-18),0)+INDEX(Decrements!$E$6:$E$58,Census!$G66+AL$5-18)*IF((Census!$F66+AL$5)&gt;=Assumptions!$B$11,1,0))*MIN(15/26*Census!$D66*(1+Assumptions!$B$9)^AL$5*(INT((Census!$F66+AL$5))+IF((Census!$F66+AL$5)-INT((Census!$F66+AL$5))&gt;0.5,1,0)),Assumptions!$B$10))</f>
        <v>0</v>
      </c>
      <c r="AM66" s="30">
        <f>IF(AM$5&gt;$B66,0,INDEX(Decrements!$G$6:$G$58,Census!$G66+AM$5-18)/INDEX(Decrements!$G$6:$G$58,Census!$G66-17)*(INDEX(Decrements!$D$6:$D$58,Census!$G66+AM$5-18)+IF(AM$5=$B66,INDEX(Decrements!$F$6:$F$58,Census!$G66+AM$5-18),0)+INDEX(Decrements!$E$6:$E$58,Census!$G66+AM$5-18)*IF((Census!$F66+AM$5)&gt;=Assumptions!$B$11,1,0))*MIN(15/26*Census!$D66*(1+Assumptions!$B$9)^AM$5*(INT((Census!$F66+AM$5))+IF((Census!$F66+AM$5)-INT((Census!$F66+AM$5))&gt;0.5,1,0)),Assumptions!$B$10))</f>
        <v>0</v>
      </c>
      <c r="AN66" s="30">
        <f>IF(AN$5&gt;$B66,0,INDEX(Decrements!$G$6:$G$58,Census!$G66+AN$5-18)/INDEX(Decrements!$G$6:$G$58,Census!$G66-17)*(INDEX(Decrements!$D$6:$D$58,Census!$G66+AN$5-18)+IF(AN$5=$B66,INDEX(Decrements!$F$6:$F$58,Census!$G66+AN$5-18),0)+INDEX(Decrements!$E$6:$E$58,Census!$G66+AN$5-18)*IF((Census!$F66+AN$5)&gt;=Assumptions!$B$11,1,0))*MIN(15/26*Census!$D66*(1+Assumptions!$B$9)^AN$5*(INT((Census!$F66+AN$5))+IF((Census!$F66+AN$5)-INT((Census!$F66+AN$5))&gt;0.5,1,0)),Assumptions!$B$10))</f>
        <v>0</v>
      </c>
      <c r="AO66" s="30">
        <f>IF(AO$5&gt;$B66,0,INDEX(Decrements!$G$6:$G$58,Census!$G66+AO$5-18)/INDEX(Decrements!$G$6:$G$58,Census!$G66-17)*(INDEX(Decrements!$D$6:$D$58,Census!$G66+AO$5-18)+IF(AO$5=$B66,INDEX(Decrements!$F$6:$F$58,Census!$G66+AO$5-18),0)+INDEX(Decrements!$E$6:$E$58,Census!$G66+AO$5-18)*IF((Census!$F66+AO$5)&gt;=Assumptions!$B$11,1,0))*MIN(15/26*Census!$D66*(1+Assumptions!$B$9)^AO$5*(INT((Census!$F66+AO$5))+IF((Census!$F66+AO$5)-INT((Census!$F66+AO$5))&gt;0.5,1,0)),Assumptions!$B$10))</f>
        <v>0</v>
      </c>
      <c r="AP66" s="30">
        <f>IF(AP$5&gt;$B66,0,INDEX(Decrements!$G$6:$G$58,Census!$G66+AP$5-18)/INDEX(Decrements!$G$6:$G$58,Census!$G66-17)*(INDEX(Decrements!$D$6:$D$58,Census!$G66+AP$5-18)+IF(AP$5=$B66,INDEX(Decrements!$F$6:$F$58,Census!$G66+AP$5-18),0)+INDEX(Decrements!$E$6:$E$58,Census!$G66+AP$5-18)*IF((Census!$F66+AP$5)&gt;=Assumptions!$B$11,1,0))*MIN(15/26*Census!$D66*(1+Assumptions!$B$9)^AP$5*(INT((Census!$F66+AP$5))+IF((Census!$F66+AP$5)-INT((Census!$F66+AP$5))&gt;0.5,1,0)),Assumptions!$B$10))</f>
        <v>0</v>
      </c>
      <c r="AQ66" s="30">
        <f>IF(AQ$5&gt;$B66,0,INDEX(Decrements!$G$6:$G$58,Census!$G66+AQ$5-18)/INDEX(Decrements!$G$6:$G$58,Census!$G66-17)*(INDEX(Decrements!$D$6:$D$58,Census!$G66+AQ$5-18)+IF(AQ$5=$B66,INDEX(Decrements!$F$6:$F$58,Census!$G66+AQ$5-18),0)+INDEX(Decrements!$E$6:$E$58,Census!$G66+AQ$5-18)*IF((Census!$F66+AQ$5)&gt;=Assumptions!$B$11,1,0))*MIN(15/26*Census!$D66*(1+Assumptions!$B$9)^AQ$5*(INT((Census!$F66+AQ$5))+IF((Census!$F66+AQ$5)-INT((Census!$F66+AQ$5))&gt;0.5,1,0)),Assumptions!$B$10))</f>
        <v>0</v>
      </c>
      <c r="AR66" s="30">
        <f>IF(AR$5&gt;$B66,0,INDEX(Decrements!$G$6:$G$58,Census!$G66+AR$5-18)/INDEX(Decrements!$G$6:$G$58,Census!$G66-17)*(INDEX(Decrements!$D$6:$D$58,Census!$G66+AR$5-18)+IF(AR$5=$B66,INDEX(Decrements!$F$6:$F$58,Census!$G66+AR$5-18),0)+INDEX(Decrements!$E$6:$E$58,Census!$G66+AR$5-18)*IF((Census!$F66+AR$5)&gt;=Assumptions!$B$11,1,0))*MIN(15/26*Census!$D66*(1+Assumptions!$B$9)^AR$5*(INT((Census!$F66+AR$5))+IF((Census!$F66+AR$5)-INT((Census!$F66+AR$5))&gt;0.5,1,0)),Assumptions!$B$10))</f>
        <v>0</v>
      </c>
      <c r="AS66" s="30">
        <f>IF(AS$5&gt;$B66,0,INDEX(Decrements!$G$6:$G$58,Census!$G66+AS$5-18)/INDEX(Decrements!$G$6:$G$58,Census!$G66-17)*(INDEX(Decrements!$D$6:$D$58,Census!$G66+AS$5-18)+IF(AS$5=$B66,INDEX(Decrements!$F$6:$F$58,Census!$G66+AS$5-18),0)+INDEX(Decrements!$E$6:$E$58,Census!$G66+AS$5-18)*IF((Census!$F66+AS$5)&gt;=Assumptions!$B$11,1,0))*MIN(15/26*Census!$D66*(1+Assumptions!$B$9)^AS$5*(INT((Census!$F66+AS$5))+IF((Census!$F66+AS$5)-INT((Census!$F66+AS$5))&gt;0.5,1,0)),Assumptions!$B$10))</f>
        <v>0</v>
      </c>
      <c r="AT66" s="30">
        <f>IF(AT$5&gt;$B66,0,INDEX(Decrements!$G$6:$G$58,Census!$G66+AT$5-18)/INDEX(Decrements!$G$6:$G$58,Census!$G66-17)*(INDEX(Decrements!$D$6:$D$58,Census!$G66+AT$5-18)+IF(AT$5=$B66,INDEX(Decrements!$F$6:$F$58,Census!$G66+AT$5-18),0)+INDEX(Decrements!$E$6:$E$58,Census!$G66+AT$5-18)*IF((Census!$F66+AT$5)&gt;=Assumptions!$B$11,1,0))*MIN(15/26*Census!$D66*(1+Assumptions!$B$9)^AT$5*(INT((Census!$F66+AT$5))+IF((Census!$F66+AT$5)-INT((Census!$F66+AT$5))&gt;0.5,1,0)),Assumptions!$B$10))</f>
        <v>0</v>
      </c>
      <c r="AU66" s="30">
        <f>IF(AU$5&gt;$B66,0,INDEX(Decrements!$G$6:$G$58,Census!$G66+AU$5-18)/INDEX(Decrements!$G$6:$G$58,Census!$G66-17)*(INDEX(Decrements!$D$6:$D$58,Census!$G66+AU$5-18)+IF(AU$5=$B66,INDEX(Decrements!$F$6:$F$58,Census!$G66+AU$5-18),0)+INDEX(Decrements!$E$6:$E$58,Census!$G66+AU$5-18)*IF((Census!$F66+AU$5)&gt;=Assumptions!$B$11,1,0))*MIN(15/26*Census!$D66*(1+Assumptions!$B$9)^AU$5*(INT((Census!$F66+AU$5))+IF((Census!$F66+AU$5)-INT((Census!$F66+AU$5))&gt;0.5,1,0)),Assumptions!$B$10))</f>
        <v>0</v>
      </c>
    </row>
    <row r="67" spans="1:47" x14ac:dyDescent="0.3">
      <c r="A67" s="10" t="str">
        <f>Census!A67</f>
        <v>E062</v>
      </c>
      <c r="B67" s="29">
        <f>Census!H67</f>
        <v>24</v>
      </c>
      <c r="C67" s="30">
        <f>IF(C$5&gt;$B67,0,INDEX(Decrements!$G$6:$G$58,Census!$G67+C$5-18)/INDEX(Decrements!$G$6:$G$58,Census!$G67-17)*(INDEX(Decrements!$D$6:$D$58,Census!$G67+C$5-18)+IF(C$5=$B67,INDEX(Decrements!$F$6:$F$58,Census!$G67+C$5-18),0)+INDEX(Decrements!$E$6:$E$58,Census!$G67+C$5-18)*IF((Census!$F67+C$5)&gt;=Assumptions!$B$11,1,0))*MIN(15/26*Census!$D67*(1+Assumptions!$B$9)^C$5*(INT((Census!$F67+C$5))+IF((Census!$F67+C$5)-INT((Census!$F67+C$5))&gt;0.5,1,0)),Assumptions!$B$10))</f>
        <v>108360.09525048031</v>
      </c>
      <c r="D67" s="30">
        <f>IF(D$5&gt;$B67,0,INDEX(Decrements!$G$6:$G$58,Census!$G67+D$5-18)/INDEX(Decrements!$G$6:$G$58,Census!$G67-17)*(INDEX(Decrements!$D$6:$D$58,Census!$G67+D$5-18)+IF(D$5=$B67,INDEX(Decrements!$F$6:$F$58,Census!$G67+D$5-18),0)+INDEX(Decrements!$E$6:$E$58,Census!$G67+D$5-18)*IF((Census!$F67+D$5)&gt;=Assumptions!$B$11,1,0))*MIN(15/26*Census!$D67*(1+Assumptions!$B$9)^D$5*(INT((Census!$F67+D$5))+IF((Census!$F67+D$5)-INT((Census!$F67+D$5))&gt;0.5,1,0)),Assumptions!$B$10))</f>
        <v>114808.46280583707</v>
      </c>
      <c r="E67" s="30">
        <f>IF(E$5&gt;$B67,0,INDEX(Decrements!$G$6:$G$58,Census!$G67+E$5-18)/INDEX(Decrements!$G$6:$G$58,Census!$G67-17)*(INDEX(Decrements!$D$6:$D$58,Census!$G67+E$5-18)+IF(E$5=$B67,INDEX(Decrements!$F$6:$F$58,Census!$G67+E$5-18),0)+INDEX(Decrements!$E$6:$E$58,Census!$G67+E$5-18)*IF((Census!$F67+E$5)&gt;=Assumptions!$B$11,1,0))*MIN(15/26*Census!$D67*(1+Assumptions!$B$9)^E$5*(INT((Census!$F67+E$5))+IF((Census!$F67+E$5)-INT((Census!$F67+E$5))&gt;0.5,1,0)),Assumptions!$B$10))</f>
        <v>121166.38177640215</v>
      </c>
      <c r="F67" s="30">
        <f>IF(F$5&gt;$B67,0,INDEX(Decrements!$G$6:$G$58,Census!$G67+F$5-18)/INDEX(Decrements!$G$6:$G$58,Census!$G67-17)*(INDEX(Decrements!$D$6:$D$58,Census!$G67+F$5-18)+IF(F$5=$B67,INDEX(Decrements!$F$6:$F$58,Census!$G67+F$5-18),0)+INDEX(Decrements!$E$6:$E$58,Census!$G67+F$5-18)*IF((Census!$F67+F$5)&gt;=Assumptions!$B$11,1,0))*MIN(15/26*Census!$D67*(1+Assumptions!$B$9)^F$5*(INT((Census!$F67+F$5))+IF((Census!$F67+F$5)-INT((Census!$F67+F$5))&gt;0.5,1,0)),Assumptions!$B$10))</f>
        <v>125976.73478429634</v>
      </c>
      <c r="G67" s="30">
        <f>IF(G$5&gt;$B67,0,INDEX(Decrements!$G$6:$G$58,Census!$G67+G$5-18)/INDEX(Decrements!$G$6:$G$58,Census!$G67-17)*(INDEX(Decrements!$D$6:$D$58,Census!$G67+G$5-18)+IF(G$5=$B67,INDEX(Decrements!$F$6:$F$58,Census!$G67+G$5-18),0)+INDEX(Decrements!$E$6:$E$58,Census!$G67+G$5-18)*IF((Census!$F67+G$5)&gt;=Assumptions!$B$11,1,0))*MIN(15/26*Census!$D67*(1+Assumptions!$B$9)^G$5*(INT((Census!$F67+G$5))+IF((Census!$F67+G$5)-INT((Census!$F67+G$5))&gt;0.5,1,0)),Assumptions!$B$10))</f>
        <v>73137.253079480666</v>
      </c>
      <c r="H67" s="30">
        <f>IF(H$5&gt;$B67,0,INDEX(Decrements!$G$6:$G$58,Census!$G67+H$5-18)/INDEX(Decrements!$G$6:$G$58,Census!$G67-17)*(INDEX(Decrements!$D$6:$D$58,Census!$G67+H$5-18)+IF(H$5=$B67,INDEX(Decrements!$F$6:$F$58,Census!$G67+H$5-18),0)+INDEX(Decrements!$E$6:$E$58,Census!$G67+H$5-18)*IF((Census!$F67+H$5)&gt;=Assumptions!$B$11,1,0))*MIN(15/26*Census!$D67*(1+Assumptions!$B$9)^H$5*(INT((Census!$F67+H$5))+IF((Census!$F67+H$5)-INT((Census!$F67+H$5))&gt;0.5,1,0)),Assumptions!$B$10))</f>
        <v>69508.581983434764</v>
      </c>
      <c r="I67" s="30">
        <f>IF(I$5&gt;$B67,0,INDEX(Decrements!$G$6:$G$58,Census!$G67+I$5-18)/INDEX(Decrements!$G$6:$G$58,Census!$G67-17)*(INDEX(Decrements!$D$6:$D$58,Census!$G67+I$5-18)+IF(I$5=$B67,INDEX(Decrements!$F$6:$F$58,Census!$G67+I$5-18),0)+INDEX(Decrements!$E$6:$E$58,Census!$G67+I$5-18)*IF((Census!$F67+I$5)&gt;=Assumptions!$B$11,1,0))*MIN(15/26*Census!$D67*(1+Assumptions!$B$9)^I$5*(INT((Census!$F67+I$5))+IF((Census!$F67+I$5)-INT((Census!$F67+I$5))&gt;0.5,1,0)),Assumptions!$B$10))</f>
        <v>66065.020798954763</v>
      </c>
      <c r="J67" s="30">
        <f>IF(J$5&gt;$B67,0,INDEX(Decrements!$G$6:$G$58,Census!$G67+J$5-18)/INDEX(Decrements!$G$6:$G$58,Census!$G67-17)*(INDEX(Decrements!$D$6:$D$58,Census!$G67+J$5-18)+IF(J$5=$B67,INDEX(Decrements!$F$6:$F$58,Census!$G67+J$5-18),0)+INDEX(Decrements!$E$6:$E$58,Census!$G67+J$5-18)*IF((Census!$F67+J$5)&gt;=Assumptions!$B$11,1,0))*MIN(15/26*Census!$D67*(1+Assumptions!$B$9)^J$5*(INT((Census!$F67+J$5))+IF((Census!$F67+J$5)-INT((Census!$F67+J$5))&gt;0.5,1,0)),Assumptions!$B$10))</f>
        <v>62797.317070709483</v>
      </c>
      <c r="K67" s="30">
        <f>IF(K$5&gt;$B67,0,INDEX(Decrements!$G$6:$G$58,Census!$G67+K$5-18)/INDEX(Decrements!$G$6:$G$58,Census!$G67-17)*(INDEX(Decrements!$D$6:$D$58,Census!$G67+K$5-18)+IF(K$5=$B67,INDEX(Decrements!$F$6:$F$58,Census!$G67+K$5-18),0)+INDEX(Decrements!$E$6:$E$58,Census!$G67+K$5-18)*IF((Census!$F67+K$5)&gt;=Assumptions!$B$11,1,0))*MIN(15/26*Census!$D67*(1+Assumptions!$B$9)^K$5*(INT((Census!$F67+K$5))+IF((Census!$F67+K$5)-INT((Census!$F67+K$5))&gt;0.5,1,0)),Assumptions!$B$10))</f>
        <v>59696.683530416485</v>
      </c>
      <c r="L67" s="30">
        <f>IF(L$5&gt;$B67,0,INDEX(Decrements!$G$6:$G$58,Census!$G67+L$5-18)/INDEX(Decrements!$G$6:$G$58,Census!$G67-17)*(INDEX(Decrements!$D$6:$D$58,Census!$G67+L$5-18)+IF(L$5=$B67,INDEX(Decrements!$F$6:$F$58,Census!$G67+L$5-18),0)+INDEX(Decrements!$E$6:$E$58,Census!$G67+L$5-18)*IF((Census!$F67+L$5)&gt;=Assumptions!$B$11,1,0))*MIN(15/26*Census!$D67*(1+Assumptions!$B$9)^L$5*(INT((Census!$F67+L$5))+IF((Census!$F67+L$5)-INT((Census!$F67+L$5))&gt;0.5,1,0)),Assumptions!$B$10))</f>
        <v>34897.181770501571</v>
      </c>
      <c r="M67" s="30">
        <f>IF(M$5&gt;$B67,0,INDEX(Decrements!$G$6:$G$58,Census!$G67+M$5-18)/INDEX(Decrements!$G$6:$G$58,Census!$G67-17)*(INDEX(Decrements!$D$6:$D$58,Census!$G67+M$5-18)+IF(M$5=$B67,INDEX(Decrements!$F$6:$F$58,Census!$G67+M$5-18),0)+INDEX(Decrements!$E$6:$E$58,Census!$G67+M$5-18)*IF((Census!$F67+M$5)&gt;=Assumptions!$B$11,1,0))*MIN(15/26*Census!$D67*(1+Assumptions!$B$9)^M$5*(INT((Census!$F67+M$5))+IF((Census!$F67+M$5)-INT((Census!$F67+M$5))&gt;0.5,1,0)),Assumptions!$B$10))</f>
        <v>33941.97995946031</v>
      </c>
      <c r="N67" s="30">
        <f>IF(N$5&gt;$B67,0,INDEX(Decrements!$G$6:$G$58,Census!$G67+N$5-18)/INDEX(Decrements!$G$6:$G$58,Census!$G67-17)*(INDEX(Decrements!$D$6:$D$58,Census!$G67+N$5-18)+IF(N$5=$B67,INDEX(Decrements!$F$6:$F$58,Census!$G67+N$5-18),0)+INDEX(Decrements!$E$6:$E$58,Census!$G67+N$5-18)*IF((Census!$F67+N$5)&gt;=Assumptions!$B$11,1,0))*MIN(15/26*Census!$D67*(1+Assumptions!$B$9)^N$5*(INT((Census!$F67+N$5))+IF((Census!$F67+N$5)-INT((Census!$F67+N$5))&gt;0.5,1,0)),Assumptions!$B$10))</f>
        <v>33022.336032723288</v>
      </c>
      <c r="O67" s="30">
        <f>IF(O$5&gt;$B67,0,INDEX(Decrements!$G$6:$G$58,Census!$G67+O$5-18)/INDEX(Decrements!$G$6:$G$58,Census!$G67-17)*(INDEX(Decrements!$D$6:$D$58,Census!$G67+O$5-18)+IF(O$5=$B67,INDEX(Decrements!$F$6:$F$58,Census!$G67+O$5-18),0)+INDEX(Decrements!$E$6:$E$58,Census!$G67+O$5-18)*IF((Census!$F67+O$5)&gt;=Assumptions!$B$11,1,0))*MIN(15/26*Census!$D67*(1+Assumptions!$B$9)^O$5*(INT((Census!$F67+O$5))+IF((Census!$F67+O$5)-INT((Census!$F67+O$5))&gt;0.5,1,0)),Assumptions!$B$10))</f>
        <v>32137.523460724788</v>
      </c>
      <c r="P67" s="30">
        <f>IF(P$5&gt;$B67,0,INDEX(Decrements!$G$6:$G$58,Census!$G67+P$5-18)/INDEX(Decrements!$G$6:$G$58,Census!$G67-17)*(INDEX(Decrements!$D$6:$D$58,Census!$G67+P$5-18)+IF(P$5=$B67,INDEX(Decrements!$F$6:$F$58,Census!$G67+P$5-18),0)+INDEX(Decrements!$E$6:$E$58,Census!$G67+P$5-18)*IF((Census!$F67+P$5)&gt;=Assumptions!$B$11,1,0))*MIN(15/26*Census!$D67*(1+Assumptions!$B$9)^P$5*(INT((Census!$F67+P$5))+IF((Census!$F67+P$5)-INT((Census!$F67+P$5))&gt;0.5,1,0)),Assumptions!$B$10))</f>
        <v>31286.847815034173</v>
      </c>
      <c r="Q67" s="30">
        <f>IF(Q$5&gt;$B67,0,INDEX(Decrements!$G$6:$G$58,Census!$G67+Q$5-18)/INDEX(Decrements!$G$6:$G$58,Census!$G67-17)*(INDEX(Decrements!$D$6:$D$58,Census!$G67+Q$5-18)+IF(Q$5=$B67,INDEX(Decrements!$F$6:$F$58,Census!$G67+Q$5-18),0)+INDEX(Decrements!$E$6:$E$58,Census!$G67+Q$5-18)*IF((Census!$F67+Q$5)&gt;=Assumptions!$B$11,1,0))*MIN(15/26*Census!$D67*(1+Assumptions!$B$9)^Q$5*(INT((Census!$F67+Q$5))+IF((Census!$F67+Q$5)-INT((Census!$F67+Q$5))&gt;0.5,1,0)),Assumptions!$B$10))</f>
        <v>21199.181434790728</v>
      </c>
      <c r="R67" s="30">
        <f>IF(R$5&gt;$B67,0,INDEX(Decrements!$G$6:$G$58,Census!$G67+R$5-18)/INDEX(Decrements!$G$6:$G$58,Census!$G67-17)*(INDEX(Decrements!$D$6:$D$58,Census!$G67+R$5-18)+IF(R$5=$B67,INDEX(Decrements!$F$6:$F$58,Census!$G67+R$5-18),0)+INDEX(Decrements!$E$6:$E$58,Census!$G67+R$5-18)*IF((Census!$F67+R$5)&gt;=Assumptions!$B$11,1,0))*MIN(15/26*Census!$D67*(1+Assumptions!$B$9)^R$5*(INT((Census!$F67+R$5))+IF((Census!$F67+R$5)-INT((Census!$F67+R$5))&gt;0.5,1,0)),Assumptions!$B$10))</f>
        <v>20934.462488404555</v>
      </c>
      <c r="S67" s="30">
        <f>IF(S$5&gt;$B67,0,INDEX(Decrements!$G$6:$G$58,Census!$G67+S$5-18)/INDEX(Decrements!$G$6:$G$58,Census!$G67-17)*(INDEX(Decrements!$D$6:$D$58,Census!$G67+S$5-18)+IF(S$5=$B67,INDEX(Decrements!$F$6:$F$58,Census!$G67+S$5-18),0)+INDEX(Decrements!$E$6:$E$58,Census!$G67+S$5-18)*IF((Census!$F67+S$5)&gt;=Assumptions!$B$11,1,0))*MIN(15/26*Census!$D67*(1+Assumptions!$B$9)^S$5*(INT((Census!$F67+S$5))+IF((Census!$F67+S$5)-INT((Census!$F67+S$5))&gt;0.5,1,0)),Assumptions!$B$10))</f>
        <v>20687.004315167062</v>
      </c>
      <c r="T67" s="30">
        <f>IF(T$5&gt;$B67,0,INDEX(Decrements!$G$6:$G$58,Census!$G67+T$5-18)/INDEX(Decrements!$G$6:$G$58,Census!$G67-17)*(INDEX(Decrements!$D$6:$D$58,Census!$G67+T$5-18)+IF(T$5=$B67,INDEX(Decrements!$F$6:$F$58,Census!$G67+T$5-18),0)+INDEX(Decrements!$E$6:$E$58,Census!$G67+T$5-18)*IF((Census!$F67+T$5)&gt;=Assumptions!$B$11,1,0))*MIN(15/26*Census!$D67*(1+Assumptions!$B$9)^T$5*(INT((Census!$F67+T$5))+IF((Census!$F67+T$5)-INT((Census!$F67+T$5))&gt;0.5,1,0)),Assumptions!$B$10))</f>
        <v>20457.170633616504</v>
      </c>
      <c r="U67" s="30">
        <f>IF(U$5&gt;$B67,0,INDEX(Decrements!$G$6:$G$58,Census!$G67+U$5-18)/INDEX(Decrements!$G$6:$G$58,Census!$G67-17)*(INDEX(Decrements!$D$6:$D$58,Census!$G67+U$5-18)+IF(U$5=$B67,INDEX(Decrements!$F$6:$F$58,Census!$G67+U$5-18),0)+INDEX(Decrements!$E$6:$E$58,Census!$G67+U$5-18)*IF((Census!$F67+U$5)&gt;=Assumptions!$B$11,1,0))*MIN(15/26*Census!$D67*(1+Assumptions!$B$9)^U$5*(INT((Census!$F67+U$5))+IF((Census!$F67+U$5)-INT((Census!$F67+U$5))&gt;0.5,1,0)),Assumptions!$B$10))</f>
        <v>20245.33716496691</v>
      </c>
      <c r="V67" s="30">
        <f>IF(V$5&gt;$B67,0,INDEX(Decrements!$G$6:$G$58,Census!$G67+V$5-18)/INDEX(Decrements!$G$6:$G$58,Census!$G67-17)*(INDEX(Decrements!$D$6:$D$58,Census!$G67+V$5-18)+IF(V$5=$B67,INDEX(Decrements!$F$6:$F$58,Census!$G67+V$5-18),0)+INDEX(Decrements!$E$6:$E$58,Census!$G67+V$5-18)*IF((Census!$F67+V$5)&gt;=Assumptions!$B$11,1,0))*MIN(15/26*Census!$D67*(1+Assumptions!$B$9)^V$5*(INT((Census!$F67+V$5))+IF((Census!$F67+V$5)-INT((Census!$F67+V$5))&gt;0.5,1,0)),Assumptions!$B$10))</f>
        <v>11826.075574759876</v>
      </c>
      <c r="W67" s="30">
        <f>IF(W$5&gt;$B67,0,INDEX(Decrements!$G$6:$G$58,Census!$G67+W$5-18)/INDEX(Decrements!$G$6:$G$58,Census!$G67-17)*(INDEX(Decrements!$D$6:$D$58,Census!$G67+W$5-18)+IF(W$5=$B67,INDEX(Decrements!$F$6:$F$58,Census!$G67+W$5-18),0)+INDEX(Decrements!$E$6:$E$58,Census!$G67+W$5-18)*IF((Census!$F67+W$5)&gt;=Assumptions!$B$11,1,0))*MIN(15/26*Census!$D67*(1+Assumptions!$B$9)^W$5*(INT((Census!$F67+W$5))+IF((Census!$F67+W$5)-INT((Census!$F67+W$5))&gt;0.5,1,0)),Assumptions!$B$10))</f>
        <v>11975.182020972652</v>
      </c>
      <c r="X67" s="30">
        <f>IF(X$5&gt;$B67,0,INDEX(Decrements!$G$6:$G$58,Census!$G67+X$5-18)/INDEX(Decrements!$G$6:$G$58,Census!$G67-17)*(INDEX(Decrements!$D$6:$D$58,Census!$G67+X$5-18)+IF(X$5=$B67,INDEX(Decrements!$F$6:$F$58,Census!$G67+X$5-18),0)+INDEX(Decrements!$E$6:$E$58,Census!$G67+X$5-18)*IF((Census!$F67+X$5)&gt;=Assumptions!$B$11,1,0))*MIN(15/26*Census!$D67*(1+Assumptions!$B$9)^X$5*(INT((Census!$F67+X$5))+IF((Census!$F67+X$5)-INT((Census!$F67+X$5))&gt;0.5,1,0)),Assumptions!$B$10))</f>
        <v>12144.017069560188</v>
      </c>
      <c r="Y67" s="30">
        <f>IF(Y$5&gt;$B67,0,INDEX(Decrements!$G$6:$G$58,Census!$G67+Y$5-18)/INDEX(Decrements!$G$6:$G$58,Census!$G67-17)*(INDEX(Decrements!$D$6:$D$58,Census!$G67+Y$5-18)+IF(Y$5=$B67,INDEX(Decrements!$F$6:$F$58,Census!$G67+Y$5-18),0)+INDEX(Decrements!$E$6:$E$58,Census!$G67+Y$5-18)*IF((Census!$F67+Y$5)&gt;=Assumptions!$B$11,1,0))*MIN(15/26*Census!$D67*(1+Assumptions!$B$9)^Y$5*(INT((Census!$F67+Y$5))+IF((Census!$F67+Y$5)-INT((Census!$F67+Y$5))&gt;0.5,1,0)),Assumptions!$B$10))</f>
        <v>12333.728210636717</v>
      </c>
      <c r="Z67" s="30">
        <f>IF(Z$5&gt;$B67,0,INDEX(Decrements!$G$6:$G$58,Census!$G67+Z$5-18)/INDEX(Decrements!$G$6:$G$58,Census!$G67-17)*(INDEX(Decrements!$D$6:$D$58,Census!$G67+Z$5-18)+IF(Z$5=$B67,INDEX(Decrements!$F$6:$F$58,Census!$G67+Z$5-18),0)+INDEX(Decrements!$E$6:$E$58,Census!$G67+Z$5-18)*IF((Census!$F67+Z$5)&gt;=Assumptions!$B$11,1,0))*MIN(15/26*Census!$D67*(1+Assumptions!$B$9)^Z$5*(INT((Census!$F67+Z$5))+IF((Census!$F67+Z$5)-INT((Census!$F67+Z$5))&gt;0.5,1,0)),Assumptions!$B$10))</f>
        <v>777902.377824247</v>
      </c>
      <c r="AA67" s="30">
        <f>IF(AA$5&gt;$B67,0,INDEX(Decrements!$G$6:$G$58,Census!$G67+AA$5-18)/INDEX(Decrements!$G$6:$G$58,Census!$G67-17)*(INDEX(Decrements!$D$6:$D$58,Census!$G67+AA$5-18)+IF(AA$5=$B67,INDEX(Decrements!$F$6:$F$58,Census!$G67+AA$5-18),0)+INDEX(Decrements!$E$6:$E$58,Census!$G67+AA$5-18)*IF((Census!$F67+AA$5)&gt;=Assumptions!$B$11,1,0))*MIN(15/26*Census!$D67*(1+Assumptions!$B$9)^AA$5*(INT((Census!$F67+AA$5))+IF((Census!$F67+AA$5)-INT((Census!$F67+AA$5))&gt;0.5,1,0)),Assumptions!$B$10))</f>
        <v>0</v>
      </c>
      <c r="AB67" s="30">
        <f>IF(AB$5&gt;$B67,0,INDEX(Decrements!$G$6:$G$58,Census!$G67+AB$5-18)/INDEX(Decrements!$G$6:$G$58,Census!$G67-17)*(INDEX(Decrements!$D$6:$D$58,Census!$G67+AB$5-18)+IF(AB$5=$B67,INDEX(Decrements!$F$6:$F$58,Census!$G67+AB$5-18),0)+INDEX(Decrements!$E$6:$E$58,Census!$G67+AB$5-18)*IF((Census!$F67+AB$5)&gt;=Assumptions!$B$11,1,0))*MIN(15/26*Census!$D67*(1+Assumptions!$B$9)^AB$5*(INT((Census!$F67+AB$5))+IF((Census!$F67+AB$5)-INT((Census!$F67+AB$5))&gt;0.5,1,0)),Assumptions!$B$10))</f>
        <v>0</v>
      </c>
      <c r="AC67" s="30">
        <f>IF(AC$5&gt;$B67,0,INDEX(Decrements!$G$6:$G$58,Census!$G67+AC$5-18)/INDEX(Decrements!$G$6:$G$58,Census!$G67-17)*(INDEX(Decrements!$D$6:$D$58,Census!$G67+AC$5-18)+IF(AC$5=$B67,INDEX(Decrements!$F$6:$F$58,Census!$G67+AC$5-18),0)+INDEX(Decrements!$E$6:$E$58,Census!$G67+AC$5-18)*IF((Census!$F67+AC$5)&gt;=Assumptions!$B$11,1,0))*MIN(15/26*Census!$D67*(1+Assumptions!$B$9)^AC$5*(INT((Census!$F67+AC$5))+IF((Census!$F67+AC$5)-INT((Census!$F67+AC$5))&gt;0.5,1,0)),Assumptions!$B$10))</f>
        <v>0</v>
      </c>
      <c r="AD67" s="30">
        <f>IF(AD$5&gt;$B67,0,INDEX(Decrements!$G$6:$G$58,Census!$G67+AD$5-18)/INDEX(Decrements!$G$6:$G$58,Census!$G67-17)*(INDEX(Decrements!$D$6:$D$58,Census!$G67+AD$5-18)+IF(AD$5=$B67,INDEX(Decrements!$F$6:$F$58,Census!$G67+AD$5-18),0)+INDEX(Decrements!$E$6:$E$58,Census!$G67+AD$5-18)*IF((Census!$F67+AD$5)&gt;=Assumptions!$B$11,1,0))*MIN(15/26*Census!$D67*(1+Assumptions!$B$9)^AD$5*(INT((Census!$F67+AD$5))+IF((Census!$F67+AD$5)-INT((Census!$F67+AD$5))&gt;0.5,1,0)),Assumptions!$B$10))</f>
        <v>0</v>
      </c>
      <c r="AE67" s="30">
        <f>IF(AE$5&gt;$B67,0,INDEX(Decrements!$G$6:$G$58,Census!$G67+AE$5-18)/INDEX(Decrements!$G$6:$G$58,Census!$G67-17)*(INDEX(Decrements!$D$6:$D$58,Census!$G67+AE$5-18)+IF(AE$5=$B67,INDEX(Decrements!$F$6:$F$58,Census!$G67+AE$5-18),0)+INDEX(Decrements!$E$6:$E$58,Census!$G67+AE$5-18)*IF((Census!$F67+AE$5)&gt;=Assumptions!$B$11,1,0))*MIN(15/26*Census!$D67*(1+Assumptions!$B$9)^AE$5*(INT((Census!$F67+AE$5))+IF((Census!$F67+AE$5)-INT((Census!$F67+AE$5))&gt;0.5,1,0)),Assumptions!$B$10))</f>
        <v>0</v>
      </c>
      <c r="AF67" s="30">
        <f>IF(AF$5&gt;$B67,0,INDEX(Decrements!$G$6:$G$58,Census!$G67+AF$5-18)/INDEX(Decrements!$G$6:$G$58,Census!$G67-17)*(INDEX(Decrements!$D$6:$D$58,Census!$G67+AF$5-18)+IF(AF$5=$B67,INDEX(Decrements!$F$6:$F$58,Census!$G67+AF$5-18),0)+INDEX(Decrements!$E$6:$E$58,Census!$G67+AF$5-18)*IF((Census!$F67+AF$5)&gt;=Assumptions!$B$11,1,0))*MIN(15/26*Census!$D67*(1+Assumptions!$B$9)^AF$5*(INT((Census!$F67+AF$5))+IF((Census!$F67+AF$5)-INT((Census!$F67+AF$5))&gt;0.5,1,0)),Assumptions!$B$10))</f>
        <v>0</v>
      </c>
      <c r="AG67" s="30">
        <f>IF(AG$5&gt;$B67,0,INDEX(Decrements!$G$6:$G$58,Census!$G67+AG$5-18)/INDEX(Decrements!$G$6:$G$58,Census!$G67-17)*(INDEX(Decrements!$D$6:$D$58,Census!$G67+AG$5-18)+IF(AG$5=$B67,INDEX(Decrements!$F$6:$F$58,Census!$G67+AG$5-18),0)+INDEX(Decrements!$E$6:$E$58,Census!$G67+AG$5-18)*IF((Census!$F67+AG$5)&gt;=Assumptions!$B$11,1,0))*MIN(15/26*Census!$D67*(1+Assumptions!$B$9)^AG$5*(INT((Census!$F67+AG$5))+IF((Census!$F67+AG$5)-INT((Census!$F67+AG$5))&gt;0.5,1,0)),Assumptions!$B$10))</f>
        <v>0</v>
      </c>
      <c r="AH67" s="30">
        <f>IF(AH$5&gt;$B67,0,INDEX(Decrements!$G$6:$G$58,Census!$G67+AH$5-18)/INDEX(Decrements!$G$6:$G$58,Census!$G67-17)*(INDEX(Decrements!$D$6:$D$58,Census!$G67+AH$5-18)+IF(AH$5=$B67,INDEX(Decrements!$F$6:$F$58,Census!$G67+AH$5-18),0)+INDEX(Decrements!$E$6:$E$58,Census!$G67+AH$5-18)*IF((Census!$F67+AH$5)&gt;=Assumptions!$B$11,1,0))*MIN(15/26*Census!$D67*(1+Assumptions!$B$9)^AH$5*(INT((Census!$F67+AH$5))+IF((Census!$F67+AH$5)-INT((Census!$F67+AH$5))&gt;0.5,1,0)),Assumptions!$B$10))</f>
        <v>0</v>
      </c>
      <c r="AI67" s="30">
        <f>IF(AI$5&gt;$B67,0,INDEX(Decrements!$G$6:$G$58,Census!$G67+AI$5-18)/INDEX(Decrements!$G$6:$G$58,Census!$G67-17)*(INDEX(Decrements!$D$6:$D$58,Census!$G67+AI$5-18)+IF(AI$5=$B67,INDEX(Decrements!$F$6:$F$58,Census!$G67+AI$5-18),0)+INDEX(Decrements!$E$6:$E$58,Census!$G67+AI$5-18)*IF((Census!$F67+AI$5)&gt;=Assumptions!$B$11,1,0))*MIN(15/26*Census!$D67*(1+Assumptions!$B$9)^AI$5*(INT((Census!$F67+AI$5))+IF((Census!$F67+AI$5)-INT((Census!$F67+AI$5))&gt;0.5,1,0)),Assumptions!$B$10))</f>
        <v>0</v>
      </c>
      <c r="AJ67" s="30">
        <f>IF(AJ$5&gt;$B67,0,INDEX(Decrements!$G$6:$G$58,Census!$G67+AJ$5-18)/INDEX(Decrements!$G$6:$G$58,Census!$G67-17)*(INDEX(Decrements!$D$6:$D$58,Census!$G67+AJ$5-18)+IF(AJ$5=$B67,INDEX(Decrements!$F$6:$F$58,Census!$G67+AJ$5-18),0)+INDEX(Decrements!$E$6:$E$58,Census!$G67+AJ$5-18)*IF((Census!$F67+AJ$5)&gt;=Assumptions!$B$11,1,0))*MIN(15/26*Census!$D67*(1+Assumptions!$B$9)^AJ$5*(INT((Census!$F67+AJ$5))+IF((Census!$F67+AJ$5)-INT((Census!$F67+AJ$5))&gt;0.5,1,0)),Assumptions!$B$10))</f>
        <v>0</v>
      </c>
      <c r="AK67" s="30">
        <f>IF(AK$5&gt;$B67,0,INDEX(Decrements!$G$6:$G$58,Census!$G67+AK$5-18)/INDEX(Decrements!$G$6:$G$58,Census!$G67-17)*(INDEX(Decrements!$D$6:$D$58,Census!$G67+AK$5-18)+IF(AK$5=$B67,INDEX(Decrements!$F$6:$F$58,Census!$G67+AK$5-18),0)+INDEX(Decrements!$E$6:$E$58,Census!$G67+AK$5-18)*IF((Census!$F67+AK$5)&gt;=Assumptions!$B$11,1,0))*MIN(15/26*Census!$D67*(1+Assumptions!$B$9)^AK$5*(INT((Census!$F67+AK$5))+IF((Census!$F67+AK$5)-INT((Census!$F67+AK$5))&gt;0.5,1,0)),Assumptions!$B$10))</f>
        <v>0</v>
      </c>
      <c r="AL67" s="30">
        <f>IF(AL$5&gt;$B67,0,INDEX(Decrements!$G$6:$G$58,Census!$G67+AL$5-18)/INDEX(Decrements!$G$6:$G$58,Census!$G67-17)*(INDEX(Decrements!$D$6:$D$58,Census!$G67+AL$5-18)+IF(AL$5=$B67,INDEX(Decrements!$F$6:$F$58,Census!$G67+AL$5-18),0)+INDEX(Decrements!$E$6:$E$58,Census!$G67+AL$5-18)*IF((Census!$F67+AL$5)&gt;=Assumptions!$B$11,1,0))*MIN(15/26*Census!$D67*(1+Assumptions!$B$9)^AL$5*(INT((Census!$F67+AL$5))+IF((Census!$F67+AL$5)-INT((Census!$F67+AL$5))&gt;0.5,1,0)),Assumptions!$B$10))</f>
        <v>0</v>
      </c>
      <c r="AM67" s="30">
        <f>IF(AM$5&gt;$B67,0,INDEX(Decrements!$G$6:$G$58,Census!$G67+AM$5-18)/INDEX(Decrements!$G$6:$G$58,Census!$G67-17)*(INDEX(Decrements!$D$6:$D$58,Census!$G67+AM$5-18)+IF(AM$5=$B67,INDEX(Decrements!$F$6:$F$58,Census!$G67+AM$5-18),0)+INDEX(Decrements!$E$6:$E$58,Census!$G67+AM$5-18)*IF((Census!$F67+AM$5)&gt;=Assumptions!$B$11,1,0))*MIN(15/26*Census!$D67*(1+Assumptions!$B$9)^AM$5*(INT((Census!$F67+AM$5))+IF((Census!$F67+AM$5)-INT((Census!$F67+AM$5))&gt;0.5,1,0)),Assumptions!$B$10))</f>
        <v>0</v>
      </c>
      <c r="AN67" s="30">
        <f>IF(AN$5&gt;$B67,0,INDEX(Decrements!$G$6:$G$58,Census!$G67+AN$5-18)/INDEX(Decrements!$G$6:$G$58,Census!$G67-17)*(INDEX(Decrements!$D$6:$D$58,Census!$G67+AN$5-18)+IF(AN$5=$B67,INDEX(Decrements!$F$6:$F$58,Census!$G67+AN$5-18),0)+INDEX(Decrements!$E$6:$E$58,Census!$G67+AN$5-18)*IF((Census!$F67+AN$5)&gt;=Assumptions!$B$11,1,0))*MIN(15/26*Census!$D67*(1+Assumptions!$B$9)^AN$5*(INT((Census!$F67+AN$5))+IF((Census!$F67+AN$5)-INT((Census!$F67+AN$5))&gt;0.5,1,0)),Assumptions!$B$10))</f>
        <v>0</v>
      </c>
      <c r="AO67" s="30">
        <f>IF(AO$5&gt;$B67,0,INDEX(Decrements!$G$6:$G$58,Census!$G67+AO$5-18)/INDEX(Decrements!$G$6:$G$58,Census!$G67-17)*(INDEX(Decrements!$D$6:$D$58,Census!$G67+AO$5-18)+IF(AO$5=$B67,INDEX(Decrements!$F$6:$F$58,Census!$G67+AO$5-18),0)+INDEX(Decrements!$E$6:$E$58,Census!$G67+AO$5-18)*IF((Census!$F67+AO$5)&gt;=Assumptions!$B$11,1,0))*MIN(15/26*Census!$D67*(1+Assumptions!$B$9)^AO$5*(INT((Census!$F67+AO$5))+IF((Census!$F67+AO$5)-INT((Census!$F67+AO$5))&gt;0.5,1,0)),Assumptions!$B$10))</f>
        <v>0</v>
      </c>
      <c r="AP67" s="30">
        <f>IF(AP$5&gt;$B67,0,INDEX(Decrements!$G$6:$G$58,Census!$G67+AP$5-18)/INDEX(Decrements!$G$6:$G$58,Census!$G67-17)*(INDEX(Decrements!$D$6:$D$58,Census!$G67+AP$5-18)+IF(AP$5=$B67,INDEX(Decrements!$F$6:$F$58,Census!$G67+AP$5-18),0)+INDEX(Decrements!$E$6:$E$58,Census!$G67+AP$5-18)*IF((Census!$F67+AP$5)&gt;=Assumptions!$B$11,1,0))*MIN(15/26*Census!$D67*(1+Assumptions!$B$9)^AP$5*(INT((Census!$F67+AP$5))+IF((Census!$F67+AP$5)-INT((Census!$F67+AP$5))&gt;0.5,1,0)),Assumptions!$B$10))</f>
        <v>0</v>
      </c>
      <c r="AQ67" s="30">
        <f>IF(AQ$5&gt;$B67,0,INDEX(Decrements!$G$6:$G$58,Census!$G67+AQ$5-18)/INDEX(Decrements!$G$6:$G$58,Census!$G67-17)*(INDEX(Decrements!$D$6:$D$58,Census!$G67+AQ$5-18)+IF(AQ$5=$B67,INDEX(Decrements!$F$6:$F$58,Census!$G67+AQ$5-18),0)+INDEX(Decrements!$E$6:$E$58,Census!$G67+AQ$5-18)*IF((Census!$F67+AQ$5)&gt;=Assumptions!$B$11,1,0))*MIN(15/26*Census!$D67*(1+Assumptions!$B$9)^AQ$5*(INT((Census!$F67+AQ$5))+IF((Census!$F67+AQ$5)-INT((Census!$F67+AQ$5))&gt;0.5,1,0)),Assumptions!$B$10))</f>
        <v>0</v>
      </c>
      <c r="AR67" s="30">
        <f>IF(AR$5&gt;$B67,0,INDEX(Decrements!$G$6:$G$58,Census!$G67+AR$5-18)/INDEX(Decrements!$G$6:$G$58,Census!$G67-17)*(INDEX(Decrements!$D$6:$D$58,Census!$G67+AR$5-18)+IF(AR$5=$B67,INDEX(Decrements!$F$6:$F$58,Census!$G67+AR$5-18),0)+INDEX(Decrements!$E$6:$E$58,Census!$G67+AR$5-18)*IF((Census!$F67+AR$5)&gt;=Assumptions!$B$11,1,0))*MIN(15/26*Census!$D67*(1+Assumptions!$B$9)^AR$5*(INT((Census!$F67+AR$5))+IF((Census!$F67+AR$5)-INT((Census!$F67+AR$5))&gt;0.5,1,0)),Assumptions!$B$10))</f>
        <v>0</v>
      </c>
      <c r="AS67" s="30">
        <f>IF(AS$5&gt;$B67,0,INDEX(Decrements!$G$6:$G$58,Census!$G67+AS$5-18)/INDEX(Decrements!$G$6:$G$58,Census!$G67-17)*(INDEX(Decrements!$D$6:$D$58,Census!$G67+AS$5-18)+IF(AS$5=$B67,INDEX(Decrements!$F$6:$F$58,Census!$G67+AS$5-18),0)+INDEX(Decrements!$E$6:$E$58,Census!$G67+AS$5-18)*IF((Census!$F67+AS$5)&gt;=Assumptions!$B$11,1,0))*MIN(15/26*Census!$D67*(1+Assumptions!$B$9)^AS$5*(INT((Census!$F67+AS$5))+IF((Census!$F67+AS$5)-INT((Census!$F67+AS$5))&gt;0.5,1,0)),Assumptions!$B$10))</f>
        <v>0</v>
      </c>
      <c r="AT67" s="30">
        <f>IF(AT$5&gt;$B67,0,INDEX(Decrements!$G$6:$G$58,Census!$G67+AT$5-18)/INDEX(Decrements!$G$6:$G$58,Census!$G67-17)*(INDEX(Decrements!$D$6:$D$58,Census!$G67+AT$5-18)+IF(AT$5=$B67,INDEX(Decrements!$F$6:$F$58,Census!$G67+AT$5-18),0)+INDEX(Decrements!$E$6:$E$58,Census!$G67+AT$5-18)*IF((Census!$F67+AT$5)&gt;=Assumptions!$B$11,1,0))*MIN(15/26*Census!$D67*(1+Assumptions!$B$9)^AT$5*(INT((Census!$F67+AT$5))+IF((Census!$F67+AT$5)-INT((Census!$F67+AT$5))&gt;0.5,1,0)),Assumptions!$B$10))</f>
        <v>0</v>
      </c>
      <c r="AU67" s="30">
        <f>IF(AU$5&gt;$B67,0,INDEX(Decrements!$G$6:$G$58,Census!$G67+AU$5-18)/INDEX(Decrements!$G$6:$G$58,Census!$G67-17)*(INDEX(Decrements!$D$6:$D$58,Census!$G67+AU$5-18)+IF(AU$5=$B67,INDEX(Decrements!$F$6:$F$58,Census!$G67+AU$5-18),0)+INDEX(Decrements!$E$6:$E$58,Census!$G67+AU$5-18)*IF((Census!$F67+AU$5)&gt;=Assumptions!$B$11,1,0))*MIN(15/26*Census!$D67*(1+Assumptions!$B$9)^AU$5*(INT((Census!$F67+AU$5))+IF((Census!$F67+AU$5)-INT((Census!$F67+AU$5))&gt;0.5,1,0)),Assumptions!$B$10))</f>
        <v>0</v>
      </c>
    </row>
    <row r="68" spans="1:47" x14ac:dyDescent="0.3">
      <c r="A68" s="10" t="str">
        <f>Census!A68</f>
        <v>E063</v>
      </c>
      <c r="B68" s="29">
        <f>Census!H68</f>
        <v>5</v>
      </c>
      <c r="C68" s="30">
        <f>IF(C$5&gt;$B68,0,INDEX(Decrements!$G$6:$G$58,Census!$G68+C$5-18)/INDEX(Decrements!$G$6:$G$58,Census!$G68-17)*(INDEX(Decrements!$D$6:$D$58,Census!$G68+C$5-18)+IF(C$5=$B68,INDEX(Decrements!$F$6:$F$58,Census!$G68+C$5-18),0)+INDEX(Decrements!$E$6:$E$58,Census!$G68+C$5-18)*IF((Census!$F68+C$5)&gt;=Assumptions!$B$11,1,0))*MIN(15/26*Census!$D68*(1+Assumptions!$B$9)^C$5*(INT((Census!$F68+C$5))+IF((Census!$F68+C$5)-INT((Census!$F68+C$5))&gt;0.5,1,0)),Assumptions!$B$10))</f>
        <v>28628.279094688511</v>
      </c>
      <c r="D68" s="30">
        <f>IF(D$5&gt;$B68,0,INDEX(Decrements!$G$6:$G$58,Census!$G68+D$5-18)/INDEX(Decrements!$G$6:$G$58,Census!$G68-17)*(INDEX(Decrements!$D$6:$D$58,Census!$G68+D$5-18)+IF(D$5=$B68,INDEX(Decrements!$F$6:$F$58,Census!$G68+D$5-18),0)+INDEX(Decrements!$E$6:$E$58,Census!$G68+D$5-18)*IF((Census!$F68+D$5)&gt;=Assumptions!$B$11,1,0))*MIN(15/26*Census!$D68*(1+Assumptions!$B$9)^D$5*(INT((Census!$F68+D$5))+IF((Census!$F68+D$5)-INT((Census!$F68+D$5))&gt;0.5,1,0)),Assumptions!$B$10))</f>
        <v>28989.232390649773</v>
      </c>
      <c r="E68" s="30">
        <f>IF(E$5&gt;$B68,0,INDEX(Decrements!$G$6:$G$58,Census!$G68+E$5-18)/INDEX(Decrements!$G$6:$G$58,Census!$G68-17)*(INDEX(Decrements!$D$6:$D$58,Census!$G68+E$5-18)+IF(E$5=$B68,INDEX(Decrements!$F$6:$F$58,Census!$G68+E$5-18),0)+INDEX(Decrements!$E$6:$E$58,Census!$G68+E$5-18)*IF((Census!$F68+E$5)&gt;=Assumptions!$B$11,1,0))*MIN(15/26*Census!$D68*(1+Assumptions!$B$9)^E$5*(INT((Census!$F68+E$5))+IF((Census!$F68+E$5)-INT((Census!$F68+E$5))&gt;0.5,1,0)),Assumptions!$B$10))</f>
        <v>29397.9442123673</v>
      </c>
      <c r="F68" s="30">
        <f>IF(F$5&gt;$B68,0,INDEX(Decrements!$G$6:$G$58,Census!$G68+F$5-18)/INDEX(Decrements!$G$6:$G$58,Census!$G68-17)*(INDEX(Decrements!$D$6:$D$58,Census!$G68+F$5-18)+IF(F$5=$B68,INDEX(Decrements!$F$6:$F$58,Census!$G68+F$5-18),0)+INDEX(Decrements!$E$6:$E$58,Census!$G68+F$5-18)*IF((Census!$F68+F$5)&gt;=Assumptions!$B$11,1,0))*MIN(15/26*Census!$D68*(1+Assumptions!$B$9)^F$5*(INT((Census!$F68+F$5))+IF((Census!$F68+F$5)-INT((Census!$F68+F$5))&gt;0.5,1,0)),Assumptions!$B$10))</f>
        <v>29857.192376289251</v>
      </c>
      <c r="G68" s="30">
        <f>IF(G$5&gt;$B68,0,INDEX(Decrements!$G$6:$G$58,Census!$G68+G$5-18)/INDEX(Decrements!$G$6:$G$58,Census!$G68-17)*(INDEX(Decrements!$D$6:$D$58,Census!$G68+G$5-18)+IF(G$5=$B68,INDEX(Decrements!$F$6:$F$58,Census!$G68+G$5-18),0)+INDEX(Decrements!$E$6:$E$58,Census!$G68+G$5-18)*IF((Census!$F68+G$5)&gt;=Assumptions!$B$11,1,0))*MIN(15/26*Census!$D68*(1+Assumptions!$B$9)^G$5*(INT((Census!$F68+G$5))+IF((Census!$F68+G$5)-INT((Census!$F68+G$5))&gt;0.5,1,0)),Assumptions!$B$10))</f>
        <v>1883127.351926005</v>
      </c>
      <c r="H68" s="30">
        <f>IF(H$5&gt;$B68,0,INDEX(Decrements!$G$6:$G$58,Census!$G68+H$5-18)/INDEX(Decrements!$G$6:$G$58,Census!$G68-17)*(INDEX(Decrements!$D$6:$D$58,Census!$G68+H$5-18)+IF(H$5=$B68,INDEX(Decrements!$F$6:$F$58,Census!$G68+H$5-18),0)+INDEX(Decrements!$E$6:$E$58,Census!$G68+H$5-18)*IF((Census!$F68+H$5)&gt;=Assumptions!$B$11,1,0))*MIN(15/26*Census!$D68*(1+Assumptions!$B$9)^H$5*(INT((Census!$F68+H$5))+IF((Census!$F68+H$5)-INT((Census!$F68+H$5))&gt;0.5,1,0)),Assumptions!$B$10))</f>
        <v>0</v>
      </c>
      <c r="I68" s="30">
        <f>IF(I$5&gt;$B68,0,INDEX(Decrements!$G$6:$G$58,Census!$G68+I$5-18)/INDEX(Decrements!$G$6:$G$58,Census!$G68-17)*(INDEX(Decrements!$D$6:$D$58,Census!$G68+I$5-18)+IF(I$5=$B68,INDEX(Decrements!$F$6:$F$58,Census!$G68+I$5-18),0)+INDEX(Decrements!$E$6:$E$58,Census!$G68+I$5-18)*IF((Census!$F68+I$5)&gt;=Assumptions!$B$11,1,0))*MIN(15/26*Census!$D68*(1+Assumptions!$B$9)^I$5*(INT((Census!$F68+I$5))+IF((Census!$F68+I$5)-INT((Census!$F68+I$5))&gt;0.5,1,0)),Assumptions!$B$10))</f>
        <v>0</v>
      </c>
      <c r="J68" s="30">
        <f>IF(J$5&gt;$B68,0,INDEX(Decrements!$G$6:$G$58,Census!$G68+J$5-18)/INDEX(Decrements!$G$6:$G$58,Census!$G68-17)*(INDEX(Decrements!$D$6:$D$58,Census!$G68+J$5-18)+IF(J$5=$B68,INDEX(Decrements!$F$6:$F$58,Census!$G68+J$5-18),0)+INDEX(Decrements!$E$6:$E$58,Census!$G68+J$5-18)*IF((Census!$F68+J$5)&gt;=Assumptions!$B$11,1,0))*MIN(15/26*Census!$D68*(1+Assumptions!$B$9)^J$5*(INT((Census!$F68+J$5))+IF((Census!$F68+J$5)-INT((Census!$F68+J$5))&gt;0.5,1,0)),Assumptions!$B$10))</f>
        <v>0</v>
      </c>
      <c r="K68" s="30">
        <f>IF(K$5&gt;$B68,0,INDEX(Decrements!$G$6:$G$58,Census!$G68+K$5-18)/INDEX(Decrements!$G$6:$G$58,Census!$G68-17)*(INDEX(Decrements!$D$6:$D$58,Census!$G68+K$5-18)+IF(K$5=$B68,INDEX(Decrements!$F$6:$F$58,Census!$G68+K$5-18),0)+INDEX(Decrements!$E$6:$E$58,Census!$G68+K$5-18)*IF((Census!$F68+K$5)&gt;=Assumptions!$B$11,1,0))*MIN(15/26*Census!$D68*(1+Assumptions!$B$9)^K$5*(INT((Census!$F68+K$5))+IF((Census!$F68+K$5)-INT((Census!$F68+K$5))&gt;0.5,1,0)),Assumptions!$B$10))</f>
        <v>0</v>
      </c>
      <c r="L68" s="30">
        <f>IF(L$5&gt;$B68,0,INDEX(Decrements!$G$6:$G$58,Census!$G68+L$5-18)/INDEX(Decrements!$G$6:$G$58,Census!$G68-17)*(INDEX(Decrements!$D$6:$D$58,Census!$G68+L$5-18)+IF(L$5=$B68,INDEX(Decrements!$F$6:$F$58,Census!$G68+L$5-18),0)+INDEX(Decrements!$E$6:$E$58,Census!$G68+L$5-18)*IF((Census!$F68+L$5)&gt;=Assumptions!$B$11,1,0))*MIN(15/26*Census!$D68*(1+Assumptions!$B$9)^L$5*(INT((Census!$F68+L$5))+IF((Census!$F68+L$5)-INT((Census!$F68+L$5))&gt;0.5,1,0)),Assumptions!$B$10))</f>
        <v>0</v>
      </c>
      <c r="M68" s="30">
        <f>IF(M$5&gt;$B68,0,INDEX(Decrements!$G$6:$G$58,Census!$G68+M$5-18)/INDEX(Decrements!$G$6:$G$58,Census!$G68-17)*(INDEX(Decrements!$D$6:$D$58,Census!$G68+M$5-18)+IF(M$5=$B68,INDEX(Decrements!$F$6:$F$58,Census!$G68+M$5-18),0)+INDEX(Decrements!$E$6:$E$58,Census!$G68+M$5-18)*IF((Census!$F68+M$5)&gt;=Assumptions!$B$11,1,0))*MIN(15/26*Census!$D68*(1+Assumptions!$B$9)^M$5*(INT((Census!$F68+M$5))+IF((Census!$F68+M$5)-INT((Census!$F68+M$5))&gt;0.5,1,0)),Assumptions!$B$10))</f>
        <v>0</v>
      </c>
      <c r="N68" s="30">
        <f>IF(N$5&gt;$B68,0,INDEX(Decrements!$G$6:$G$58,Census!$G68+N$5-18)/INDEX(Decrements!$G$6:$G$58,Census!$G68-17)*(INDEX(Decrements!$D$6:$D$58,Census!$G68+N$5-18)+IF(N$5=$B68,INDEX(Decrements!$F$6:$F$58,Census!$G68+N$5-18),0)+INDEX(Decrements!$E$6:$E$58,Census!$G68+N$5-18)*IF((Census!$F68+N$5)&gt;=Assumptions!$B$11,1,0))*MIN(15/26*Census!$D68*(1+Assumptions!$B$9)^N$5*(INT((Census!$F68+N$5))+IF((Census!$F68+N$5)-INT((Census!$F68+N$5))&gt;0.5,1,0)),Assumptions!$B$10))</f>
        <v>0</v>
      </c>
      <c r="O68" s="30">
        <f>IF(O$5&gt;$B68,0,INDEX(Decrements!$G$6:$G$58,Census!$G68+O$5-18)/INDEX(Decrements!$G$6:$G$58,Census!$G68-17)*(INDEX(Decrements!$D$6:$D$58,Census!$G68+O$5-18)+IF(O$5=$B68,INDEX(Decrements!$F$6:$F$58,Census!$G68+O$5-18),0)+INDEX(Decrements!$E$6:$E$58,Census!$G68+O$5-18)*IF((Census!$F68+O$5)&gt;=Assumptions!$B$11,1,0))*MIN(15/26*Census!$D68*(1+Assumptions!$B$9)^O$5*(INT((Census!$F68+O$5))+IF((Census!$F68+O$5)-INT((Census!$F68+O$5))&gt;0.5,1,0)),Assumptions!$B$10))</f>
        <v>0</v>
      </c>
      <c r="P68" s="30">
        <f>IF(P$5&gt;$B68,0,INDEX(Decrements!$G$6:$G$58,Census!$G68+P$5-18)/INDEX(Decrements!$G$6:$G$58,Census!$G68-17)*(INDEX(Decrements!$D$6:$D$58,Census!$G68+P$5-18)+IF(P$5=$B68,INDEX(Decrements!$F$6:$F$58,Census!$G68+P$5-18),0)+INDEX(Decrements!$E$6:$E$58,Census!$G68+P$5-18)*IF((Census!$F68+P$5)&gt;=Assumptions!$B$11,1,0))*MIN(15/26*Census!$D68*(1+Assumptions!$B$9)^P$5*(INT((Census!$F68+P$5))+IF((Census!$F68+P$5)-INT((Census!$F68+P$5))&gt;0.5,1,0)),Assumptions!$B$10))</f>
        <v>0</v>
      </c>
      <c r="Q68" s="30">
        <f>IF(Q$5&gt;$B68,0,INDEX(Decrements!$G$6:$G$58,Census!$G68+Q$5-18)/INDEX(Decrements!$G$6:$G$58,Census!$G68-17)*(INDEX(Decrements!$D$6:$D$58,Census!$G68+Q$5-18)+IF(Q$5=$B68,INDEX(Decrements!$F$6:$F$58,Census!$G68+Q$5-18),0)+INDEX(Decrements!$E$6:$E$58,Census!$G68+Q$5-18)*IF((Census!$F68+Q$5)&gt;=Assumptions!$B$11,1,0))*MIN(15/26*Census!$D68*(1+Assumptions!$B$9)^Q$5*(INT((Census!$F68+Q$5))+IF((Census!$F68+Q$5)-INT((Census!$F68+Q$5))&gt;0.5,1,0)),Assumptions!$B$10))</f>
        <v>0</v>
      </c>
      <c r="R68" s="30">
        <f>IF(R$5&gt;$B68,0,INDEX(Decrements!$G$6:$G$58,Census!$G68+R$5-18)/INDEX(Decrements!$G$6:$G$58,Census!$G68-17)*(INDEX(Decrements!$D$6:$D$58,Census!$G68+R$5-18)+IF(R$5=$B68,INDEX(Decrements!$F$6:$F$58,Census!$G68+R$5-18),0)+INDEX(Decrements!$E$6:$E$58,Census!$G68+R$5-18)*IF((Census!$F68+R$5)&gt;=Assumptions!$B$11,1,0))*MIN(15/26*Census!$D68*(1+Assumptions!$B$9)^R$5*(INT((Census!$F68+R$5))+IF((Census!$F68+R$5)-INT((Census!$F68+R$5))&gt;0.5,1,0)),Assumptions!$B$10))</f>
        <v>0</v>
      </c>
      <c r="S68" s="30">
        <f>IF(S$5&gt;$B68,0,INDEX(Decrements!$G$6:$G$58,Census!$G68+S$5-18)/INDEX(Decrements!$G$6:$G$58,Census!$G68-17)*(INDEX(Decrements!$D$6:$D$58,Census!$G68+S$5-18)+IF(S$5=$B68,INDEX(Decrements!$F$6:$F$58,Census!$G68+S$5-18),0)+INDEX(Decrements!$E$6:$E$58,Census!$G68+S$5-18)*IF((Census!$F68+S$5)&gt;=Assumptions!$B$11,1,0))*MIN(15/26*Census!$D68*(1+Assumptions!$B$9)^S$5*(INT((Census!$F68+S$5))+IF((Census!$F68+S$5)-INT((Census!$F68+S$5))&gt;0.5,1,0)),Assumptions!$B$10))</f>
        <v>0</v>
      </c>
      <c r="T68" s="30">
        <f>IF(T$5&gt;$B68,0,INDEX(Decrements!$G$6:$G$58,Census!$G68+T$5-18)/INDEX(Decrements!$G$6:$G$58,Census!$G68-17)*(INDEX(Decrements!$D$6:$D$58,Census!$G68+T$5-18)+IF(T$5=$B68,INDEX(Decrements!$F$6:$F$58,Census!$G68+T$5-18),0)+INDEX(Decrements!$E$6:$E$58,Census!$G68+T$5-18)*IF((Census!$F68+T$5)&gt;=Assumptions!$B$11,1,0))*MIN(15/26*Census!$D68*(1+Assumptions!$B$9)^T$5*(INT((Census!$F68+T$5))+IF((Census!$F68+T$5)-INT((Census!$F68+T$5))&gt;0.5,1,0)),Assumptions!$B$10))</f>
        <v>0</v>
      </c>
      <c r="U68" s="30">
        <f>IF(U$5&gt;$B68,0,INDEX(Decrements!$G$6:$G$58,Census!$G68+U$5-18)/INDEX(Decrements!$G$6:$G$58,Census!$G68-17)*(INDEX(Decrements!$D$6:$D$58,Census!$G68+U$5-18)+IF(U$5=$B68,INDEX(Decrements!$F$6:$F$58,Census!$G68+U$5-18),0)+INDEX(Decrements!$E$6:$E$58,Census!$G68+U$5-18)*IF((Census!$F68+U$5)&gt;=Assumptions!$B$11,1,0))*MIN(15/26*Census!$D68*(1+Assumptions!$B$9)^U$5*(INT((Census!$F68+U$5))+IF((Census!$F68+U$5)-INT((Census!$F68+U$5))&gt;0.5,1,0)),Assumptions!$B$10))</f>
        <v>0</v>
      </c>
      <c r="V68" s="30">
        <f>IF(V$5&gt;$B68,0,INDEX(Decrements!$G$6:$G$58,Census!$G68+V$5-18)/INDEX(Decrements!$G$6:$G$58,Census!$G68-17)*(INDEX(Decrements!$D$6:$D$58,Census!$G68+V$5-18)+IF(V$5=$B68,INDEX(Decrements!$F$6:$F$58,Census!$G68+V$5-18),0)+INDEX(Decrements!$E$6:$E$58,Census!$G68+V$5-18)*IF((Census!$F68+V$5)&gt;=Assumptions!$B$11,1,0))*MIN(15/26*Census!$D68*(1+Assumptions!$B$9)^V$5*(INT((Census!$F68+V$5))+IF((Census!$F68+V$5)-INT((Census!$F68+V$5))&gt;0.5,1,0)),Assumptions!$B$10))</f>
        <v>0</v>
      </c>
      <c r="W68" s="30">
        <f>IF(W$5&gt;$B68,0,INDEX(Decrements!$G$6:$G$58,Census!$G68+W$5-18)/INDEX(Decrements!$G$6:$G$58,Census!$G68-17)*(INDEX(Decrements!$D$6:$D$58,Census!$G68+W$5-18)+IF(W$5=$B68,INDEX(Decrements!$F$6:$F$58,Census!$G68+W$5-18),0)+INDEX(Decrements!$E$6:$E$58,Census!$G68+W$5-18)*IF((Census!$F68+W$5)&gt;=Assumptions!$B$11,1,0))*MIN(15/26*Census!$D68*(1+Assumptions!$B$9)^W$5*(INT((Census!$F68+W$5))+IF((Census!$F68+W$5)-INT((Census!$F68+W$5))&gt;0.5,1,0)),Assumptions!$B$10))</f>
        <v>0</v>
      </c>
      <c r="X68" s="30">
        <f>IF(X$5&gt;$B68,0,INDEX(Decrements!$G$6:$G$58,Census!$G68+X$5-18)/INDEX(Decrements!$G$6:$G$58,Census!$G68-17)*(INDEX(Decrements!$D$6:$D$58,Census!$G68+X$5-18)+IF(X$5=$B68,INDEX(Decrements!$F$6:$F$58,Census!$G68+X$5-18),0)+INDEX(Decrements!$E$6:$E$58,Census!$G68+X$5-18)*IF((Census!$F68+X$5)&gt;=Assumptions!$B$11,1,0))*MIN(15/26*Census!$D68*(1+Assumptions!$B$9)^X$5*(INT((Census!$F68+X$5))+IF((Census!$F68+X$5)-INT((Census!$F68+X$5))&gt;0.5,1,0)),Assumptions!$B$10))</f>
        <v>0</v>
      </c>
      <c r="Y68" s="30">
        <f>IF(Y$5&gt;$B68,0,INDEX(Decrements!$G$6:$G$58,Census!$G68+Y$5-18)/INDEX(Decrements!$G$6:$G$58,Census!$G68-17)*(INDEX(Decrements!$D$6:$D$58,Census!$G68+Y$5-18)+IF(Y$5=$B68,INDEX(Decrements!$F$6:$F$58,Census!$G68+Y$5-18),0)+INDEX(Decrements!$E$6:$E$58,Census!$G68+Y$5-18)*IF((Census!$F68+Y$5)&gt;=Assumptions!$B$11,1,0))*MIN(15/26*Census!$D68*(1+Assumptions!$B$9)^Y$5*(INT((Census!$F68+Y$5))+IF((Census!$F68+Y$5)-INT((Census!$F68+Y$5))&gt;0.5,1,0)),Assumptions!$B$10))</f>
        <v>0</v>
      </c>
      <c r="Z68" s="30">
        <f>IF(Z$5&gt;$B68,0,INDEX(Decrements!$G$6:$G$58,Census!$G68+Z$5-18)/INDEX(Decrements!$G$6:$G$58,Census!$G68-17)*(INDEX(Decrements!$D$6:$D$58,Census!$G68+Z$5-18)+IF(Z$5=$B68,INDEX(Decrements!$F$6:$F$58,Census!$G68+Z$5-18),0)+INDEX(Decrements!$E$6:$E$58,Census!$G68+Z$5-18)*IF((Census!$F68+Z$5)&gt;=Assumptions!$B$11,1,0))*MIN(15/26*Census!$D68*(1+Assumptions!$B$9)^Z$5*(INT((Census!$F68+Z$5))+IF((Census!$F68+Z$5)-INT((Census!$F68+Z$5))&gt;0.5,1,0)),Assumptions!$B$10))</f>
        <v>0</v>
      </c>
      <c r="AA68" s="30">
        <f>IF(AA$5&gt;$B68,0,INDEX(Decrements!$G$6:$G$58,Census!$G68+AA$5-18)/INDEX(Decrements!$G$6:$G$58,Census!$G68-17)*(INDEX(Decrements!$D$6:$D$58,Census!$G68+AA$5-18)+IF(AA$5=$B68,INDEX(Decrements!$F$6:$F$58,Census!$G68+AA$5-18),0)+INDEX(Decrements!$E$6:$E$58,Census!$G68+AA$5-18)*IF((Census!$F68+AA$5)&gt;=Assumptions!$B$11,1,0))*MIN(15/26*Census!$D68*(1+Assumptions!$B$9)^AA$5*(INT((Census!$F68+AA$5))+IF((Census!$F68+AA$5)-INT((Census!$F68+AA$5))&gt;0.5,1,0)),Assumptions!$B$10))</f>
        <v>0</v>
      </c>
      <c r="AB68" s="30">
        <f>IF(AB$5&gt;$B68,0,INDEX(Decrements!$G$6:$G$58,Census!$G68+AB$5-18)/INDEX(Decrements!$G$6:$G$58,Census!$G68-17)*(INDEX(Decrements!$D$6:$D$58,Census!$G68+AB$5-18)+IF(AB$5=$B68,INDEX(Decrements!$F$6:$F$58,Census!$G68+AB$5-18),0)+INDEX(Decrements!$E$6:$E$58,Census!$G68+AB$5-18)*IF((Census!$F68+AB$5)&gt;=Assumptions!$B$11,1,0))*MIN(15/26*Census!$D68*(1+Assumptions!$B$9)^AB$5*(INT((Census!$F68+AB$5))+IF((Census!$F68+AB$5)-INT((Census!$F68+AB$5))&gt;0.5,1,0)),Assumptions!$B$10))</f>
        <v>0</v>
      </c>
      <c r="AC68" s="30">
        <f>IF(AC$5&gt;$B68,0,INDEX(Decrements!$G$6:$G$58,Census!$G68+AC$5-18)/INDEX(Decrements!$G$6:$G$58,Census!$G68-17)*(INDEX(Decrements!$D$6:$D$58,Census!$G68+AC$5-18)+IF(AC$5=$B68,INDEX(Decrements!$F$6:$F$58,Census!$G68+AC$5-18),0)+INDEX(Decrements!$E$6:$E$58,Census!$G68+AC$5-18)*IF((Census!$F68+AC$5)&gt;=Assumptions!$B$11,1,0))*MIN(15/26*Census!$D68*(1+Assumptions!$B$9)^AC$5*(INT((Census!$F68+AC$5))+IF((Census!$F68+AC$5)-INT((Census!$F68+AC$5))&gt;0.5,1,0)),Assumptions!$B$10))</f>
        <v>0</v>
      </c>
      <c r="AD68" s="30">
        <f>IF(AD$5&gt;$B68,0,INDEX(Decrements!$G$6:$G$58,Census!$G68+AD$5-18)/INDEX(Decrements!$G$6:$G$58,Census!$G68-17)*(INDEX(Decrements!$D$6:$D$58,Census!$G68+AD$5-18)+IF(AD$5=$B68,INDEX(Decrements!$F$6:$F$58,Census!$G68+AD$5-18),0)+INDEX(Decrements!$E$6:$E$58,Census!$G68+AD$5-18)*IF((Census!$F68+AD$5)&gt;=Assumptions!$B$11,1,0))*MIN(15/26*Census!$D68*(1+Assumptions!$B$9)^AD$5*(INT((Census!$F68+AD$5))+IF((Census!$F68+AD$5)-INT((Census!$F68+AD$5))&gt;0.5,1,0)),Assumptions!$B$10))</f>
        <v>0</v>
      </c>
      <c r="AE68" s="30">
        <f>IF(AE$5&gt;$B68,0,INDEX(Decrements!$G$6:$G$58,Census!$G68+AE$5-18)/INDEX(Decrements!$G$6:$G$58,Census!$G68-17)*(INDEX(Decrements!$D$6:$D$58,Census!$G68+AE$5-18)+IF(AE$5=$B68,INDEX(Decrements!$F$6:$F$58,Census!$G68+AE$5-18),0)+INDEX(Decrements!$E$6:$E$58,Census!$G68+AE$5-18)*IF((Census!$F68+AE$5)&gt;=Assumptions!$B$11,1,0))*MIN(15/26*Census!$D68*(1+Assumptions!$B$9)^AE$5*(INT((Census!$F68+AE$5))+IF((Census!$F68+AE$5)-INT((Census!$F68+AE$5))&gt;0.5,1,0)),Assumptions!$B$10))</f>
        <v>0</v>
      </c>
      <c r="AF68" s="30">
        <f>IF(AF$5&gt;$B68,0,INDEX(Decrements!$G$6:$G$58,Census!$G68+AF$5-18)/INDEX(Decrements!$G$6:$G$58,Census!$G68-17)*(INDEX(Decrements!$D$6:$D$58,Census!$G68+AF$5-18)+IF(AF$5=$B68,INDEX(Decrements!$F$6:$F$58,Census!$G68+AF$5-18),0)+INDEX(Decrements!$E$6:$E$58,Census!$G68+AF$5-18)*IF((Census!$F68+AF$5)&gt;=Assumptions!$B$11,1,0))*MIN(15/26*Census!$D68*(1+Assumptions!$B$9)^AF$5*(INT((Census!$F68+AF$5))+IF((Census!$F68+AF$5)-INT((Census!$F68+AF$5))&gt;0.5,1,0)),Assumptions!$B$10))</f>
        <v>0</v>
      </c>
      <c r="AG68" s="30">
        <f>IF(AG$5&gt;$B68,0,INDEX(Decrements!$G$6:$G$58,Census!$G68+AG$5-18)/INDEX(Decrements!$G$6:$G$58,Census!$G68-17)*(INDEX(Decrements!$D$6:$D$58,Census!$G68+AG$5-18)+IF(AG$5=$B68,INDEX(Decrements!$F$6:$F$58,Census!$G68+AG$5-18),0)+INDEX(Decrements!$E$6:$E$58,Census!$G68+AG$5-18)*IF((Census!$F68+AG$5)&gt;=Assumptions!$B$11,1,0))*MIN(15/26*Census!$D68*(1+Assumptions!$B$9)^AG$5*(INT((Census!$F68+AG$5))+IF((Census!$F68+AG$5)-INT((Census!$F68+AG$5))&gt;0.5,1,0)),Assumptions!$B$10))</f>
        <v>0</v>
      </c>
      <c r="AH68" s="30">
        <f>IF(AH$5&gt;$B68,0,INDEX(Decrements!$G$6:$G$58,Census!$G68+AH$5-18)/INDEX(Decrements!$G$6:$G$58,Census!$G68-17)*(INDEX(Decrements!$D$6:$D$58,Census!$G68+AH$5-18)+IF(AH$5=$B68,INDEX(Decrements!$F$6:$F$58,Census!$G68+AH$5-18),0)+INDEX(Decrements!$E$6:$E$58,Census!$G68+AH$5-18)*IF((Census!$F68+AH$5)&gt;=Assumptions!$B$11,1,0))*MIN(15/26*Census!$D68*(1+Assumptions!$B$9)^AH$5*(INT((Census!$F68+AH$5))+IF((Census!$F68+AH$5)-INT((Census!$F68+AH$5))&gt;0.5,1,0)),Assumptions!$B$10))</f>
        <v>0</v>
      </c>
      <c r="AI68" s="30">
        <f>IF(AI$5&gt;$B68,0,INDEX(Decrements!$G$6:$G$58,Census!$G68+AI$5-18)/INDEX(Decrements!$G$6:$G$58,Census!$G68-17)*(INDEX(Decrements!$D$6:$D$58,Census!$G68+AI$5-18)+IF(AI$5=$B68,INDEX(Decrements!$F$6:$F$58,Census!$G68+AI$5-18),0)+INDEX(Decrements!$E$6:$E$58,Census!$G68+AI$5-18)*IF((Census!$F68+AI$5)&gt;=Assumptions!$B$11,1,0))*MIN(15/26*Census!$D68*(1+Assumptions!$B$9)^AI$5*(INT((Census!$F68+AI$5))+IF((Census!$F68+AI$5)-INT((Census!$F68+AI$5))&gt;0.5,1,0)),Assumptions!$B$10))</f>
        <v>0</v>
      </c>
      <c r="AJ68" s="30">
        <f>IF(AJ$5&gt;$B68,0,INDEX(Decrements!$G$6:$G$58,Census!$G68+AJ$5-18)/INDEX(Decrements!$G$6:$G$58,Census!$G68-17)*(INDEX(Decrements!$D$6:$D$58,Census!$G68+AJ$5-18)+IF(AJ$5=$B68,INDEX(Decrements!$F$6:$F$58,Census!$G68+AJ$5-18),0)+INDEX(Decrements!$E$6:$E$58,Census!$G68+AJ$5-18)*IF((Census!$F68+AJ$5)&gt;=Assumptions!$B$11,1,0))*MIN(15/26*Census!$D68*(1+Assumptions!$B$9)^AJ$5*(INT((Census!$F68+AJ$5))+IF((Census!$F68+AJ$5)-INT((Census!$F68+AJ$5))&gt;0.5,1,0)),Assumptions!$B$10))</f>
        <v>0</v>
      </c>
      <c r="AK68" s="30">
        <f>IF(AK$5&gt;$B68,0,INDEX(Decrements!$G$6:$G$58,Census!$G68+AK$5-18)/INDEX(Decrements!$G$6:$G$58,Census!$G68-17)*(INDEX(Decrements!$D$6:$D$58,Census!$G68+AK$5-18)+IF(AK$5=$B68,INDEX(Decrements!$F$6:$F$58,Census!$G68+AK$5-18),0)+INDEX(Decrements!$E$6:$E$58,Census!$G68+AK$5-18)*IF((Census!$F68+AK$5)&gt;=Assumptions!$B$11,1,0))*MIN(15/26*Census!$D68*(1+Assumptions!$B$9)^AK$5*(INT((Census!$F68+AK$5))+IF((Census!$F68+AK$5)-INT((Census!$F68+AK$5))&gt;0.5,1,0)),Assumptions!$B$10))</f>
        <v>0</v>
      </c>
      <c r="AL68" s="30">
        <f>IF(AL$5&gt;$B68,0,INDEX(Decrements!$G$6:$G$58,Census!$G68+AL$5-18)/INDEX(Decrements!$G$6:$G$58,Census!$G68-17)*(INDEX(Decrements!$D$6:$D$58,Census!$G68+AL$5-18)+IF(AL$5=$B68,INDEX(Decrements!$F$6:$F$58,Census!$G68+AL$5-18),0)+INDEX(Decrements!$E$6:$E$58,Census!$G68+AL$5-18)*IF((Census!$F68+AL$5)&gt;=Assumptions!$B$11,1,0))*MIN(15/26*Census!$D68*(1+Assumptions!$B$9)^AL$5*(INT((Census!$F68+AL$5))+IF((Census!$F68+AL$5)-INT((Census!$F68+AL$5))&gt;0.5,1,0)),Assumptions!$B$10))</f>
        <v>0</v>
      </c>
      <c r="AM68" s="30">
        <f>IF(AM$5&gt;$B68,0,INDEX(Decrements!$G$6:$G$58,Census!$G68+AM$5-18)/INDEX(Decrements!$G$6:$G$58,Census!$G68-17)*(INDEX(Decrements!$D$6:$D$58,Census!$G68+AM$5-18)+IF(AM$5=$B68,INDEX(Decrements!$F$6:$F$58,Census!$G68+AM$5-18),0)+INDEX(Decrements!$E$6:$E$58,Census!$G68+AM$5-18)*IF((Census!$F68+AM$5)&gt;=Assumptions!$B$11,1,0))*MIN(15/26*Census!$D68*(1+Assumptions!$B$9)^AM$5*(INT((Census!$F68+AM$5))+IF((Census!$F68+AM$5)-INT((Census!$F68+AM$5))&gt;0.5,1,0)),Assumptions!$B$10))</f>
        <v>0</v>
      </c>
      <c r="AN68" s="30">
        <f>IF(AN$5&gt;$B68,0,INDEX(Decrements!$G$6:$G$58,Census!$G68+AN$5-18)/INDEX(Decrements!$G$6:$G$58,Census!$G68-17)*(INDEX(Decrements!$D$6:$D$58,Census!$G68+AN$5-18)+IF(AN$5=$B68,INDEX(Decrements!$F$6:$F$58,Census!$G68+AN$5-18),0)+INDEX(Decrements!$E$6:$E$58,Census!$G68+AN$5-18)*IF((Census!$F68+AN$5)&gt;=Assumptions!$B$11,1,0))*MIN(15/26*Census!$D68*(1+Assumptions!$B$9)^AN$5*(INT((Census!$F68+AN$5))+IF((Census!$F68+AN$5)-INT((Census!$F68+AN$5))&gt;0.5,1,0)),Assumptions!$B$10))</f>
        <v>0</v>
      </c>
      <c r="AO68" s="30">
        <f>IF(AO$5&gt;$B68,0,INDEX(Decrements!$G$6:$G$58,Census!$G68+AO$5-18)/INDEX(Decrements!$G$6:$G$58,Census!$G68-17)*(INDEX(Decrements!$D$6:$D$58,Census!$G68+AO$5-18)+IF(AO$5=$B68,INDEX(Decrements!$F$6:$F$58,Census!$G68+AO$5-18),0)+INDEX(Decrements!$E$6:$E$58,Census!$G68+AO$5-18)*IF((Census!$F68+AO$5)&gt;=Assumptions!$B$11,1,0))*MIN(15/26*Census!$D68*(1+Assumptions!$B$9)^AO$5*(INT((Census!$F68+AO$5))+IF((Census!$F68+AO$5)-INT((Census!$F68+AO$5))&gt;0.5,1,0)),Assumptions!$B$10))</f>
        <v>0</v>
      </c>
      <c r="AP68" s="30">
        <f>IF(AP$5&gt;$B68,0,INDEX(Decrements!$G$6:$G$58,Census!$G68+AP$5-18)/INDEX(Decrements!$G$6:$G$58,Census!$G68-17)*(INDEX(Decrements!$D$6:$D$58,Census!$G68+AP$5-18)+IF(AP$5=$B68,INDEX(Decrements!$F$6:$F$58,Census!$G68+AP$5-18),0)+INDEX(Decrements!$E$6:$E$58,Census!$G68+AP$5-18)*IF((Census!$F68+AP$5)&gt;=Assumptions!$B$11,1,0))*MIN(15/26*Census!$D68*(1+Assumptions!$B$9)^AP$5*(INT((Census!$F68+AP$5))+IF((Census!$F68+AP$5)-INT((Census!$F68+AP$5))&gt;0.5,1,0)),Assumptions!$B$10))</f>
        <v>0</v>
      </c>
      <c r="AQ68" s="30">
        <f>IF(AQ$5&gt;$B68,0,INDEX(Decrements!$G$6:$G$58,Census!$G68+AQ$5-18)/INDEX(Decrements!$G$6:$G$58,Census!$G68-17)*(INDEX(Decrements!$D$6:$D$58,Census!$G68+AQ$5-18)+IF(AQ$5=$B68,INDEX(Decrements!$F$6:$F$58,Census!$G68+AQ$5-18),0)+INDEX(Decrements!$E$6:$E$58,Census!$G68+AQ$5-18)*IF((Census!$F68+AQ$5)&gt;=Assumptions!$B$11,1,0))*MIN(15/26*Census!$D68*(1+Assumptions!$B$9)^AQ$5*(INT((Census!$F68+AQ$5))+IF((Census!$F68+AQ$5)-INT((Census!$F68+AQ$5))&gt;0.5,1,0)),Assumptions!$B$10))</f>
        <v>0</v>
      </c>
      <c r="AR68" s="30">
        <f>IF(AR$5&gt;$B68,0,INDEX(Decrements!$G$6:$G$58,Census!$G68+AR$5-18)/INDEX(Decrements!$G$6:$G$58,Census!$G68-17)*(INDEX(Decrements!$D$6:$D$58,Census!$G68+AR$5-18)+IF(AR$5=$B68,INDEX(Decrements!$F$6:$F$58,Census!$G68+AR$5-18),0)+INDEX(Decrements!$E$6:$E$58,Census!$G68+AR$5-18)*IF((Census!$F68+AR$5)&gt;=Assumptions!$B$11,1,0))*MIN(15/26*Census!$D68*(1+Assumptions!$B$9)^AR$5*(INT((Census!$F68+AR$5))+IF((Census!$F68+AR$5)-INT((Census!$F68+AR$5))&gt;0.5,1,0)),Assumptions!$B$10))</f>
        <v>0</v>
      </c>
      <c r="AS68" s="30">
        <f>IF(AS$5&gt;$B68,0,INDEX(Decrements!$G$6:$G$58,Census!$G68+AS$5-18)/INDEX(Decrements!$G$6:$G$58,Census!$G68-17)*(INDEX(Decrements!$D$6:$D$58,Census!$G68+AS$5-18)+IF(AS$5=$B68,INDEX(Decrements!$F$6:$F$58,Census!$G68+AS$5-18),0)+INDEX(Decrements!$E$6:$E$58,Census!$G68+AS$5-18)*IF((Census!$F68+AS$5)&gt;=Assumptions!$B$11,1,0))*MIN(15/26*Census!$D68*(1+Assumptions!$B$9)^AS$5*(INT((Census!$F68+AS$5))+IF((Census!$F68+AS$5)-INT((Census!$F68+AS$5))&gt;0.5,1,0)),Assumptions!$B$10))</f>
        <v>0</v>
      </c>
      <c r="AT68" s="30">
        <f>IF(AT$5&gt;$B68,0,INDEX(Decrements!$G$6:$G$58,Census!$G68+AT$5-18)/INDEX(Decrements!$G$6:$G$58,Census!$G68-17)*(INDEX(Decrements!$D$6:$D$58,Census!$G68+AT$5-18)+IF(AT$5=$B68,INDEX(Decrements!$F$6:$F$58,Census!$G68+AT$5-18),0)+INDEX(Decrements!$E$6:$E$58,Census!$G68+AT$5-18)*IF((Census!$F68+AT$5)&gt;=Assumptions!$B$11,1,0))*MIN(15/26*Census!$D68*(1+Assumptions!$B$9)^AT$5*(INT((Census!$F68+AT$5))+IF((Census!$F68+AT$5)-INT((Census!$F68+AT$5))&gt;0.5,1,0)),Assumptions!$B$10))</f>
        <v>0</v>
      </c>
      <c r="AU68" s="30">
        <f>IF(AU$5&gt;$B68,0,INDEX(Decrements!$G$6:$G$58,Census!$G68+AU$5-18)/INDEX(Decrements!$G$6:$G$58,Census!$G68-17)*(INDEX(Decrements!$D$6:$D$58,Census!$G68+AU$5-18)+IF(AU$5=$B68,INDEX(Decrements!$F$6:$F$58,Census!$G68+AU$5-18),0)+INDEX(Decrements!$E$6:$E$58,Census!$G68+AU$5-18)*IF((Census!$F68+AU$5)&gt;=Assumptions!$B$11,1,0))*MIN(15/26*Census!$D68*(1+Assumptions!$B$9)^AU$5*(INT((Census!$F68+AU$5))+IF((Census!$F68+AU$5)-INT((Census!$F68+AU$5))&gt;0.5,1,0)),Assumptions!$B$10))</f>
        <v>0</v>
      </c>
    </row>
    <row r="69" spans="1:47" x14ac:dyDescent="0.3">
      <c r="A69" s="10" t="str">
        <f>Census!A69</f>
        <v>E064</v>
      </c>
      <c r="B69" s="29">
        <f>Census!H69</f>
        <v>21</v>
      </c>
      <c r="C69" s="30">
        <f>IF(C$5&gt;$B69,0,INDEX(Decrements!$G$6:$G$58,Census!$G69+C$5-18)/INDEX(Decrements!$G$6:$G$58,Census!$G69-17)*(INDEX(Decrements!$D$6:$D$58,Census!$G69+C$5-18)+IF(C$5=$B69,INDEX(Decrements!$F$6:$F$58,Census!$G69+C$5-18),0)+INDEX(Decrements!$E$6:$E$58,Census!$G69+C$5-18)*IF((Census!$F69+C$5)&gt;=Assumptions!$B$11,1,0))*MIN(15/26*Census!$D69*(1+Assumptions!$B$9)^C$5*(INT((Census!$F69+C$5))+IF((Census!$F69+C$5)-INT((Census!$F69+C$5))&gt;0.5,1,0)),Assumptions!$B$10))</f>
        <v>21947.340407265507</v>
      </c>
      <c r="D69" s="30">
        <f>IF(D$5&gt;$B69,0,INDEX(Decrements!$G$6:$G$58,Census!$G69+D$5-18)/INDEX(Decrements!$G$6:$G$58,Census!$G69-17)*(INDEX(Decrements!$D$6:$D$58,Census!$G69+D$5-18)+IF(D$5=$B69,INDEX(Decrements!$F$6:$F$58,Census!$G69+D$5-18),0)+INDEX(Decrements!$E$6:$E$58,Census!$G69+D$5-18)*IF((Census!$F69+D$5)&gt;=Assumptions!$B$11,1,0))*MIN(15/26*Census!$D69*(1+Assumptions!$B$9)^D$5*(INT((Census!$F69+D$5))+IF((Census!$F69+D$5)-INT((Census!$F69+D$5))&gt;0.5,1,0)),Assumptions!$B$10))</f>
        <v>15727.000458244751</v>
      </c>
      <c r="E69" s="30">
        <f>IF(E$5&gt;$B69,0,INDEX(Decrements!$G$6:$G$58,Census!$G69+E$5-18)/INDEX(Decrements!$G$6:$G$58,Census!$G69-17)*(INDEX(Decrements!$D$6:$D$58,Census!$G69+E$5-18)+IF(E$5=$B69,INDEX(Decrements!$F$6:$F$58,Census!$G69+E$5-18),0)+INDEX(Decrements!$E$6:$E$58,Census!$G69+E$5-18)*IF((Census!$F69+E$5)&gt;=Assumptions!$B$11,1,0))*MIN(15/26*Census!$D69*(1+Assumptions!$B$9)^E$5*(INT((Census!$F69+E$5))+IF((Census!$F69+E$5)-INT((Census!$F69+E$5))&gt;0.5,1,0)),Assumptions!$B$10))</f>
        <v>18160.255785293135</v>
      </c>
      <c r="F69" s="30">
        <f>IF(F$5&gt;$B69,0,INDEX(Decrements!$G$6:$G$58,Census!$G69+F$5-18)/INDEX(Decrements!$G$6:$G$58,Census!$G69-17)*(INDEX(Decrements!$D$6:$D$58,Census!$G69+F$5-18)+IF(F$5=$B69,INDEX(Decrements!$F$6:$F$58,Census!$G69+F$5-18),0)+INDEX(Decrements!$E$6:$E$58,Census!$G69+F$5-18)*IF((Census!$F69+F$5)&gt;=Assumptions!$B$11,1,0))*MIN(15/26*Census!$D69*(1+Assumptions!$B$9)^F$5*(INT((Census!$F69+F$5))+IF((Census!$F69+F$5)-INT((Census!$F69+F$5))&gt;0.5,1,0)),Assumptions!$B$10))</f>
        <v>20712.682812991148</v>
      </c>
      <c r="G69" s="30">
        <f>IF(G$5&gt;$B69,0,INDEX(Decrements!$G$6:$G$58,Census!$G69+G$5-18)/INDEX(Decrements!$G$6:$G$58,Census!$G69-17)*(INDEX(Decrements!$D$6:$D$58,Census!$G69+G$5-18)+IF(G$5=$B69,INDEX(Decrements!$F$6:$F$58,Census!$G69+G$5-18),0)+INDEX(Decrements!$E$6:$E$58,Census!$G69+G$5-18)*IF((Census!$F69+G$5)&gt;=Assumptions!$B$11,1,0))*MIN(15/26*Census!$D69*(1+Assumptions!$B$9)^G$5*(INT((Census!$F69+G$5))+IF((Census!$F69+G$5)-INT((Census!$F69+G$5))&gt;0.5,1,0)),Assumptions!$B$10))</f>
        <v>23389.573822634233</v>
      </c>
      <c r="H69" s="30">
        <f>IF(H$5&gt;$B69,0,INDEX(Decrements!$G$6:$G$58,Census!$G69+H$5-18)/INDEX(Decrements!$G$6:$G$58,Census!$G69-17)*(INDEX(Decrements!$D$6:$D$58,Census!$G69+H$5-18)+IF(H$5=$B69,INDEX(Decrements!$F$6:$F$58,Census!$G69+H$5-18),0)+INDEX(Decrements!$E$6:$E$58,Census!$G69+H$5-18)*IF((Census!$F69+H$5)&gt;=Assumptions!$B$11,1,0))*MIN(15/26*Census!$D69*(1+Assumptions!$B$9)^H$5*(INT((Census!$F69+H$5))+IF((Census!$F69+H$5)-INT((Census!$F69+H$5))&gt;0.5,1,0)),Assumptions!$B$10))</f>
        <v>26196.528288248377</v>
      </c>
      <c r="I69" s="30">
        <f>IF(I$5&gt;$B69,0,INDEX(Decrements!$G$6:$G$58,Census!$G69+I$5-18)/INDEX(Decrements!$G$6:$G$58,Census!$G69-17)*(INDEX(Decrements!$D$6:$D$58,Census!$G69+I$5-18)+IF(I$5=$B69,INDEX(Decrements!$F$6:$F$58,Census!$G69+I$5-18),0)+INDEX(Decrements!$E$6:$E$58,Census!$G69+I$5-18)*IF((Census!$F69+I$5)&gt;=Assumptions!$B$11,1,0))*MIN(15/26*Census!$D69*(1+Assumptions!$B$9)^I$5*(INT((Census!$F69+I$5))+IF((Census!$F69+I$5)-INT((Census!$F69+I$5))&gt;0.5,1,0)),Assumptions!$B$10))</f>
        <v>17917.183967002085</v>
      </c>
      <c r="J69" s="30">
        <f>IF(J$5&gt;$B69,0,INDEX(Decrements!$G$6:$G$58,Census!$G69+J$5-18)/INDEX(Decrements!$G$6:$G$58,Census!$G69-17)*(INDEX(Decrements!$D$6:$D$58,Census!$G69+J$5-18)+IF(J$5=$B69,INDEX(Decrements!$F$6:$F$58,Census!$G69+J$5-18),0)+INDEX(Decrements!$E$6:$E$58,Census!$G69+J$5-18)*IF((Census!$F69+J$5)&gt;=Assumptions!$B$11,1,0))*MIN(15/26*Census!$D69*(1+Assumptions!$B$9)^J$5*(INT((Census!$F69+J$5))+IF((Census!$F69+J$5)-INT((Census!$F69+J$5))&gt;0.5,1,0)),Assumptions!$B$10))</f>
        <v>20268.658658757355</v>
      </c>
      <c r="K69" s="30">
        <f>IF(K$5&gt;$B69,0,INDEX(Decrements!$G$6:$G$58,Census!$G69+K$5-18)/INDEX(Decrements!$G$6:$G$58,Census!$G69-17)*(INDEX(Decrements!$D$6:$D$58,Census!$G69+K$5-18)+IF(K$5=$B69,INDEX(Decrements!$F$6:$F$58,Census!$G69+K$5-18),0)+INDEX(Decrements!$E$6:$E$58,Census!$G69+K$5-18)*IF((Census!$F69+K$5)&gt;=Assumptions!$B$11,1,0))*MIN(15/26*Census!$D69*(1+Assumptions!$B$9)^K$5*(INT((Census!$F69+K$5))+IF((Census!$F69+K$5)-INT((Census!$F69+K$5))&gt;0.5,1,0)),Assumptions!$B$10))</f>
        <v>22818.264367134474</v>
      </c>
      <c r="L69" s="30">
        <f>IF(L$5&gt;$B69,0,INDEX(Decrements!$G$6:$G$58,Census!$G69+L$5-18)/INDEX(Decrements!$G$6:$G$58,Census!$G69-17)*(INDEX(Decrements!$D$6:$D$58,Census!$G69+L$5-18)+IF(L$5=$B69,INDEX(Decrements!$F$6:$F$58,Census!$G69+L$5-18),0)+INDEX(Decrements!$E$6:$E$58,Census!$G69+L$5-18)*IF((Census!$F69+L$5)&gt;=Assumptions!$B$11,1,0))*MIN(15/26*Census!$D69*(1+Assumptions!$B$9)^L$5*(INT((Census!$F69+L$5))+IF((Census!$F69+L$5)-INT((Census!$F69+L$5))&gt;0.5,1,0)),Assumptions!$B$10))</f>
        <v>25582.306671832714</v>
      </c>
      <c r="M69" s="30">
        <f>IF(M$5&gt;$B69,0,INDEX(Decrements!$G$6:$G$58,Census!$G69+M$5-18)/INDEX(Decrements!$G$6:$G$58,Census!$G69-17)*(INDEX(Decrements!$D$6:$D$58,Census!$G69+M$5-18)+IF(M$5=$B69,INDEX(Decrements!$F$6:$F$58,Census!$G69+M$5-18),0)+INDEX(Decrements!$E$6:$E$58,Census!$G69+M$5-18)*IF((Census!$F69+M$5)&gt;=Assumptions!$B$11,1,0))*MIN(15/26*Census!$D69*(1+Assumptions!$B$9)^M$5*(INT((Census!$F69+M$5))+IF((Census!$F69+M$5)-INT((Census!$F69+M$5))&gt;0.5,1,0)),Assumptions!$B$10))</f>
        <v>28578.655810939301</v>
      </c>
      <c r="N69" s="30">
        <f>IF(N$5&gt;$B69,0,INDEX(Decrements!$G$6:$G$58,Census!$G69+N$5-18)/INDEX(Decrements!$G$6:$G$58,Census!$G69-17)*(INDEX(Decrements!$D$6:$D$58,Census!$G69+N$5-18)+IF(N$5=$B69,INDEX(Decrements!$F$6:$F$58,Census!$G69+N$5-18),0)+INDEX(Decrements!$E$6:$E$58,Census!$G69+N$5-18)*IF((Census!$F69+N$5)&gt;=Assumptions!$B$11,1,0))*MIN(15/26*Census!$D69*(1+Assumptions!$B$9)^N$5*(INT((Census!$F69+N$5))+IF((Census!$F69+N$5)-INT((Census!$F69+N$5))&gt;0.5,1,0)),Assumptions!$B$10))</f>
        <v>22143.507792171138</v>
      </c>
      <c r="O69" s="30">
        <f>IF(O$5&gt;$B69,0,INDEX(Decrements!$G$6:$G$58,Census!$G69+O$5-18)/INDEX(Decrements!$G$6:$G$58,Census!$G69-17)*(INDEX(Decrements!$D$6:$D$58,Census!$G69+O$5-18)+IF(O$5=$B69,INDEX(Decrements!$F$6:$F$58,Census!$G69+O$5-18),0)+INDEX(Decrements!$E$6:$E$58,Census!$G69+O$5-18)*IF((Census!$F69+O$5)&gt;=Assumptions!$B$11,1,0))*MIN(15/26*Census!$D69*(1+Assumptions!$B$9)^O$5*(INT((Census!$F69+O$5))+IF((Census!$F69+O$5)-INT((Census!$F69+O$5))&gt;0.5,1,0)),Assumptions!$B$10))</f>
        <v>24928.376386400956</v>
      </c>
      <c r="P69" s="30">
        <f>IF(P$5&gt;$B69,0,INDEX(Decrements!$G$6:$G$58,Census!$G69+P$5-18)/INDEX(Decrements!$G$6:$G$58,Census!$G69-17)*(INDEX(Decrements!$D$6:$D$58,Census!$G69+P$5-18)+IF(P$5=$B69,INDEX(Decrements!$F$6:$F$58,Census!$G69+P$5-18),0)+INDEX(Decrements!$E$6:$E$58,Census!$G69+P$5-18)*IF((Census!$F69+P$5)&gt;=Assumptions!$B$11,1,0))*MIN(15/26*Census!$D69*(1+Assumptions!$B$9)^P$5*(INT((Census!$F69+P$5))+IF((Census!$F69+P$5)-INT((Census!$F69+P$5))&gt;0.5,1,0)),Assumptions!$B$10))</f>
        <v>26655.556671355662</v>
      </c>
      <c r="Q69" s="30">
        <f>IF(Q$5&gt;$B69,0,INDEX(Decrements!$G$6:$G$58,Census!$G69+Q$5-18)/INDEX(Decrements!$G$6:$G$58,Census!$G69-17)*(INDEX(Decrements!$D$6:$D$58,Census!$G69+Q$5-18)+IF(Q$5=$B69,INDEX(Decrements!$F$6:$F$58,Census!$G69+Q$5-18),0)+INDEX(Decrements!$E$6:$E$58,Census!$G69+Q$5-18)*IF((Census!$F69+Q$5)&gt;=Assumptions!$B$11,1,0))*MIN(15/26*Census!$D69*(1+Assumptions!$B$9)^Q$5*(INT((Census!$F69+Q$5))+IF((Census!$F69+Q$5)-INT((Census!$F69+Q$5))&gt;0.5,1,0)),Assumptions!$B$10))</f>
        <v>26359.412066258559</v>
      </c>
      <c r="R69" s="30">
        <f>IF(R$5&gt;$B69,0,INDEX(Decrements!$G$6:$G$58,Census!$G69+R$5-18)/INDEX(Decrements!$G$6:$G$58,Census!$G69-17)*(INDEX(Decrements!$D$6:$D$58,Census!$G69+R$5-18)+IF(R$5=$B69,INDEX(Decrements!$F$6:$F$58,Census!$G69+R$5-18),0)+INDEX(Decrements!$E$6:$E$58,Census!$G69+R$5-18)*IF((Census!$F69+R$5)&gt;=Assumptions!$B$11,1,0))*MIN(15/26*Census!$D69*(1+Assumptions!$B$9)^R$5*(INT((Census!$F69+R$5))+IF((Census!$F69+R$5)-INT((Census!$F69+R$5))&gt;0.5,1,0)),Assumptions!$B$10))</f>
        <v>26086.461041428975</v>
      </c>
      <c r="S69" s="30">
        <f>IF(S$5&gt;$B69,0,INDEX(Decrements!$G$6:$G$58,Census!$G69+S$5-18)/INDEX(Decrements!$G$6:$G$58,Census!$G69-17)*(INDEX(Decrements!$D$6:$D$58,Census!$G69+S$5-18)+IF(S$5=$B69,INDEX(Decrements!$F$6:$F$58,Census!$G69+S$5-18),0)+INDEX(Decrements!$E$6:$E$58,Census!$G69+S$5-18)*IF((Census!$F69+S$5)&gt;=Assumptions!$B$11,1,0))*MIN(15/26*Census!$D69*(1+Assumptions!$B$9)^S$5*(INT((Census!$F69+S$5))+IF((Census!$F69+S$5)-INT((Census!$F69+S$5))&gt;0.5,1,0)),Assumptions!$B$10))</f>
        <v>15238.09938259788</v>
      </c>
      <c r="T69" s="30">
        <f>IF(T$5&gt;$B69,0,INDEX(Decrements!$G$6:$G$58,Census!$G69+T$5-18)/INDEX(Decrements!$G$6:$G$58,Census!$G69-17)*(INDEX(Decrements!$D$6:$D$58,Census!$G69+T$5-18)+IF(T$5=$B69,INDEX(Decrements!$F$6:$F$58,Census!$G69+T$5-18),0)+INDEX(Decrements!$E$6:$E$58,Census!$G69+T$5-18)*IF((Census!$F69+T$5)&gt;=Assumptions!$B$11,1,0))*MIN(15/26*Census!$D69*(1+Assumptions!$B$9)^T$5*(INT((Census!$F69+T$5))+IF((Census!$F69+T$5)-INT((Census!$F69+T$5))&gt;0.5,1,0)),Assumptions!$B$10))</f>
        <v>15430.22557286387</v>
      </c>
      <c r="U69" s="30">
        <f>IF(U$5&gt;$B69,0,INDEX(Decrements!$G$6:$G$58,Census!$G69+U$5-18)/INDEX(Decrements!$G$6:$G$58,Census!$G69-17)*(INDEX(Decrements!$D$6:$D$58,Census!$G69+U$5-18)+IF(U$5=$B69,INDEX(Decrements!$F$6:$F$58,Census!$G69+U$5-18),0)+INDEX(Decrements!$E$6:$E$58,Census!$G69+U$5-18)*IF((Census!$F69+U$5)&gt;=Assumptions!$B$11,1,0))*MIN(15/26*Census!$D69*(1+Assumptions!$B$9)^U$5*(INT((Census!$F69+U$5))+IF((Census!$F69+U$5)-INT((Census!$F69+U$5))&gt;0.5,1,0)),Assumptions!$B$10))</f>
        <v>15647.772402611306</v>
      </c>
      <c r="V69" s="30">
        <f>IF(V$5&gt;$B69,0,INDEX(Decrements!$G$6:$G$58,Census!$G69+V$5-18)/INDEX(Decrements!$G$6:$G$58,Census!$G69-17)*(INDEX(Decrements!$D$6:$D$58,Census!$G69+V$5-18)+IF(V$5=$B69,INDEX(Decrements!$F$6:$F$58,Census!$G69+V$5-18),0)+INDEX(Decrements!$E$6:$E$58,Census!$G69+V$5-18)*IF((Census!$F69+V$5)&gt;=Assumptions!$B$11,1,0))*MIN(15/26*Census!$D69*(1+Assumptions!$B$9)^V$5*(INT((Census!$F69+V$5))+IF((Census!$F69+V$5)-INT((Census!$F69+V$5))&gt;0.5,1,0)),Assumptions!$B$10))</f>
        <v>15892.218432355952</v>
      </c>
      <c r="W69" s="30">
        <f>IF(W$5&gt;$B69,0,INDEX(Decrements!$G$6:$G$58,Census!$G69+W$5-18)/INDEX(Decrements!$G$6:$G$58,Census!$G69-17)*(INDEX(Decrements!$D$6:$D$58,Census!$G69+W$5-18)+IF(W$5=$B69,INDEX(Decrements!$F$6:$F$58,Census!$G69+W$5-18),0)+INDEX(Decrements!$E$6:$E$58,Census!$G69+W$5-18)*IF((Census!$F69+W$5)&gt;=Assumptions!$B$11,1,0))*MIN(15/26*Census!$D69*(1+Assumptions!$B$9)^W$5*(INT((Census!$F69+W$5))+IF((Census!$F69+W$5)-INT((Census!$F69+W$5))&gt;0.5,1,0)),Assumptions!$B$10))</f>
        <v>1002340.4356170596</v>
      </c>
      <c r="X69" s="30">
        <f>IF(X$5&gt;$B69,0,INDEX(Decrements!$G$6:$G$58,Census!$G69+X$5-18)/INDEX(Decrements!$G$6:$G$58,Census!$G69-17)*(INDEX(Decrements!$D$6:$D$58,Census!$G69+X$5-18)+IF(X$5=$B69,INDEX(Decrements!$F$6:$F$58,Census!$G69+X$5-18),0)+INDEX(Decrements!$E$6:$E$58,Census!$G69+X$5-18)*IF((Census!$F69+X$5)&gt;=Assumptions!$B$11,1,0))*MIN(15/26*Census!$D69*(1+Assumptions!$B$9)^X$5*(INT((Census!$F69+X$5))+IF((Census!$F69+X$5)-INT((Census!$F69+X$5))&gt;0.5,1,0)),Assumptions!$B$10))</f>
        <v>0</v>
      </c>
      <c r="Y69" s="30">
        <f>IF(Y$5&gt;$B69,0,INDEX(Decrements!$G$6:$G$58,Census!$G69+Y$5-18)/INDEX(Decrements!$G$6:$G$58,Census!$G69-17)*(INDEX(Decrements!$D$6:$D$58,Census!$G69+Y$5-18)+IF(Y$5=$B69,INDEX(Decrements!$F$6:$F$58,Census!$G69+Y$5-18),0)+INDEX(Decrements!$E$6:$E$58,Census!$G69+Y$5-18)*IF((Census!$F69+Y$5)&gt;=Assumptions!$B$11,1,0))*MIN(15/26*Census!$D69*(1+Assumptions!$B$9)^Y$5*(INT((Census!$F69+Y$5))+IF((Census!$F69+Y$5)-INT((Census!$F69+Y$5))&gt;0.5,1,0)),Assumptions!$B$10))</f>
        <v>0</v>
      </c>
      <c r="Z69" s="30">
        <f>IF(Z$5&gt;$B69,0,INDEX(Decrements!$G$6:$G$58,Census!$G69+Z$5-18)/INDEX(Decrements!$G$6:$G$58,Census!$G69-17)*(INDEX(Decrements!$D$6:$D$58,Census!$G69+Z$5-18)+IF(Z$5=$B69,INDEX(Decrements!$F$6:$F$58,Census!$G69+Z$5-18),0)+INDEX(Decrements!$E$6:$E$58,Census!$G69+Z$5-18)*IF((Census!$F69+Z$5)&gt;=Assumptions!$B$11,1,0))*MIN(15/26*Census!$D69*(1+Assumptions!$B$9)^Z$5*(INT((Census!$F69+Z$5))+IF((Census!$F69+Z$5)-INT((Census!$F69+Z$5))&gt;0.5,1,0)),Assumptions!$B$10))</f>
        <v>0</v>
      </c>
      <c r="AA69" s="30">
        <f>IF(AA$5&gt;$B69,0,INDEX(Decrements!$G$6:$G$58,Census!$G69+AA$5-18)/INDEX(Decrements!$G$6:$G$58,Census!$G69-17)*(INDEX(Decrements!$D$6:$D$58,Census!$G69+AA$5-18)+IF(AA$5=$B69,INDEX(Decrements!$F$6:$F$58,Census!$G69+AA$5-18),0)+INDEX(Decrements!$E$6:$E$58,Census!$G69+AA$5-18)*IF((Census!$F69+AA$5)&gt;=Assumptions!$B$11,1,0))*MIN(15/26*Census!$D69*(1+Assumptions!$B$9)^AA$5*(INT((Census!$F69+AA$5))+IF((Census!$F69+AA$5)-INT((Census!$F69+AA$5))&gt;0.5,1,0)),Assumptions!$B$10))</f>
        <v>0</v>
      </c>
      <c r="AB69" s="30">
        <f>IF(AB$5&gt;$B69,0,INDEX(Decrements!$G$6:$G$58,Census!$G69+AB$5-18)/INDEX(Decrements!$G$6:$G$58,Census!$G69-17)*(INDEX(Decrements!$D$6:$D$58,Census!$G69+AB$5-18)+IF(AB$5=$B69,INDEX(Decrements!$F$6:$F$58,Census!$G69+AB$5-18),0)+INDEX(Decrements!$E$6:$E$58,Census!$G69+AB$5-18)*IF((Census!$F69+AB$5)&gt;=Assumptions!$B$11,1,0))*MIN(15/26*Census!$D69*(1+Assumptions!$B$9)^AB$5*(INT((Census!$F69+AB$5))+IF((Census!$F69+AB$5)-INT((Census!$F69+AB$5))&gt;0.5,1,0)),Assumptions!$B$10))</f>
        <v>0</v>
      </c>
      <c r="AC69" s="30">
        <f>IF(AC$5&gt;$B69,0,INDEX(Decrements!$G$6:$G$58,Census!$G69+AC$5-18)/INDEX(Decrements!$G$6:$G$58,Census!$G69-17)*(INDEX(Decrements!$D$6:$D$58,Census!$G69+AC$5-18)+IF(AC$5=$B69,INDEX(Decrements!$F$6:$F$58,Census!$G69+AC$5-18),0)+INDEX(Decrements!$E$6:$E$58,Census!$G69+AC$5-18)*IF((Census!$F69+AC$5)&gt;=Assumptions!$B$11,1,0))*MIN(15/26*Census!$D69*(1+Assumptions!$B$9)^AC$5*(INT((Census!$F69+AC$5))+IF((Census!$F69+AC$5)-INT((Census!$F69+AC$5))&gt;0.5,1,0)),Assumptions!$B$10))</f>
        <v>0</v>
      </c>
      <c r="AD69" s="30">
        <f>IF(AD$5&gt;$B69,0,INDEX(Decrements!$G$6:$G$58,Census!$G69+AD$5-18)/INDEX(Decrements!$G$6:$G$58,Census!$G69-17)*(INDEX(Decrements!$D$6:$D$58,Census!$G69+AD$5-18)+IF(AD$5=$B69,INDEX(Decrements!$F$6:$F$58,Census!$G69+AD$5-18),0)+INDEX(Decrements!$E$6:$E$58,Census!$G69+AD$5-18)*IF((Census!$F69+AD$5)&gt;=Assumptions!$B$11,1,0))*MIN(15/26*Census!$D69*(1+Assumptions!$B$9)^AD$5*(INT((Census!$F69+AD$5))+IF((Census!$F69+AD$5)-INT((Census!$F69+AD$5))&gt;0.5,1,0)),Assumptions!$B$10))</f>
        <v>0</v>
      </c>
      <c r="AE69" s="30">
        <f>IF(AE$5&gt;$B69,0,INDEX(Decrements!$G$6:$G$58,Census!$G69+AE$5-18)/INDEX(Decrements!$G$6:$G$58,Census!$G69-17)*(INDEX(Decrements!$D$6:$D$58,Census!$G69+AE$5-18)+IF(AE$5=$B69,INDEX(Decrements!$F$6:$F$58,Census!$G69+AE$5-18),0)+INDEX(Decrements!$E$6:$E$58,Census!$G69+AE$5-18)*IF((Census!$F69+AE$5)&gt;=Assumptions!$B$11,1,0))*MIN(15/26*Census!$D69*(1+Assumptions!$B$9)^AE$5*(INT((Census!$F69+AE$5))+IF((Census!$F69+AE$5)-INT((Census!$F69+AE$5))&gt;0.5,1,0)),Assumptions!$B$10))</f>
        <v>0</v>
      </c>
      <c r="AF69" s="30">
        <f>IF(AF$5&gt;$B69,0,INDEX(Decrements!$G$6:$G$58,Census!$G69+AF$5-18)/INDEX(Decrements!$G$6:$G$58,Census!$G69-17)*(INDEX(Decrements!$D$6:$D$58,Census!$G69+AF$5-18)+IF(AF$5=$B69,INDEX(Decrements!$F$6:$F$58,Census!$G69+AF$5-18),0)+INDEX(Decrements!$E$6:$E$58,Census!$G69+AF$5-18)*IF((Census!$F69+AF$5)&gt;=Assumptions!$B$11,1,0))*MIN(15/26*Census!$D69*(1+Assumptions!$B$9)^AF$5*(INT((Census!$F69+AF$5))+IF((Census!$F69+AF$5)-INT((Census!$F69+AF$5))&gt;0.5,1,0)),Assumptions!$B$10))</f>
        <v>0</v>
      </c>
      <c r="AG69" s="30">
        <f>IF(AG$5&gt;$B69,0,INDEX(Decrements!$G$6:$G$58,Census!$G69+AG$5-18)/INDEX(Decrements!$G$6:$G$58,Census!$G69-17)*(INDEX(Decrements!$D$6:$D$58,Census!$G69+AG$5-18)+IF(AG$5=$B69,INDEX(Decrements!$F$6:$F$58,Census!$G69+AG$5-18),0)+INDEX(Decrements!$E$6:$E$58,Census!$G69+AG$5-18)*IF((Census!$F69+AG$5)&gt;=Assumptions!$B$11,1,0))*MIN(15/26*Census!$D69*(1+Assumptions!$B$9)^AG$5*(INT((Census!$F69+AG$5))+IF((Census!$F69+AG$5)-INT((Census!$F69+AG$5))&gt;0.5,1,0)),Assumptions!$B$10))</f>
        <v>0</v>
      </c>
      <c r="AH69" s="30">
        <f>IF(AH$5&gt;$B69,0,INDEX(Decrements!$G$6:$G$58,Census!$G69+AH$5-18)/INDEX(Decrements!$G$6:$G$58,Census!$G69-17)*(INDEX(Decrements!$D$6:$D$58,Census!$G69+AH$5-18)+IF(AH$5=$B69,INDEX(Decrements!$F$6:$F$58,Census!$G69+AH$5-18),0)+INDEX(Decrements!$E$6:$E$58,Census!$G69+AH$5-18)*IF((Census!$F69+AH$5)&gt;=Assumptions!$B$11,1,0))*MIN(15/26*Census!$D69*(1+Assumptions!$B$9)^AH$5*(INT((Census!$F69+AH$5))+IF((Census!$F69+AH$5)-INT((Census!$F69+AH$5))&gt;0.5,1,0)),Assumptions!$B$10))</f>
        <v>0</v>
      </c>
      <c r="AI69" s="30">
        <f>IF(AI$5&gt;$B69,0,INDEX(Decrements!$G$6:$G$58,Census!$G69+AI$5-18)/INDEX(Decrements!$G$6:$G$58,Census!$G69-17)*(INDEX(Decrements!$D$6:$D$58,Census!$G69+AI$5-18)+IF(AI$5=$B69,INDEX(Decrements!$F$6:$F$58,Census!$G69+AI$5-18),0)+INDEX(Decrements!$E$6:$E$58,Census!$G69+AI$5-18)*IF((Census!$F69+AI$5)&gt;=Assumptions!$B$11,1,0))*MIN(15/26*Census!$D69*(1+Assumptions!$B$9)^AI$5*(INT((Census!$F69+AI$5))+IF((Census!$F69+AI$5)-INT((Census!$F69+AI$5))&gt;0.5,1,0)),Assumptions!$B$10))</f>
        <v>0</v>
      </c>
      <c r="AJ69" s="30">
        <f>IF(AJ$5&gt;$B69,0,INDEX(Decrements!$G$6:$G$58,Census!$G69+AJ$5-18)/INDEX(Decrements!$G$6:$G$58,Census!$G69-17)*(INDEX(Decrements!$D$6:$D$58,Census!$G69+AJ$5-18)+IF(AJ$5=$B69,INDEX(Decrements!$F$6:$F$58,Census!$G69+AJ$5-18),0)+INDEX(Decrements!$E$6:$E$58,Census!$G69+AJ$5-18)*IF((Census!$F69+AJ$5)&gt;=Assumptions!$B$11,1,0))*MIN(15/26*Census!$D69*(1+Assumptions!$B$9)^AJ$5*(INT((Census!$F69+AJ$5))+IF((Census!$F69+AJ$5)-INT((Census!$F69+AJ$5))&gt;0.5,1,0)),Assumptions!$B$10))</f>
        <v>0</v>
      </c>
      <c r="AK69" s="30">
        <f>IF(AK$5&gt;$B69,0,INDEX(Decrements!$G$6:$G$58,Census!$G69+AK$5-18)/INDEX(Decrements!$G$6:$G$58,Census!$G69-17)*(INDEX(Decrements!$D$6:$D$58,Census!$G69+AK$5-18)+IF(AK$5=$B69,INDEX(Decrements!$F$6:$F$58,Census!$G69+AK$5-18),0)+INDEX(Decrements!$E$6:$E$58,Census!$G69+AK$5-18)*IF((Census!$F69+AK$5)&gt;=Assumptions!$B$11,1,0))*MIN(15/26*Census!$D69*(1+Assumptions!$B$9)^AK$5*(INT((Census!$F69+AK$5))+IF((Census!$F69+AK$5)-INT((Census!$F69+AK$5))&gt;0.5,1,0)),Assumptions!$B$10))</f>
        <v>0</v>
      </c>
      <c r="AL69" s="30">
        <f>IF(AL$5&gt;$B69,0,INDEX(Decrements!$G$6:$G$58,Census!$G69+AL$5-18)/INDEX(Decrements!$G$6:$G$58,Census!$G69-17)*(INDEX(Decrements!$D$6:$D$58,Census!$G69+AL$5-18)+IF(AL$5=$B69,INDEX(Decrements!$F$6:$F$58,Census!$G69+AL$5-18),0)+INDEX(Decrements!$E$6:$E$58,Census!$G69+AL$5-18)*IF((Census!$F69+AL$5)&gt;=Assumptions!$B$11,1,0))*MIN(15/26*Census!$D69*(1+Assumptions!$B$9)^AL$5*(INT((Census!$F69+AL$5))+IF((Census!$F69+AL$5)-INT((Census!$F69+AL$5))&gt;0.5,1,0)),Assumptions!$B$10))</f>
        <v>0</v>
      </c>
      <c r="AM69" s="30">
        <f>IF(AM$5&gt;$B69,0,INDEX(Decrements!$G$6:$G$58,Census!$G69+AM$5-18)/INDEX(Decrements!$G$6:$G$58,Census!$G69-17)*(INDEX(Decrements!$D$6:$D$58,Census!$G69+AM$5-18)+IF(AM$5=$B69,INDEX(Decrements!$F$6:$F$58,Census!$G69+AM$5-18),0)+INDEX(Decrements!$E$6:$E$58,Census!$G69+AM$5-18)*IF((Census!$F69+AM$5)&gt;=Assumptions!$B$11,1,0))*MIN(15/26*Census!$D69*(1+Assumptions!$B$9)^AM$5*(INT((Census!$F69+AM$5))+IF((Census!$F69+AM$5)-INT((Census!$F69+AM$5))&gt;0.5,1,0)),Assumptions!$B$10))</f>
        <v>0</v>
      </c>
      <c r="AN69" s="30">
        <f>IF(AN$5&gt;$B69,0,INDEX(Decrements!$G$6:$G$58,Census!$G69+AN$5-18)/INDEX(Decrements!$G$6:$G$58,Census!$G69-17)*(INDEX(Decrements!$D$6:$D$58,Census!$G69+AN$5-18)+IF(AN$5=$B69,INDEX(Decrements!$F$6:$F$58,Census!$G69+AN$5-18),0)+INDEX(Decrements!$E$6:$E$58,Census!$G69+AN$5-18)*IF((Census!$F69+AN$5)&gt;=Assumptions!$B$11,1,0))*MIN(15/26*Census!$D69*(1+Assumptions!$B$9)^AN$5*(INT((Census!$F69+AN$5))+IF((Census!$F69+AN$5)-INT((Census!$F69+AN$5))&gt;0.5,1,0)),Assumptions!$B$10))</f>
        <v>0</v>
      </c>
      <c r="AO69" s="30">
        <f>IF(AO$5&gt;$B69,0,INDEX(Decrements!$G$6:$G$58,Census!$G69+AO$5-18)/INDEX(Decrements!$G$6:$G$58,Census!$G69-17)*(INDEX(Decrements!$D$6:$D$58,Census!$G69+AO$5-18)+IF(AO$5=$B69,INDEX(Decrements!$F$6:$F$58,Census!$G69+AO$5-18),0)+INDEX(Decrements!$E$6:$E$58,Census!$G69+AO$5-18)*IF((Census!$F69+AO$5)&gt;=Assumptions!$B$11,1,0))*MIN(15/26*Census!$D69*(1+Assumptions!$B$9)^AO$5*(INT((Census!$F69+AO$5))+IF((Census!$F69+AO$5)-INT((Census!$F69+AO$5))&gt;0.5,1,0)),Assumptions!$B$10))</f>
        <v>0</v>
      </c>
      <c r="AP69" s="30">
        <f>IF(AP$5&gt;$B69,0,INDEX(Decrements!$G$6:$G$58,Census!$G69+AP$5-18)/INDEX(Decrements!$G$6:$G$58,Census!$G69-17)*(INDEX(Decrements!$D$6:$D$58,Census!$G69+AP$5-18)+IF(AP$5=$B69,INDEX(Decrements!$F$6:$F$58,Census!$G69+AP$5-18),0)+INDEX(Decrements!$E$6:$E$58,Census!$G69+AP$5-18)*IF((Census!$F69+AP$5)&gt;=Assumptions!$B$11,1,0))*MIN(15/26*Census!$D69*(1+Assumptions!$B$9)^AP$5*(INT((Census!$F69+AP$5))+IF((Census!$F69+AP$5)-INT((Census!$F69+AP$5))&gt;0.5,1,0)),Assumptions!$B$10))</f>
        <v>0</v>
      </c>
      <c r="AQ69" s="30">
        <f>IF(AQ$5&gt;$B69,0,INDEX(Decrements!$G$6:$G$58,Census!$G69+AQ$5-18)/INDEX(Decrements!$G$6:$G$58,Census!$G69-17)*(INDEX(Decrements!$D$6:$D$58,Census!$G69+AQ$5-18)+IF(AQ$5=$B69,INDEX(Decrements!$F$6:$F$58,Census!$G69+AQ$5-18),0)+INDEX(Decrements!$E$6:$E$58,Census!$G69+AQ$5-18)*IF((Census!$F69+AQ$5)&gt;=Assumptions!$B$11,1,0))*MIN(15/26*Census!$D69*(1+Assumptions!$B$9)^AQ$5*(INT((Census!$F69+AQ$5))+IF((Census!$F69+AQ$5)-INT((Census!$F69+AQ$5))&gt;0.5,1,0)),Assumptions!$B$10))</f>
        <v>0</v>
      </c>
      <c r="AR69" s="30">
        <f>IF(AR$5&gt;$B69,0,INDEX(Decrements!$G$6:$G$58,Census!$G69+AR$5-18)/INDEX(Decrements!$G$6:$G$58,Census!$G69-17)*(INDEX(Decrements!$D$6:$D$58,Census!$G69+AR$5-18)+IF(AR$5=$B69,INDEX(Decrements!$F$6:$F$58,Census!$G69+AR$5-18),0)+INDEX(Decrements!$E$6:$E$58,Census!$G69+AR$5-18)*IF((Census!$F69+AR$5)&gt;=Assumptions!$B$11,1,0))*MIN(15/26*Census!$D69*(1+Assumptions!$B$9)^AR$5*(INT((Census!$F69+AR$5))+IF((Census!$F69+AR$5)-INT((Census!$F69+AR$5))&gt;0.5,1,0)),Assumptions!$B$10))</f>
        <v>0</v>
      </c>
      <c r="AS69" s="30">
        <f>IF(AS$5&gt;$B69,0,INDEX(Decrements!$G$6:$G$58,Census!$G69+AS$5-18)/INDEX(Decrements!$G$6:$G$58,Census!$G69-17)*(INDEX(Decrements!$D$6:$D$58,Census!$G69+AS$5-18)+IF(AS$5=$B69,INDEX(Decrements!$F$6:$F$58,Census!$G69+AS$5-18),0)+INDEX(Decrements!$E$6:$E$58,Census!$G69+AS$5-18)*IF((Census!$F69+AS$5)&gt;=Assumptions!$B$11,1,0))*MIN(15/26*Census!$D69*(1+Assumptions!$B$9)^AS$5*(INT((Census!$F69+AS$5))+IF((Census!$F69+AS$5)-INT((Census!$F69+AS$5))&gt;0.5,1,0)),Assumptions!$B$10))</f>
        <v>0</v>
      </c>
      <c r="AT69" s="30">
        <f>IF(AT$5&gt;$B69,0,INDEX(Decrements!$G$6:$G$58,Census!$G69+AT$5-18)/INDEX(Decrements!$G$6:$G$58,Census!$G69-17)*(INDEX(Decrements!$D$6:$D$58,Census!$G69+AT$5-18)+IF(AT$5=$B69,INDEX(Decrements!$F$6:$F$58,Census!$G69+AT$5-18),0)+INDEX(Decrements!$E$6:$E$58,Census!$G69+AT$5-18)*IF((Census!$F69+AT$5)&gt;=Assumptions!$B$11,1,0))*MIN(15/26*Census!$D69*(1+Assumptions!$B$9)^AT$5*(INT((Census!$F69+AT$5))+IF((Census!$F69+AT$5)-INT((Census!$F69+AT$5))&gt;0.5,1,0)),Assumptions!$B$10))</f>
        <v>0</v>
      </c>
      <c r="AU69" s="30">
        <f>IF(AU$5&gt;$B69,0,INDEX(Decrements!$G$6:$G$58,Census!$G69+AU$5-18)/INDEX(Decrements!$G$6:$G$58,Census!$G69-17)*(INDEX(Decrements!$D$6:$D$58,Census!$G69+AU$5-18)+IF(AU$5=$B69,INDEX(Decrements!$F$6:$F$58,Census!$G69+AU$5-18),0)+INDEX(Decrements!$E$6:$E$58,Census!$G69+AU$5-18)*IF((Census!$F69+AU$5)&gt;=Assumptions!$B$11,1,0))*MIN(15/26*Census!$D69*(1+Assumptions!$B$9)^AU$5*(INT((Census!$F69+AU$5))+IF((Census!$F69+AU$5)-INT((Census!$F69+AU$5))&gt;0.5,1,0)),Assumptions!$B$10))</f>
        <v>0</v>
      </c>
    </row>
    <row r="70" spans="1:47" x14ac:dyDescent="0.3">
      <c r="A70" s="10" t="str">
        <f>Census!A70</f>
        <v>E065</v>
      </c>
      <c r="B70" s="29">
        <f>Census!H70</f>
        <v>7</v>
      </c>
      <c r="C70" s="30">
        <f>IF(C$5&gt;$B70,0,INDEX(Decrements!$G$6:$G$58,Census!$G70+C$5-18)/INDEX(Decrements!$G$6:$G$58,Census!$G70-17)*(INDEX(Decrements!$D$6:$D$58,Census!$G70+C$5-18)+IF(C$5=$B70,INDEX(Decrements!$F$6:$F$58,Census!$G70+C$5-18),0)+INDEX(Decrements!$E$6:$E$58,Census!$G70+C$5-18)*IF((Census!$F70+C$5)&gt;=Assumptions!$B$11,1,0))*MIN(15/26*Census!$D70*(1+Assumptions!$B$9)^C$5*(INT((Census!$F70+C$5))+IF((Census!$F70+C$5)-INT((Census!$F70+C$5))&gt;0.5,1,0)),Assumptions!$B$10))</f>
        <v>47197.025818633076</v>
      </c>
      <c r="D70" s="30">
        <f>IF(D$5&gt;$B70,0,INDEX(Decrements!$G$6:$G$58,Census!$G70+D$5-18)/INDEX(Decrements!$G$6:$G$58,Census!$G70-17)*(INDEX(Decrements!$D$6:$D$58,Census!$G70+D$5-18)+IF(D$5=$B70,INDEX(Decrements!$F$6:$F$58,Census!$G70+D$5-18),0)+INDEX(Decrements!$E$6:$E$58,Census!$G70+D$5-18)*IF((Census!$F70+D$5)&gt;=Assumptions!$B$11,1,0))*MIN(15/26*Census!$D70*(1+Assumptions!$B$9)^D$5*(INT((Census!$F70+D$5))+IF((Census!$F70+D$5)-INT((Census!$F70+D$5))&gt;0.5,1,0)),Assumptions!$B$10))</f>
        <v>46708.301846576251</v>
      </c>
      <c r="E70" s="30">
        <f>IF(E$5&gt;$B70,0,INDEX(Decrements!$G$6:$G$58,Census!$G70+E$5-18)/INDEX(Decrements!$G$6:$G$58,Census!$G70-17)*(INDEX(Decrements!$D$6:$D$58,Census!$G70+E$5-18)+IF(E$5=$B70,INDEX(Decrements!$F$6:$F$58,Census!$G70+E$5-18),0)+INDEX(Decrements!$E$6:$E$58,Census!$G70+E$5-18)*IF((Census!$F70+E$5)&gt;=Assumptions!$B$11,1,0))*MIN(15/26*Census!$D70*(1+Assumptions!$B$9)^E$5*(INT((Census!$F70+E$5))+IF((Census!$F70+E$5)-INT((Census!$F70+E$5))&gt;0.5,1,0)),Assumptions!$B$10))</f>
        <v>27284.105130249616</v>
      </c>
      <c r="F70" s="30">
        <f>IF(F$5&gt;$B70,0,INDEX(Decrements!$G$6:$G$58,Census!$G70+F$5-18)/INDEX(Decrements!$G$6:$G$58,Census!$G70-17)*(INDEX(Decrements!$D$6:$D$58,Census!$G70+F$5-18)+IF(F$5=$B70,INDEX(Decrements!$F$6:$F$58,Census!$G70+F$5-18),0)+INDEX(Decrements!$E$6:$E$58,Census!$G70+F$5-18)*IF((Census!$F70+F$5)&gt;=Assumptions!$B$11,1,0))*MIN(15/26*Census!$D70*(1+Assumptions!$B$9)^F$5*(INT((Census!$F70+F$5))+IF((Census!$F70+F$5)-INT((Census!$F70+F$5))&gt;0.5,1,0)),Assumptions!$B$10))</f>
        <v>27628.11070744634</v>
      </c>
      <c r="G70" s="30">
        <f>IF(G$5&gt;$B70,0,INDEX(Decrements!$G$6:$G$58,Census!$G70+G$5-18)/INDEX(Decrements!$G$6:$G$58,Census!$G70-17)*(INDEX(Decrements!$D$6:$D$58,Census!$G70+G$5-18)+IF(G$5=$B70,INDEX(Decrements!$F$6:$F$58,Census!$G70+G$5-18),0)+INDEX(Decrements!$E$6:$E$58,Census!$G70+G$5-18)*IF((Census!$F70+G$5)&gt;=Assumptions!$B$11,1,0))*MIN(15/26*Census!$D70*(1+Assumptions!$B$9)^G$5*(INT((Census!$F70+G$5))+IF((Census!$F70+G$5)-INT((Census!$F70+G$5))&gt;0.5,1,0)),Assumptions!$B$10))</f>
        <v>28017.632420394351</v>
      </c>
      <c r="H70" s="30">
        <f>IF(H$5&gt;$B70,0,INDEX(Decrements!$G$6:$G$58,Census!$G70+H$5-18)/INDEX(Decrements!$G$6:$G$58,Census!$G70-17)*(INDEX(Decrements!$D$6:$D$58,Census!$G70+H$5-18)+IF(H$5=$B70,INDEX(Decrements!$F$6:$F$58,Census!$G70+H$5-18),0)+INDEX(Decrements!$E$6:$E$58,Census!$G70+H$5-18)*IF((Census!$F70+H$5)&gt;=Assumptions!$B$11,1,0))*MIN(15/26*Census!$D70*(1+Assumptions!$B$9)^H$5*(INT((Census!$F70+H$5))+IF((Census!$F70+H$5)-INT((Census!$F70+H$5))&gt;0.5,1,0)),Assumptions!$B$10))</f>
        <v>28455.317659659937</v>
      </c>
      <c r="I70" s="30">
        <f>IF(I$5&gt;$B70,0,INDEX(Decrements!$G$6:$G$58,Census!$G70+I$5-18)/INDEX(Decrements!$G$6:$G$58,Census!$G70-17)*(INDEX(Decrements!$D$6:$D$58,Census!$G70+I$5-18)+IF(I$5=$B70,INDEX(Decrements!$F$6:$F$58,Census!$G70+I$5-18),0)+INDEX(Decrements!$E$6:$E$58,Census!$G70+I$5-18)*IF((Census!$F70+I$5)&gt;=Assumptions!$B$11,1,0))*MIN(15/26*Census!$D70*(1+Assumptions!$B$9)^I$5*(INT((Census!$F70+I$5))+IF((Census!$F70+I$5)-INT((Census!$F70+I$5))&gt;0.5,1,0)),Assumptions!$B$10))</f>
        <v>1794709.5064170405</v>
      </c>
      <c r="J70" s="30">
        <f>IF(J$5&gt;$B70,0,INDEX(Decrements!$G$6:$G$58,Census!$G70+J$5-18)/INDEX(Decrements!$G$6:$G$58,Census!$G70-17)*(INDEX(Decrements!$D$6:$D$58,Census!$G70+J$5-18)+IF(J$5=$B70,INDEX(Decrements!$F$6:$F$58,Census!$G70+J$5-18),0)+INDEX(Decrements!$E$6:$E$58,Census!$G70+J$5-18)*IF((Census!$F70+J$5)&gt;=Assumptions!$B$11,1,0))*MIN(15/26*Census!$D70*(1+Assumptions!$B$9)^J$5*(INT((Census!$F70+J$5))+IF((Census!$F70+J$5)-INT((Census!$F70+J$5))&gt;0.5,1,0)),Assumptions!$B$10))</f>
        <v>0</v>
      </c>
      <c r="K70" s="30">
        <f>IF(K$5&gt;$B70,0,INDEX(Decrements!$G$6:$G$58,Census!$G70+K$5-18)/INDEX(Decrements!$G$6:$G$58,Census!$G70-17)*(INDEX(Decrements!$D$6:$D$58,Census!$G70+K$5-18)+IF(K$5=$B70,INDEX(Decrements!$F$6:$F$58,Census!$G70+K$5-18),0)+INDEX(Decrements!$E$6:$E$58,Census!$G70+K$5-18)*IF((Census!$F70+K$5)&gt;=Assumptions!$B$11,1,0))*MIN(15/26*Census!$D70*(1+Assumptions!$B$9)^K$5*(INT((Census!$F70+K$5))+IF((Census!$F70+K$5)-INT((Census!$F70+K$5))&gt;0.5,1,0)),Assumptions!$B$10))</f>
        <v>0</v>
      </c>
      <c r="L70" s="30">
        <f>IF(L$5&gt;$B70,0,INDEX(Decrements!$G$6:$G$58,Census!$G70+L$5-18)/INDEX(Decrements!$G$6:$G$58,Census!$G70-17)*(INDEX(Decrements!$D$6:$D$58,Census!$G70+L$5-18)+IF(L$5=$B70,INDEX(Decrements!$F$6:$F$58,Census!$G70+L$5-18),0)+INDEX(Decrements!$E$6:$E$58,Census!$G70+L$5-18)*IF((Census!$F70+L$5)&gt;=Assumptions!$B$11,1,0))*MIN(15/26*Census!$D70*(1+Assumptions!$B$9)^L$5*(INT((Census!$F70+L$5))+IF((Census!$F70+L$5)-INT((Census!$F70+L$5))&gt;0.5,1,0)),Assumptions!$B$10))</f>
        <v>0</v>
      </c>
      <c r="M70" s="30">
        <f>IF(M$5&gt;$B70,0,INDEX(Decrements!$G$6:$G$58,Census!$G70+M$5-18)/INDEX(Decrements!$G$6:$G$58,Census!$G70-17)*(INDEX(Decrements!$D$6:$D$58,Census!$G70+M$5-18)+IF(M$5=$B70,INDEX(Decrements!$F$6:$F$58,Census!$G70+M$5-18),0)+INDEX(Decrements!$E$6:$E$58,Census!$G70+M$5-18)*IF((Census!$F70+M$5)&gt;=Assumptions!$B$11,1,0))*MIN(15/26*Census!$D70*(1+Assumptions!$B$9)^M$5*(INT((Census!$F70+M$5))+IF((Census!$F70+M$5)-INT((Census!$F70+M$5))&gt;0.5,1,0)),Assumptions!$B$10))</f>
        <v>0</v>
      </c>
      <c r="N70" s="30">
        <f>IF(N$5&gt;$B70,0,INDEX(Decrements!$G$6:$G$58,Census!$G70+N$5-18)/INDEX(Decrements!$G$6:$G$58,Census!$G70-17)*(INDEX(Decrements!$D$6:$D$58,Census!$G70+N$5-18)+IF(N$5=$B70,INDEX(Decrements!$F$6:$F$58,Census!$G70+N$5-18),0)+INDEX(Decrements!$E$6:$E$58,Census!$G70+N$5-18)*IF((Census!$F70+N$5)&gt;=Assumptions!$B$11,1,0))*MIN(15/26*Census!$D70*(1+Assumptions!$B$9)^N$5*(INT((Census!$F70+N$5))+IF((Census!$F70+N$5)-INT((Census!$F70+N$5))&gt;0.5,1,0)),Assumptions!$B$10))</f>
        <v>0</v>
      </c>
      <c r="O70" s="30">
        <f>IF(O$5&gt;$B70,0,INDEX(Decrements!$G$6:$G$58,Census!$G70+O$5-18)/INDEX(Decrements!$G$6:$G$58,Census!$G70-17)*(INDEX(Decrements!$D$6:$D$58,Census!$G70+O$5-18)+IF(O$5=$B70,INDEX(Decrements!$F$6:$F$58,Census!$G70+O$5-18),0)+INDEX(Decrements!$E$6:$E$58,Census!$G70+O$5-18)*IF((Census!$F70+O$5)&gt;=Assumptions!$B$11,1,0))*MIN(15/26*Census!$D70*(1+Assumptions!$B$9)^O$5*(INT((Census!$F70+O$5))+IF((Census!$F70+O$5)-INT((Census!$F70+O$5))&gt;0.5,1,0)),Assumptions!$B$10))</f>
        <v>0</v>
      </c>
      <c r="P70" s="30">
        <f>IF(P$5&gt;$B70,0,INDEX(Decrements!$G$6:$G$58,Census!$G70+P$5-18)/INDEX(Decrements!$G$6:$G$58,Census!$G70-17)*(INDEX(Decrements!$D$6:$D$58,Census!$G70+P$5-18)+IF(P$5=$B70,INDEX(Decrements!$F$6:$F$58,Census!$G70+P$5-18),0)+INDEX(Decrements!$E$6:$E$58,Census!$G70+P$5-18)*IF((Census!$F70+P$5)&gt;=Assumptions!$B$11,1,0))*MIN(15/26*Census!$D70*(1+Assumptions!$B$9)^P$5*(INT((Census!$F70+P$5))+IF((Census!$F70+P$5)-INT((Census!$F70+P$5))&gt;0.5,1,0)),Assumptions!$B$10))</f>
        <v>0</v>
      </c>
      <c r="Q70" s="30">
        <f>IF(Q$5&gt;$B70,0,INDEX(Decrements!$G$6:$G$58,Census!$G70+Q$5-18)/INDEX(Decrements!$G$6:$G$58,Census!$G70-17)*(INDEX(Decrements!$D$6:$D$58,Census!$G70+Q$5-18)+IF(Q$5=$B70,INDEX(Decrements!$F$6:$F$58,Census!$G70+Q$5-18),0)+INDEX(Decrements!$E$6:$E$58,Census!$G70+Q$5-18)*IF((Census!$F70+Q$5)&gt;=Assumptions!$B$11,1,0))*MIN(15/26*Census!$D70*(1+Assumptions!$B$9)^Q$5*(INT((Census!$F70+Q$5))+IF((Census!$F70+Q$5)-INT((Census!$F70+Q$5))&gt;0.5,1,0)),Assumptions!$B$10))</f>
        <v>0</v>
      </c>
      <c r="R70" s="30">
        <f>IF(R$5&gt;$B70,0,INDEX(Decrements!$G$6:$G$58,Census!$G70+R$5-18)/INDEX(Decrements!$G$6:$G$58,Census!$G70-17)*(INDEX(Decrements!$D$6:$D$58,Census!$G70+R$5-18)+IF(R$5=$B70,INDEX(Decrements!$F$6:$F$58,Census!$G70+R$5-18),0)+INDEX(Decrements!$E$6:$E$58,Census!$G70+R$5-18)*IF((Census!$F70+R$5)&gt;=Assumptions!$B$11,1,0))*MIN(15/26*Census!$D70*(1+Assumptions!$B$9)^R$5*(INT((Census!$F70+R$5))+IF((Census!$F70+R$5)-INT((Census!$F70+R$5))&gt;0.5,1,0)),Assumptions!$B$10))</f>
        <v>0</v>
      </c>
      <c r="S70" s="30">
        <f>IF(S$5&gt;$B70,0,INDEX(Decrements!$G$6:$G$58,Census!$G70+S$5-18)/INDEX(Decrements!$G$6:$G$58,Census!$G70-17)*(INDEX(Decrements!$D$6:$D$58,Census!$G70+S$5-18)+IF(S$5=$B70,INDEX(Decrements!$F$6:$F$58,Census!$G70+S$5-18),0)+INDEX(Decrements!$E$6:$E$58,Census!$G70+S$5-18)*IF((Census!$F70+S$5)&gt;=Assumptions!$B$11,1,0))*MIN(15/26*Census!$D70*(1+Assumptions!$B$9)^S$5*(INT((Census!$F70+S$5))+IF((Census!$F70+S$5)-INT((Census!$F70+S$5))&gt;0.5,1,0)),Assumptions!$B$10))</f>
        <v>0</v>
      </c>
      <c r="T70" s="30">
        <f>IF(T$5&gt;$B70,0,INDEX(Decrements!$G$6:$G$58,Census!$G70+T$5-18)/INDEX(Decrements!$G$6:$G$58,Census!$G70-17)*(INDEX(Decrements!$D$6:$D$58,Census!$G70+T$5-18)+IF(T$5=$B70,INDEX(Decrements!$F$6:$F$58,Census!$G70+T$5-18),0)+INDEX(Decrements!$E$6:$E$58,Census!$G70+T$5-18)*IF((Census!$F70+T$5)&gt;=Assumptions!$B$11,1,0))*MIN(15/26*Census!$D70*(1+Assumptions!$B$9)^T$5*(INT((Census!$F70+T$5))+IF((Census!$F70+T$5)-INT((Census!$F70+T$5))&gt;0.5,1,0)),Assumptions!$B$10))</f>
        <v>0</v>
      </c>
      <c r="U70" s="30">
        <f>IF(U$5&gt;$B70,0,INDEX(Decrements!$G$6:$G$58,Census!$G70+U$5-18)/INDEX(Decrements!$G$6:$G$58,Census!$G70-17)*(INDEX(Decrements!$D$6:$D$58,Census!$G70+U$5-18)+IF(U$5=$B70,INDEX(Decrements!$F$6:$F$58,Census!$G70+U$5-18),0)+INDEX(Decrements!$E$6:$E$58,Census!$G70+U$5-18)*IF((Census!$F70+U$5)&gt;=Assumptions!$B$11,1,0))*MIN(15/26*Census!$D70*(1+Assumptions!$B$9)^U$5*(INT((Census!$F70+U$5))+IF((Census!$F70+U$5)-INT((Census!$F70+U$5))&gt;0.5,1,0)),Assumptions!$B$10))</f>
        <v>0</v>
      </c>
      <c r="V70" s="30">
        <f>IF(V$5&gt;$B70,0,INDEX(Decrements!$G$6:$G$58,Census!$G70+V$5-18)/INDEX(Decrements!$G$6:$G$58,Census!$G70-17)*(INDEX(Decrements!$D$6:$D$58,Census!$G70+V$5-18)+IF(V$5=$B70,INDEX(Decrements!$F$6:$F$58,Census!$G70+V$5-18),0)+INDEX(Decrements!$E$6:$E$58,Census!$G70+V$5-18)*IF((Census!$F70+V$5)&gt;=Assumptions!$B$11,1,0))*MIN(15/26*Census!$D70*(1+Assumptions!$B$9)^V$5*(INT((Census!$F70+V$5))+IF((Census!$F70+V$5)-INT((Census!$F70+V$5))&gt;0.5,1,0)),Assumptions!$B$10))</f>
        <v>0</v>
      </c>
      <c r="W70" s="30">
        <f>IF(W$5&gt;$B70,0,INDEX(Decrements!$G$6:$G$58,Census!$G70+W$5-18)/INDEX(Decrements!$G$6:$G$58,Census!$G70-17)*(INDEX(Decrements!$D$6:$D$58,Census!$G70+W$5-18)+IF(W$5=$B70,INDEX(Decrements!$F$6:$F$58,Census!$G70+W$5-18),0)+INDEX(Decrements!$E$6:$E$58,Census!$G70+W$5-18)*IF((Census!$F70+W$5)&gt;=Assumptions!$B$11,1,0))*MIN(15/26*Census!$D70*(1+Assumptions!$B$9)^W$5*(INT((Census!$F70+W$5))+IF((Census!$F70+W$5)-INT((Census!$F70+W$5))&gt;0.5,1,0)),Assumptions!$B$10))</f>
        <v>0</v>
      </c>
      <c r="X70" s="30">
        <f>IF(X$5&gt;$B70,0,INDEX(Decrements!$G$6:$G$58,Census!$G70+X$5-18)/INDEX(Decrements!$G$6:$G$58,Census!$G70-17)*(INDEX(Decrements!$D$6:$D$58,Census!$G70+X$5-18)+IF(X$5=$B70,INDEX(Decrements!$F$6:$F$58,Census!$G70+X$5-18),0)+INDEX(Decrements!$E$6:$E$58,Census!$G70+X$5-18)*IF((Census!$F70+X$5)&gt;=Assumptions!$B$11,1,0))*MIN(15/26*Census!$D70*(1+Assumptions!$B$9)^X$5*(INT((Census!$F70+X$5))+IF((Census!$F70+X$5)-INT((Census!$F70+X$5))&gt;0.5,1,0)),Assumptions!$B$10))</f>
        <v>0</v>
      </c>
      <c r="Y70" s="30">
        <f>IF(Y$5&gt;$B70,0,INDEX(Decrements!$G$6:$G$58,Census!$G70+Y$5-18)/INDEX(Decrements!$G$6:$G$58,Census!$G70-17)*(INDEX(Decrements!$D$6:$D$58,Census!$G70+Y$5-18)+IF(Y$5=$B70,INDEX(Decrements!$F$6:$F$58,Census!$G70+Y$5-18),0)+INDEX(Decrements!$E$6:$E$58,Census!$G70+Y$5-18)*IF((Census!$F70+Y$5)&gt;=Assumptions!$B$11,1,0))*MIN(15/26*Census!$D70*(1+Assumptions!$B$9)^Y$5*(INT((Census!$F70+Y$5))+IF((Census!$F70+Y$5)-INT((Census!$F70+Y$5))&gt;0.5,1,0)),Assumptions!$B$10))</f>
        <v>0</v>
      </c>
      <c r="Z70" s="30">
        <f>IF(Z$5&gt;$B70,0,INDEX(Decrements!$G$6:$G$58,Census!$G70+Z$5-18)/INDEX(Decrements!$G$6:$G$58,Census!$G70-17)*(INDEX(Decrements!$D$6:$D$58,Census!$G70+Z$5-18)+IF(Z$5=$B70,INDEX(Decrements!$F$6:$F$58,Census!$G70+Z$5-18),0)+INDEX(Decrements!$E$6:$E$58,Census!$G70+Z$5-18)*IF((Census!$F70+Z$5)&gt;=Assumptions!$B$11,1,0))*MIN(15/26*Census!$D70*(1+Assumptions!$B$9)^Z$5*(INT((Census!$F70+Z$5))+IF((Census!$F70+Z$5)-INT((Census!$F70+Z$5))&gt;0.5,1,0)),Assumptions!$B$10))</f>
        <v>0</v>
      </c>
      <c r="AA70" s="30">
        <f>IF(AA$5&gt;$B70,0,INDEX(Decrements!$G$6:$G$58,Census!$G70+AA$5-18)/INDEX(Decrements!$G$6:$G$58,Census!$G70-17)*(INDEX(Decrements!$D$6:$D$58,Census!$G70+AA$5-18)+IF(AA$5=$B70,INDEX(Decrements!$F$6:$F$58,Census!$G70+AA$5-18),0)+INDEX(Decrements!$E$6:$E$58,Census!$G70+AA$5-18)*IF((Census!$F70+AA$5)&gt;=Assumptions!$B$11,1,0))*MIN(15/26*Census!$D70*(1+Assumptions!$B$9)^AA$5*(INT((Census!$F70+AA$5))+IF((Census!$F70+AA$5)-INT((Census!$F70+AA$5))&gt;0.5,1,0)),Assumptions!$B$10))</f>
        <v>0</v>
      </c>
      <c r="AB70" s="30">
        <f>IF(AB$5&gt;$B70,0,INDEX(Decrements!$G$6:$G$58,Census!$G70+AB$5-18)/INDEX(Decrements!$G$6:$G$58,Census!$G70-17)*(INDEX(Decrements!$D$6:$D$58,Census!$G70+AB$5-18)+IF(AB$5=$B70,INDEX(Decrements!$F$6:$F$58,Census!$G70+AB$5-18),0)+INDEX(Decrements!$E$6:$E$58,Census!$G70+AB$5-18)*IF((Census!$F70+AB$5)&gt;=Assumptions!$B$11,1,0))*MIN(15/26*Census!$D70*(1+Assumptions!$B$9)^AB$5*(INT((Census!$F70+AB$5))+IF((Census!$F70+AB$5)-INT((Census!$F70+AB$5))&gt;0.5,1,0)),Assumptions!$B$10))</f>
        <v>0</v>
      </c>
      <c r="AC70" s="30">
        <f>IF(AC$5&gt;$B70,0,INDEX(Decrements!$G$6:$G$58,Census!$G70+AC$5-18)/INDEX(Decrements!$G$6:$G$58,Census!$G70-17)*(INDEX(Decrements!$D$6:$D$58,Census!$G70+AC$5-18)+IF(AC$5=$B70,INDEX(Decrements!$F$6:$F$58,Census!$G70+AC$5-18),0)+INDEX(Decrements!$E$6:$E$58,Census!$G70+AC$5-18)*IF((Census!$F70+AC$5)&gt;=Assumptions!$B$11,1,0))*MIN(15/26*Census!$D70*(1+Assumptions!$B$9)^AC$5*(INT((Census!$F70+AC$5))+IF((Census!$F70+AC$5)-INT((Census!$F70+AC$5))&gt;0.5,1,0)),Assumptions!$B$10))</f>
        <v>0</v>
      </c>
      <c r="AD70" s="30">
        <f>IF(AD$5&gt;$B70,0,INDEX(Decrements!$G$6:$G$58,Census!$G70+AD$5-18)/INDEX(Decrements!$G$6:$G$58,Census!$G70-17)*(INDEX(Decrements!$D$6:$D$58,Census!$G70+AD$5-18)+IF(AD$5=$B70,INDEX(Decrements!$F$6:$F$58,Census!$G70+AD$5-18),0)+INDEX(Decrements!$E$6:$E$58,Census!$G70+AD$5-18)*IF((Census!$F70+AD$5)&gt;=Assumptions!$B$11,1,0))*MIN(15/26*Census!$D70*(1+Assumptions!$B$9)^AD$5*(INT((Census!$F70+AD$5))+IF((Census!$F70+AD$5)-INT((Census!$F70+AD$5))&gt;0.5,1,0)),Assumptions!$B$10))</f>
        <v>0</v>
      </c>
      <c r="AE70" s="30">
        <f>IF(AE$5&gt;$B70,0,INDEX(Decrements!$G$6:$G$58,Census!$G70+AE$5-18)/INDEX(Decrements!$G$6:$G$58,Census!$G70-17)*(INDEX(Decrements!$D$6:$D$58,Census!$G70+AE$5-18)+IF(AE$5=$B70,INDEX(Decrements!$F$6:$F$58,Census!$G70+AE$5-18),0)+INDEX(Decrements!$E$6:$E$58,Census!$G70+AE$5-18)*IF((Census!$F70+AE$5)&gt;=Assumptions!$B$11,1,0))*MIN(15/26*Census!$D70*(1+Assumptions!$B$9)^AE$5*(INT((Census!$F70+AE$5))+IF((Census!$F70+AE$5)-INT((Census!$F70+AE$5))&gt;0.5,1,0)),Assumptions!$B$10))</f>
        <v>0</v>
      </c>
      <c r="AF70" s="30">
        <f>IF(AF$5&gt;$B70,0,INDEX(Decrements!$G$6:$G$58,Census!$G70+AF$5-18)/INDEX(Decrements!$G$6:$G$58,Census!$G70-17)*(INDEX(Decrements!$D$6:$D$58,Census!$G70+AF$5-18)+IF(AF$5=$B70,INDEX(Decrements!$F$6:$F$58,Census!$G70+AF$5-18),0)+INDEX(Decrements!$E$6:$E$58,Census!$G70+AF$5-18)*IF((Census!$F70+AF$5)&gt;=Assumptions!$B$11,1,0))*MIN(15/26*Census!$D70*(1+Assumptions!$B$9)^AF$5*(INT((Census!$F70+AF$5))+IF((Census!$F70+AF$5)-INT((Census!$F70+AF$5))&gt;0.5,1,0)),Assumptions!$B$10))</f>
        <v>0</v>
      </c>
      <c r="AG70" s="30">
        <f>IF(AG$5&gt;$B70,0,INDEX(Decrements!$G$6:$G$58,Census!$G70+AG$5-18)/INDEX(Decrements!$G$6:$G$58,Census!$G70-17)*(INDEX(Decrements!$D$6:$D$58,Census!$G70+AG$5-18)+IF(AG$5=$B70,INDEX(Decrements!$F$6:$F$58,Census!$G70+AG$5-18),0)+INDEX(Decrements!$E$6:$E$58,Census!$G70+AG$5-18)*IF((Census!$F70+AG$5)&gt;=Assumptions!$B$11,1,0))*MIN(15/26*Census!$D70*(1+Assumptions!$B$9)^AG$5*(INT((Census!$F70+AG$5))+IF((Census!$F70+AG$5)-INT((Census!$F70+AG$5))&gt;0.5,1,0)),Assumptions!$B$10))</f>
        <v>0</v>
      </c>
      <c r="AH70" s="30">
        <f>IF(AH$5&gt;$B70,0,INDEX(Decrements!$G$6:$G$58,Census!$G70+AH$5-18)/INDEX(Decrements!$G$6:$G$58,Census!$G70-17)*(INDEX(Decrements!$D$6:$D$58,Census!$G70+AH$5-18)+IF(AH$5=$B70,INDEX(Decrements!$F$6:$F$58,Census!$G70+AH$5-18),0)+INDEX(Decrements!$E$6:$E$58,Census!$G70+AH$5-18)*IF((Census!$F70+AH$5)&gt;=Assumptions!$B$11,1,0))*MIN(15/26*Census!$D70*(1+Assumptions!$B$9)^AH$5*(INT((Census!$F70+AH$5))+IF((Census!$F70+AH$5)-INT((Census!$F70+AH$5))&gt;0.5,1,0)),Assumptions!$B$10))</f>
        <v>0</v>
      </c>
      <c r="AI70" s="30">
        <f>IF(AI$5&gt;$B70,0,INDEX(Decrements!$G$6:$G$58,Census!$G70+AI$5-18)/INDEX(Decrements!$G$6:$G$58,Census!$G70-17)*(INDEX(Decrements!$D$6:$D$58,Census!$G70+AI$5-18)+IF(AI$5=$B70,INDEX(Decrements!$F$6:$F$58,Census!$G70+AI$5-18),0)+INDEX(Decrements!$E$6:$E$58,Census!$G70+AI$5-18)*IF((Census!$F70+AI$5)&gt;=Assumptions!$B$11,1,0))*MIN(15/26*Census!$D70*(1+Assumptions!$B$9)^AI$5*(INT((Census!$F70+AI$5))+IF((Census!$F70+AI$5)-INT((Census!$F70+AI$5))&gt;0.5,1,0)),Assumptions!$B$10))</f>
        <v>0</v>
      </c>
      <c r="AJ70" s="30">
        <f>IF(AJ$5&gt;$B70,0,INDEX(Decrements!$G$6:$G$58,Census!$G70+AJ$5-18)/INDEX(Decrements!$G$6:$G$58,Census!$G70-17)*(INDEX(Decrements!$D$6:$D$58,Census!$G70+AJ$5-18)+IF(AJ$5=$B70,INDEX(Decrements!$F$6:$F$58,Census!$G70+AJ$5-18),0)+INDEX(Decrements!$E$6:$E$58,Census!$G70+AJ$5-18)*IF((Census!$F70+AJ$5)&gt;=Assumptions!$B$11,1,0))*MIN(15/26*Census!$D70*(1+Assumptions!$B$9)^AJ$5*(INT((Census!$F70+AJ$5))+IF((Census!$F70+AJ$5)-INT((Census!$F70+AJ$5))&gt;0.5,1,0)),Assumptions!$B$10))</f>
        <v>0</v>
      </c>
      <c r="AK70" s="30">
        <f>IF(AK$5&gt;$B70,0,INDEX(Decrements!$G$6:$G$58,Census!$G70+AK$5-18)/INDEX(Decrements!$G$6:$G$58,Census!$G70-17)*(INDEX(Decrements!$D$6:$D$58,Census!$G70+AK$5-18)+IF(AK$5=$B70,INDEX(Decrements!$F$6:$F$58,Census!$G70+AK$5-18),0)+INDEX(Decrements!$E$6:$E$58,Census!$G70+AK$5-18)*IF((Census!$F70+AK$5)&gt;=Assumptions!$B$11,1,0))*MIN(15/26*Census!$D70*(1+Assumptions!$B$9)^AK$5*(INT((Census!$F70+AK$5))+IF((Census!$F70+AK$5)-INT((Census!$F70+AK$5))&gt;0.5,1,0)),Assumptions!$B$10))</f>
        <v>0</v>
      </c>
      <c r="AL70" s="30">
        <f>IF(AL$5&gt;$B70,0,INDEX(Decrements!$G$6:$G$58,Census!$G70+AL$5-18)/INDEX(Decrements!$G$6:$G$58,Census!$G70-17)*(INDEX(Decrements!$D$6:$D$58,Census!$G70+AL$5-18)+IF(AL$5=$B70,INDEX(Decrements!$F$6:$F$58,Census!$G70+AL$5-18),0)+INDEX(Decrements!$E$6:$E$58,Census!$G70+AL$5-18)*IF((Census!$F70+AL$5)&gt;=Assumptions!$B$11,1,0))*MIN(15/26*Census!$D70*(1+Assumptions!$B$9)^AL$5*(INT((Census!$F70+AL$5))+IF((Census!$F70+AL$5)-INT((Census!$F70+AL$5))&gt;0.5,1,0)),Assumptions!$B$10))</f>
        <v>0</v>
      </c>
      <c r="AM70" s="30">
        <f>IF(AM$5&gt;$B70,0,INDEX(Decrements!$G$6:$G$58,Census!$G70+AM$5-18)/INDEX(Decrements!$G$6:$G$58,Census!$G70-17)*(INDEX(Decrements!$D$6:$D$58,Census!$G70+AM$5-18)+IF(AM$5=$B70,INDEX(Decrements!$F$6:$F$58,Census!$G70+AM$5-18),0)+INDEX(Decrements!$E$6:$E$58,Census!$G70+AM$5-18)*IF((Census!$F70+AM$5)&gt;=Assumptions!$B$11,1,0))*MIN(15/26*Census!$D70*(1+Assumptions!$B$9)^AM$5*(INT((Census!$F70+AM$5))+IF((Census!$F70+AM$5)-INT((Census!$F70+AM$5))&gt;0.5,1,0)),Assumptions!$B$10))</f>
        <v>0</v>
      </c>
      <c r="AN70" s="30">
        <f>IF(AN$5&gt;$B70,0,INDEX(Decrements!$G$6:$G$58,Census!$G70+AN$5-18)/INDEX(Decrements!$G$6:$G$58,Census!$G70-17)*(INDEX(Decrements!$D$6:$D$58,Census!$G70+AN$5-18)+IF(AN$5=$B70,INDEX(Decrements!$F$6:$F$58,Census!$G70+AN$5-18),0)+INDEX(Decrements!$E$6:$E$58,Census!$G70+AN$5-18)*IF((Census!$F70+AN$5)&gt;=Assumptions!$B$11,1,0))*MIN(15/26*Census!$D70*(1+Assumptions!$B$9)^AN$5*(INT((Census!$F70+AN$5))+IF((Census!$F70+AN$5)-INT((Census!$F70+AN$5))&gt;0.5,1,0)),Assumptions!$B$10))</f>
        <v>0</v>
      </c>
      <c r="AO70" s="30">
        <f>IF(AO$5&gt;$B70,0,INDEX(Decrements!$G$6:$G$58,Census!$G70+AO$5-18)/INDEX(Decrements!$G$6:$G$58,Census!$G70-17)*(INDEX(Decrements!$D$6:$D$58,Census!$G70+AO$5-18)+IF(AO$5=$B70,INDEX(Decrements!$F$6:$F$58,Census!$G70+AO$5-18),0)+INDEX(Decrements!$E$6:$E$58,Census!$G70+AO$5-18)*IF((Census!$F70+AO$5)&gt;=Assumptions!$B$11,1,0))*MIN(15/26*Census!$D70*(1+Assumptions!$B$9)^AO$5*(INT((Census!$F70+AO$5))+IF((Census!$F70+AO$5)-INT((Census!$F70+AO$5))&gt;0.5,1,0)),Assumptions!$B$10))</f>
        <v>0</v>
      </c>
      <c r="AP70" s="30">
        <f>IF(AP$5&gt;$B70,0,INDEX(Decrements!$G$6:$G$58,Census!$G70+AP$5-18)/INDEX(Decrements!$G$6:$G$58,Census!$G70-17)*(INDEX(Decrements!$D$6:$D$58,Census!$G70+AP$5-18)+IF(AP$5=$B70,INDEX(Decrements!$F$6:$F$58,Census!$G70+AP$5-18),0)+INDEX(Decrements!$E$6:$E$58,Census!$G70+AP$5-18)*IF((Census!$F70+AP$5)&gt;=Assumptions!$B$11,1,0))*MIN(15/26*Census!$D70*(1+Assumptions!$B$9)^AP$5*(INT((Census!$F70+AP$5))+IF((Census!$F70+AP$5)-INT((Census!$F70+AP$5))&gt;0.5,1,0)),Assumptions!$B$10))</f>
        <v>0</v>
      </c>
      <c r="AQ70" s="30">
        <f>IF(AQ$5&gt;$B70,0,INDEX(Decrements!$G$6:$G$58,Census!$G70+AQ$5-18)/INDEX(Decrements!$G$6:$G$58,Census!$G70-17)*(INDEX(Decrements!$D$6:$D$58,Census!$G70+AQ$5-18)+IF(AQ$5=$B70,INDEX(Decrements!$F$6:$F$58,Census!$G70+AQ$5-18),0)+INDEX(Decrements!$E$6:$E$58,Census!$G70+AQ$5-18)*IF((Census!$F70+AQ$5)&gt;=Assumptions!$B$11,1,0))*MIN(15/26*Census!$D70*(1+Assumptions!$B$9)^AQ$5*(INT((Census!$F70+AQ$5))+IF((Census!$F70+AQ$5)-INT((Census!$F70+AQ$5))&gt;0.5,1,0)),Assumptions!$B$10))</f>
        <v>0</v>
      </c>
      <c r="AR70" s="30">
        <f>IF(AR$5&gt;$B70,0,INDEX(Decrements!$G$6:$G$58,Census!$G70+AR$5-18)/INDEX(Decrements!$G$6:$G$58,Census!$G70-17)*(INDEX(Decrements!$D$6:$D$58,Census!$G70+AR$5-18)+IF(AR$5=$B70,INDEX(Decrements!$F$6:$F$58,Census!$G70+AR$5-18),0)+INDEX(Decrements!$E$6:$E$58,Census!$G70+AR$5-18)*IF((Census!$F70+AR$5)&gt;=Assumptions!$B$11,1,0))*MIN(15/26*Census!$D70*(1+Assumptions!$B$9)^AR$5*(INT((Census!$F70+AR$5))+IF((Census!$F70+AR$5)-INT((Census!$F70+AR$5))&gt;0.5,1,0)),Assumptions!$B$10))</f>
        <v>0</v>
      </c>
      <c r="AS70" s="30">
        <f>IF(AS$5&gt;$B70,0,INDEX(Decrements!$G$6:$G$58,Census!$G70+AS$5-18)/INDEX(Decrements!$G$6:$G$58,Census!$G70-17)*(INDEX(Decrements!$D$6:$D$58,Census!$G70+AS$5-18)+IF(AS$5=$B70,INDEX(Decrements!$F$6:$F$58,Census!$G70+AS$5-18),0)+INDEX(Decrements!$E$6:$E$58,Census!$G70+AS$5-18)*IF((Census!$F70+AS$5)&gt;=Assumptions!$B$11,1,0))*MIN(15/26*Census!$D70*(1+Assumptions!$B$9)^AS$5*(INT((Census!$F70+AS$5))+IF((Census!$F70+AS$5)-INT((Census!$F70+AS$5))&gt;0.5,1,0)),Assumptions!$B$10))</f>
        <v>0</v>
      </c>
      <c r="AT70" s="30">
        <f>IF(AT$5&gt;$B70,0,INDEX(Decrements!$G$6:$G$58,Census!$G70+AT$5-18)/INDEX(Decrements!$G$6:$G$58,Census!$G70-17)*(INDEX(Decrements!$D$6:$D$58,Census!$G70+AT$5-18)+IF(AT$5=$B70,INDEX(Decrements!$F$6:$F$58,Census!$G70+AT$5-18),0)+INDEX(Decrements!$E$6:$E$58,Census!$G70+AT$5-18)*IF((Census!$F70+AT$5)&gt;=Assumptions!$B$11,1,0))*MIN(15/26*Census!$D70*(1+Assumptions!$B$9)^AT$5*(INT((Census!$F70+AT$5))+IF((Census!$F70+AT$5)-INT((Census!$F70+AT$5))&gt;0.5,1,0)),Assumptions!$B$10))</f>
        <v>0</v>
      </c>
      <c r="AU70" s="30">
        <f>IF(AU$5&gt;$B70,0,INDEX(Decrements!$G$6:$G$58,Census!$G70+AU$5-18)/INDEX(Decrements!$G$6:$G$58,Census!$G70-17)*(INDEX(Decrements!$D$6:$D$58,Census!$G70+AU$5-18)+IF(AU$5=$B70,INDEX(Decrements!$F$6:$F$58,Census!$G70+AU$5-18),0)+INDEX(Decrements!$E$6:$E$58,Census!$G70+AU$5-18)*IF((Census!$F70+AU$5)&gt;=Assumptions!$B$11,1,0))*MIN(15/26*Census!$D70*(1+Assumptions!$B$9)^AU$5*(INT((Census!$F70+AU$5))+IF((Census!$F70+AU$5)-INT((Census!$F70+AU$5))&gt;0.5,1,0)),Assumptions!$B$10))</f>
        <v>0</v>
      </c>
    </row>
    <row r="71" spans="1:47" x14ac:dyDescent="0.3">
      <c r="A71" s="10" t="str">
        <f>Census!A71</f>
        <v>E066</v>
      </c>
      <c r="B71" s="29">
        <f>Census!H71</f>
        <v>25</v>
      </c>
      <c r="C71" s="30">
        <f>IF(C$5&gt;$B71,0,INDEX(Decrements!$G$6:$G$58,Census!$G71+C$5-18)/INDEX(Decrements!$G$6:$G$58,Census!$G71-17)*(INDEX(Decrements!$D$6:$D$58,Census!$G71+C$5-18)+IF(C$5=$B71,INDEX(Decrements!$F$6:$F$58,Census!$G71+C$5-18),0)+INDEX(Decrements!$E$6:$E$58,Census!$G71+C$5-18)*IF((Census!$F71+C$5)&gt;=Assumptions!$B$11,1,0))*MIN(15/26*Census!$D71*(1+Assumptions!$B$9)^C$5*(INT((Census!$F71+C$5))+IF((Census!$F71+C$5)-INT((Census!$F71+C$5))&gt;0.5,1,0)),Assumptions!$B$10))</f>
        <v>104.84975365057433</v>
      </c>
      <c r="D71" s="30">
        <f>IF(D$5&gt;$B71,0,INDEX(Decrements!$G$6:$G$58,Census!$G71+D$5-18)/INDEX(Decrements!$G$6:$G$58,Census!$G71-17)*(INDEX(Decrements!$D$6:$D$58,Census!$G71+D$5-18)+IF(D$5=$B71,INDEX(Decrements!$F$6:$F$58,Census!$G71+D$5-18),0)+INDEX(Decrements!$E$6:$E$58,Census!$G71+D$5-18)*IF((Census!$F71+D$5)&gt;=Assumptions!$B$11,1,0))*MIN(15/26*Census!$D71*(1+Assumptions!$B$9)^D$5*(INT((Census!$F71+D$5))+IF((Census!$F71+D$5)-INT((Census!$F71+D$5))&gt;0.5,1,0)),Assumptions!$B$10))</f>
        <v>11091.507855572831</v>
      </c>
      <c r="E71" s="30">
        <f>IF(E$5&gt;$B71,0,INDEX(Decrements!$G$6:$G$58,Census!$G71+E$5-18)/INDEX(Decrements!$G$6:$G$58,Census!$G71-17)*(INDEX(Decrements!$D$6:$D$58,Census!$G71+E$5-18)+IF(E$5=$B71,INDEX(Decrements!$F$6:$F$58,Census!$G71+E$5-18),0)+INDEX(Decrements!$E$6:$E$58,Census!$G71+E$5-18)*IF((Census!$F71+E$5)&gt;=Assumptions!$B$11,1,0))*MIN(15/26*Census!$D71*(1+Assumptions!$B$9)^E$5*(INT((Census!$F71+E$5))+IF((Census!$F71+E$5)-INT((Census!$F71+E$5))&gt;0.5,1,0)),Assumptions!$B$10))</f>
        <v>13220.492605445368</v>
      </c>
      <c r="F71" s="30">
        <f>IF(F$5&gt;$B71,0,INDEX(Decrements!$G$6:$G$58,Census!$G71+F$5-18)/INDEX(Decrements!$G$6:$G$58,Census!$G71-17)*(INDEX(Decrements!$D$6:$D$58,Census!$G71+F$5-18)+IF(F$5=$B71,INDEX(Decrements!$F$6:$F$58,Census!$G71+F$5-18),0)+INDEX(Decrements!$E$6:$E$58,Census!$G71+F$5-18)*IF((Census!$F71+F$5)&gt;=Assumptions!$B$11,1,0))*MIN(15/26*Census!$D71*(1+Assumptions!$B$9)^F$5*(INT((Census!$F71+F$5))+IF((Census!$F71+F$5)-INT((Census!$F71+F$5))&gt;0.5,1,0)),Assumptions!$B$10))</f>
        <v>15320.527747106958</v>
      </c>
      <c r="G71" s="30">
        <f>IF(G$5&gt;$B71,0,INDEX(Decrements!$G$6:$G$58,Census!$G71+G$5-18)/INDEX(Decrements!$G$6:$G$58,Census!$G71-17)*(INDEX(Decrements!$D$6:$D$58,Census!$G71+G$5-18)+IF(G$5=$B71,INDEX(Decrements!$F$6:$F$58,Census!$G71+G$5-18),0)+INDEX(Decrements!$E$6:$E$58,Census!$G71+G$5-18)*IF((Census!$F71+G$5)&gt;=Assumptions!$B$11,1,0))*MIN(15/26*Census!$D71*(1+Assumptions!$B$9)^G$5*(INT((Census!$F71+G$5))+IF((Census!$F71+G$5)-INT((Census!$F71+G$5))&gt;0.5,1,0)),Assumptions!$B$10))</f>
        <v>17391.969201099244</v>
      </c>
      <c r="H71" s="30">
        <f>IF(H$5&gt;$B71,0,INDEX(Decrements!$G$6:$G$58,Census!$G71+H$5-18)/INDEX(Decrements!$G$6:$G$58,Census!$G71-17)*(INDEX(Decrements!$D$6:$D$58,Census!$G71+H$5-18)+IF(H$5=$B71,INDEX(Decrements!$F$6:$F$58,Census!$G71+H$5-18),0)+INDEX(Decrements!$E$6:$E$58,Census!$G71+H$5-18)*IF((Census!$F71+H$5)&gt;=Assumptions!$B$11,1,0))*MIN(15/26*Census!$D71*(1+Assumptions!$B$9)^H$5*(INT((Census!$F71+H$5))+IF((Census!$F71+H$5)-INT((Census!$F71+H$5))&gt;0.5,1,0)),Assumptions!$B$10))</f>
        <v>12267.987728488235</v>
      </c>
      <c r="I71" s="30">
        <f>IF(I$5&gt;$B71,0,INDEX(Decrements!$G$6:$G$58,Census!$G71+I$5-18)/INDEX(Decrements!$G$6:$G$58,Census!$G71-17)*(INDEX(Decrements!$D$6:$D$58,Census!$G71+I$5-18)+IF(I$5=$B71,INDEX(Decrements!$F$6:$F$58,Census!$G71+I$5-18),0)+INDEX(Decrements!$E$6:$E$58,Census!$G71+I$5-18)*IF((Census!$F71+I$5)&gt;=Assumptions!$B$11,1,0))*MIN(15/26*Census!$D71*(1+Assumptions!$B$9)^I$5*(INT((Census!$F71+I$5))+IF((Census!$F71+I$5)-INT((Census!$F71+I$5))&gt;0.5,1,0)),Assumptions!$B$10))</f>
        <v>13991.180607300728</v>
      </c>
      <c r="J71" s="30">
        <f>IF(J$5&gt;$B71,0,INDEX(Decrements!$G$6:$G$58,Census!$G71+J$5-18)/INDEX(Decrements!$G$6:$G$58,Census!$G71-17)*(INDEX(Decrements!$D$6:$D$58,Census!$G71+J$5-18)+IF(J$5=$B71,INDEX(Decrements!$F$6:$F$58,Census!$G71+J$5-18),0)+INDEX(Decrements!$E$6:$E$58,Census!$G71+J$5-18)*IF((Census!$F71+J$5)&gt;=Assumptions!$B$11,1,0))*MIN(15/26*Census!$D71*(1+Assumptions!$B$9)^J$5*(INT((Census!$F71+J$5))+IF((Census!$F71+J$5)-INT((Census!$F71+J$5))&gt;0.5,1,0)),Assumptions!$B$10))</f>
        <v>15798.06697820027</v>
      </c>
      <c r="K71" s="30">
        <f>IF(K$5&gt;$B71,0,INDEX(Decrements!$G$6:$G$58,Census!$G71+K$5-18)/INDEX(Decrements!$G$6:$G$58,Census!$G71-17)*(INDEX(Decrements!$D$6:$D$58,Census!$G71+K$5-18)+IF(K$5=$B71,INDEX(Decrements!$F$6:$F$58,Census!$G71+K$5-18),0)+INDEX(Decrements!$E$6:$E$58,Census!$G71+K$5-18)*IF((Census!$F71+K$5)&gt;=Assumptions!$B$11,1,0))*MIN(15/26*Census!$D71*(1+Assumptions!$B$9)^K$5*(INT((Census!$F71+K$5))+IF((Census!$F71+K$5)-INT((Census!$F71+K$5))&gt;0.5,1,0)),Assumptions!$B$10))</f>
        <v>17692.360523853884</v>
      </c>
      <c r="L71" s="30">
        <f>IF(L$5&gt;$B71,0,INDEX(Decrements!$G$6:$G$58,Census!$G71+L$5-18)/INDEX(Decrements!$G$6:$G$58,Census!$G71-17)*(INDEX(Decrements!$D$6:$D$58,Census!$G71+L$5-18)+IF(L$5=$B71,INDEX(Decrements!$F$6:$F$58,Census!$G71+L$5-18),0)+INDEX(Decrements!$E$6:$E$58,Census!$G71+L$5-18)*IF((Census!$F71+L$5)&gt;=Assumptions!$B$11,1,0))*MIN(15/26*Census!$D71*(1+Assumptions!$B$9)^L$5*(INT((Census!$F71+L$5))+IF((Census!$F71+L$5)-INT((Census!$F71+L$5))&gt;0.5,1,0)),Assumptions!$B$10))</f>
        <v>19677.990983498072</v>
      </c>
      <c r="M71" s="30">
        <f>IF(M$5&gt;$B71,0,INDEX(Decrements!$G$6:$G$58,Census!$G71+M$5-18)/INDEX(Decrements!$G$6:$G$58,Census!$G71-17)*(INDEX(Decrements!$D$6:$D$58,Census!$G71+M$5-18)+IF(M$5=$B71,INDEX(Decrements!$F$6:$F$58,Census!$G71+M$5-18),0)+INDEX(Decrements!$E$6:$E$58,Census!$G71+M$5-18)*IF((Census!$F71+M$5)&gt;=Assumptions!$B$11,1,0))*MIN(15/26*Census!$D71*(1+Assumptions!$B$9)^M$5*(INT((Census!$F71+M$5))+IF((Census!$F71+M$5)-INT((Census!$F71+M$5))&gt;0.5,1,0)),Assumptions!$B$10))</f>
        <v>13379.175397495475</v>
      </c>
      <c r="N71" s="30">
        <f>IF(N$5&gt;$B71,0,INDEX(Decrements!$G$6:$G$58,Census!$G71+N$5-18)/INDEX(Decrements!$G$6:$G$58,Census!$G71-17)*(INDEX(Decrements!$D$6:$D$58,Census!$G71+N$5-18)+IF(N$5=$B71,INDEX(Decrements!$F$6:$F$58,Census!$G71+N$5-18),0)+INDEX(Decrements!$E$6:$E$58,Census!$G71+N$5-18)*IF((Census!$F71+N$5)&gt;=Assumptions!$B$11,1,0))*MIN(15/26*Census!$D71*(1+Assumptions!$B$9)^N$5*(INT((Census!$F71+N$5))+IF((Census!$F71+N$5)-INT((Census!$F71+N$5))&gt;0.5,1,0)),Assumptions!$B$10))</f>
        <v>15057.856125701896</v>
      </c>
      <c r="O71" s="30">
        <f>IF(O$5&gt;$B71,0,INDEX(Decrements!$G$6:$G$58,Census!$G71+O$5-18)/INDEX(Decrements!$G$6:$G$58,Census!$G71-17)*(INDEX(Decrements!$D$6:$D$58,Census!$G71+O$5-18)+IF(O$5=$B71,INDEX(Decrements!$F$6:$F$58,Census!$G71+O$5-18),0)+INDEX(Decrements!$E$6:$E$58,Census!$G71+O$5-18)*IF((Census!$F71+O$5)&gt;=Assumptions!$B$11,1,0))*MIN(15/26*Census!$D71*(1+Assumptions!$B$9)^O$5*(INT((Census!$F71+O$5))+IF((Census!$F71+O$5)-INT((Census!$F71+O$5))&gt;0.5,1,0)),Assumptions!$B$10))</f>
        <v>16876.649933404969</v>
      </c>
      <c r="P71" s="30">
        <f>IF(P$5&gt;$B71,0,INDEX(Decrements!$G$6:$G$58,Census!$G71+P$5-18)/INDEX(Decrements!$G$6:$G$58,Census!$G71-17)*(INDEX(Decrements!$D$6:$D$58,Census!$G71+P$5-18)+IF(P$5=$B71,INDEX(Decrements!$F$6:$F$58,Census!$G71+P$5-18),0)+INDEX(Decrements!$E$6:$E$58,Census!$G71+P$5-18)*IF((Census!$F71+P$5)&gt;=Assumptions!$B$11,1,0))*MIN(15/26*Census!$D71*(1+Assumptions!$B$9)^P$5*(INT((Census!$F71+P$5))+IF((Census!$F71+P$5)-INT((Census!$F71+P$5))&gt;0.5,1,0)),Assumptions!$B$10))</f>
        <v>18847.057282669437</v>
      </c>
      <c r="Q71" s="30">
        <f>IF(Q$5&gt;$B71,0,INDEX(Decrements!$G$6:$G$58,Census!$G71+Q$5-18)/INDEX(Decrements!$G$6:$G$58,Census!$G71-17)*(INDEX(Decrements!$D$6:$D$58,Census!$G71+Q$5-18)+IF(Q$5=$B71,INDEX(Decrements!$F$6:$F$58,Census!$G71+Q$5-18),0)+INDEX(Decrements!$E$6:$E$58,Census!$G71+Q$5-18)*IF((Census!$F71+Q$5)&gt;=Assumptions!$B$11,1,0))*MIN(15/26*Census!$D71*(1+Assumptions!$B$9)^Q$5*(INT((Census!$F71+Q$5))+IF((Census!$F71+Q$5)-INT((Census!$F71+Q$5))&gt;0.5,1,0)),Assumptions!$B$10))</f>
        <v>20981.681623263121</v>
      </c>
      <c r="R71" s="30">
        <f>IF(R$5&gt;$B71,0,INDEX(Decrements!$G$6:$G$58,Census!$G71+R$5-18)/INDEX(Decrements!$G$6:$G$58,Census!$G71-17)*(INDEX(Decrements!$D$6:$D$58,Census!$G71+R$5-18)+IF(R$5=$B71,INDEX(Decrements!$F$6:$F$58,Census!$G71+R$5-18),0)+INDEX(Decrements!$E$6:$E$58,Census!$G71+R$5-18)*IF((Census!$F71+R$5)&gt;=Assumptions!$B$11,1,0))*MIN(15/26*Census!$D71*(1+Assumptions!$B$9)^R$5*(INT((Census!$F71+R$5))+IF((Census!$F71+R$5)-INT((Census!$F71+R$5))&gt;0.5,1,0)),Assumptions!$B$10))</f>
        <v>16206.992315483771</v>
      </c>
      <c r="S71" s="30">
        <f>IF(S$5&gt;$B71,0,INDEX(Decrements!$G$6:$G$58,Census!$G71+S$5-18)/INDEX(Decrements!$G$6:$G$58,Census!$G71-17)*(INDEX(Decrements!$D$6:$D$58,Census!$G71+S$5-18)+IF(S$5=$B71,INDEX(Decrements!$F$6:$F$58,Census!$G71+S$5-18),0)+INDEX(Decrements!$E$6:$E$58,Census!$G71+S$5-18)*IF((Census!$F71+S$5)&gt;=Assumptions!$B$11,1,0))*MIN(15/26*Census!$D71*(1+Assumptions!$B$9)^S$5*(INT((Census!$F71+S$5))+IF((Census!$F71+S$5)-INT((Census!$F71+S$5))&gt;0.5,1,0)),Assumptions!$B$10))</f>
        <v>18194.71675157117</v>
      </c>
      <c r="T71" s="30">
        <f>IF(T$5&gt;$B71,0,INDEX(Decrements!$G$6:$G$58,Census!$G71+T$5-18)/INDEX(Decrements!$G$6:$G$58,Census!$G71-17)*(INDEX(Decrements!$D$6:$D$58,Census!$G71+T$5-18)+IF(T$5=$B71,INDEX(Decrements!$F$6:$F$58,Census!$G71+T$5-18),0)+INDEX(Decrements!$E$6:$E$58,Census!$G71+T$5-18)*IF((Census!$F71+T$5)&gt;=Assumptions!$B$11,1,0))*MIN(15/26*Census!$D71*(1+Assumptions!$B$9)^T$5*(INT((Census!$F71+T$5))+IF((Census!$F71+T$5)-INT((Census!$F71+T$5))&gt;0.5,1,0)),Assumptions!$B$10))</f>
        <v>19013.217182066732</v>
      </c>
      <c r="U71" s="30">
        <f>IF(U$5&gt;$B71,0,INDEX(Decrements!$G$6:$G$58,Census!$G71+U$5-18)/INDEX(Decrements!$G$6:$G$58,Census!$G71-17)*(INDEX(Decrements!$D$6:$D$58,Census!$G71+U$5-18)+IF(U$5=$B71,INDEX(Decrements!$F$6:$F$58,Census!$G71+U$5-18),0)+INDEX(Decrements!$E$6:$E$58,Census!$G71+U$5-18)*IF((Census!$F71+U$5)&gt;=Assumptions!$B$11,1,0))*MIN(15/26*Census!$D71*(1+Assumptions!$B$9)^U$5*(INT((Census!$F71+U$5))+IF((Census!$F71+U$5)-INT((Census!$F71+U$5))&gt;0.5,1,0)),Assumptions!$B$10))</f>
        <v>18801.979361621612</v>
      </c>
      <c r="V71" s="30">
        <f>IF(V$5&gt;$B71,0,INDEX(Decrements!$G$6:$G$58,Census!$G71+V$5-18)/INDEX(Decrements!$G$6:$G$58,Census!$G71-17)*(INDEX(Decrements!$D$6:$D$58,Census!$G71+V$5-18)+IF(V$5=$B71,INDEX(Decrements!$F$6:$F$58,Census!$G71+V$5-18),0)+INDEX(Decrements!$E$6:$E$58,Census!$G71+V$5-18)*IF((Census!$F71+V$5)&gt;=Assumptions!$B$11,1,0))*MIN(15/26*Census!$D71*(1+Assumptions!$B$9)^V$5*(INT((Census!$F71+V$5))+IF((Census!$F71+V$5)-INT((Census!$F71+V$5))&gt;0.5,1,0)),Assumptions!$B$10))</f>
        <v>18607.285355447297</v>
      </c>
      <c r="W71" s="30">
        <f>IF(W$5&gt;$B71,0,INDEX(Decrements!$G$6:$G$58,Census!$G71+W$5-18)/INDEX(Decrements!$G$6:$G$58,Census!$G71-17)*(INDEX(Decrements!$D$6:$D$58,Census!$G71+W$5-18)+IF(W$5=$B71,INDEX(Decrements!$F$6:$F$58,Census!$G71+W$5-18),0)+INDEX(Decrements!$E$6:$E$58,Census!$G71+W$5-18)*IF((Census!$F71+W$5)&gt;=Assumptions!$B$11,1,0))*MIN(15/26*Census!$D71*(1+Assumptions!$B$9)^W$5*(INT((Census!$F71+W$5))+IF((Census!$F71+W$5)-INT((Census!$F71+W$5))&gt;0.5,1,0)),Assumptions!$B$10))</f>
        <v>10869.226877358456</v>
      </c>
      <c r="X71" s="30">
        <f>IF(X$5&gt;$B71,0,INDEX(Decrements!$G$6:$G$58,Census!$G71+X$5-18)/INDEX(Decrements!$G$6:$G$58,Census!$G71-17)*(INDEX(Decrements!$D$6:$D$58,Census!$G71+X$5-18)+IF(X$5=$B71,INDEX(Decrements!$F$6:$F$58,Census!$G71+X$5-18),0)+INDEX(Decrements!$E$6:$E$58,Census!$G71+X$5-18)*IF((Census!$F71+X$5)&gt;=Assumptions!$B$11,1,0))*MIN(15/26*Census!$D71*(1+Assumptions!$B$9)^X$5*(INT((Census!$F71+X$5))+IF((Census!$F71+X$5)-INT((Census!$F71+X$5))&gt;0.5,1,0)),Assumptions!$B$10))</f>
        <v>11006.26910937516</v>
      </c>
      <c r="Y71" s="30">
        <f>IF(Y$5&gt;$B71,0,INDEX(Decrements!$G$6:$G$58,Census!$G71+Y$5-18)/INDEX(Decrements!$G$6:$G$58,Census!$G71-17)*(INDEX(Decrements!$D$6:$D$58,Census!$G71+Y$5-18)+IF(Y$5=$B71,INDEX(Decrements!$F$6:$F$58,Census!$G71+Y$5-18),0)+INDEX(Decrements!$E$6:$E$58,Census!$G71+Y$5-18)*IF((Census!$F71+Y$5)&gt;=Assumptions!$B$11,1,0))*MIN(15/26*Census!$D71*(1+Assumptions!$B$9)^Y$5*(INT((Census!$F71+Y$5))+IF((Census!$F71+Y$5)-INT((Census!$F71+Y$5))&gt;0.5,1,0)),Assumptions!$B$10))</f>
        <v>11161.443701009295</v>
      </c>
      <c r="Z71" s="30">
        <f>IF(Z$5&gt;$B71,0,INDEX(Decrements!$G$6:$G$58,Census!$G71+Z$5-18)/INDEX(Decrements!$G$6:$G$58,Census!$G71-17)*(INDEX(Decrements!$D$6:$D$58,Census!$G71+Z$5-18)+IF(Z$5=$B71,INDEX(Decrements!$F$6:$F$58,Census!$G71+Z$5-18),0)+INDEX(Decrements!$E$6:$E$58,Census!$G71+Z$5-18)*IF((Census!$F71+Z$5)&gt;=Assumptions!$B$11,1,0))*MIN(15/26*Census!$D71*(1+Assumptions!$B$9)^Z$5*(INT((Census!$F71+Z$5))+IF((Census!$F71+Z$5)-INT((Census!$F71+Z$5))&gt;0.5,1,0)),Assumptions!$B$10))</f>
        <v>11335.805298860425</v>
      </c>
      <c r="AA71" s="30">
        <f>IF(AA$5&gt;$B71,0,INDEX(Decrements!$G$6:$G$58,Census!$G71+AA$5-18)/INDEX(Decrements!$G$6:$G$58,Census!$G71-17)*(INDEX(Decrements!$D$6:$D$58,Census!$G71+AA$5-18)+IF(AA$5=$B71,INDEX(Decrements!$F$6:$F$58,Census!$G71+AA$5-18),0)+INDEX(Decrements!$E$6:$E$58,Census!$G71+AA$5-18)*IF((Census!$F71+AA$5)&gt;=Assumptions!$B$11,1,0))*MIN(15/26*Census!$D71*(1+Assumptions!$B$9)^AA$5*(INT((Census!$F71+AA$5))+IF((Census!$F71+AA$5)-INT((Census!$F71+AA$5))&gt;0.5,1,0)),Assumptions!$B$10))</f>
        <v>714962.23574404465</v>
      </c>
      <c r="AB71" s="30">
        <f>IF(AB$5&gt;$B71,0,INDEX(Decrements!$G$6:$G$58,Census!$G71+AB$5-18)/INDEX(Decrements!$G$6:$G$58,Census!$G71-17)*(INDEX(Decrements!$D$6:$D$58,Census!$G71+AB$5-18)+IF(AB$5=$B71,INDEX(Decrements!$F$6:$F$58,Census!$G71+AB$5-18),0)+INDEX(Decrements!$E$6:$E$58,Census!$G71+AB$5-18)*IF((Census!$F71+AB$5)&gt;=Assumptions!$B$11,1,0))*MIN(15/26*Census!$D71*(1+Assumptions!$B$9)^AB$5*(INT((Census!$F71+AB$5))+IF((Census!$F71+AB$5)-INT((Census!$F71+AB$5))&gt;0.5,1,0)),Assumptions!$B$10))</f>
        <v>0</v>
      </c>
      <c r="AC71" s="30">
        <f>IF(AC$5&gt;$B71,0,INDEX(Decrements!$G$6:$G$58,Census!$G71+AC$5-18)/INDEX(Decrements!$G$6:$G$58,Census!$G71-17)*(INDEX(Decrements!$D$6:$D$58,Census!$G71+AC$5-18)+IF(AC$5=$B71,INDEX(Decrements!$F$6:$F$58,Census!$G71+AC$5-18),0)+INDEX(Decrements!$E$6:$E$58,Census!$G71+AC$5-18)*IF((Census!$F71+AC$5)&gt;=Assumptions!$B$11,1,0))*MIN(15/26*Census!$D71*(1+Assumptions!$B$9)^AC$5*(INT((Census!$F71+AC$5))+IF((Census!$F71+AC$5)-INT((Census!$F71+AC$5))&gt;0.5,1,0)),Assumptions!$B$10))</f>
        <v>0</v>
      </c>
      <c r="AD71" s="30">
        <f>IF(AD$5&gt;$B71,0,INDEX(Decrements!$G$6:$G$58,Census!$G71+AD$5-18)/INDEX(Decrements!$G$6:$G$58,Census!$G71-17)*(INDEX(Decrements!$D$6:$D$58,Census!$G71+AD$5-18)+IF(AD$5=$B71,INDEX(Decrements!$F$6:$F$58,Census!$G71+AD$5-18),0)+INDEX(Decrements!$E$6:$E$58,Census!$G71+AD$5-18)*IF((Census!$F71+AD$5)&gt;=Assumptions!$B$11,1,0))*MIN(15/26*Census!$D71*(1+Assumptions!$B$9)^AD$5*(INT((Census!$F71+AD$5))+IF((Census!$F71+AD$5)-INT((Census!$F71+AD$5))&gt;0.5,1,0)),Assumptions!$B$10))</f>
        <v>0</v>
      </c>
      <c r="AE71" s="30">
        <f>IF(AE$5&gt;$B71,0,INDEX(Decrements!$G$6:$G$58,Census!$G71+AE$5-18)/INDEX(Decrements!$G$6:$G$58,Census!$G71-17)*(INDEX(Decrements!$D$6:$D$58,Census!$G71+AE$5-18)+IF(AE$5=$B71,INDEX(Decrements!$F$6:$F$58,Census!$G71+AE$5-18),0)+INDEX(Decrements!$E$6:$E$58,Census!$G71+AE$5-18)*IF((Census!$F71+AE$5)&gt;=Assumptions!$B$11,1,0))*MIN(15/26*Census!$D71*(1+Assumptions!$B$9)^AE$5*(INT((Census!$F71+AE$5))+IF((Census!$F71+AE$5)-INT((Census!$F71+AE$5))&gt;0.5,1,0)),Assumptions!$B$10))</f>
        <v>0</v>
      </c>
      <c r="AF71" s="30">
        <f>IF(AF$5&gt;$B71,0,INDEX(Decrements!$G$6:$G$58,Census!$G71+AF$5-18)/INDEX(Decrements!$G$6:$G$58,Census!$G71-17)*(INDEX(Decrements!$D$6:$D$58,Census!$G71+AF$5-18)+IF(AF$5=$B71,INDEX(Decrements!$F$6:$F$58,Census!$G71+AF$5-18),0)+INDEX(Decrements!$E$6:$E$58,Census!$G71+AF$5-18)*IF((Census!$F71+AF$5)&gt;=Assumptions!$B$11,1,0))*MIN(15/26*Census!$D71*(1+Assumptions!$B$9)^AF$5*(INT((Census!$F71+AF$5))+IF((Census!$F71+AF$5)-INT((Census!$F71+AF$5))&gt;0.5,1,0)),Assumptions!$B$10))</f>
        <v>0</v>
      </c>
      <c r="AG71" s="30">
        <f>IF(AG$5&gt;$B71,0,INDEX(Decrements!$G$6:$G$58,Census!$G71+AG$5-18)/INDEX(Decrements!$G$6:$G$58,Census!$G71-17)*(INDEX(Decrements!$D$6:$D$58,Census!$G71+AG$5-18)+IF(AG$5=$B71,INDEX(Decrements!$F$6:$F$58,Census!$G71+AG$5-18),0)+INDEX(Decrements!$E$6:$E$58,Census!$G71+AG$5-18)*IF((Census!$F71+AG$5)&gt;=Assumptions!$B$11,1,0))*MIN(15/26*Census!$D71*(1+Assumptions!$B$9)^AG$5*(INT((Census!$F71+AG$5))+IF((Census!$F71+AG$5)-INT((Census!$F71+AG$5))&gt;0.5,1,0)),Assumptions!$B$10))</f>
        <v>0</v>
      </c>
      <c r="AH71" s="30">
        <f>IF(AH$5&gt;$B71,0,INDEX(Decrements!$G$6:$G$58,Census!$G71+AH$5-18)/INDEX(Decrements!$G$6:$G$58,Census!$G71-17)*(INDEX(Decrements!$D$6:$D$58,Census!$G71+AH$5-18)+IF(AH$5=$B71,INDEX(Decrements!$F$6:$F$58,Census!$G71+AH$5-18),0)+INDEX(Decrements!$E$6:$E$58,Census!$G71+AH$5-18)*IF((Census!$F71+AH$5)&gt;=Assumptions!$B$11,1,0))*MIN(15/26*Census!$D71*(1+Assumptions!$B$9)^AH$5*(INT((Census!$F71+AH$5))+IF((Census!$F71+AH$5)-INT((Census!$F71+AH$5))&gt;0.5,1,0)),Assumptions!$B$10))</f>
        <v>0</v>
      </c>
      <c r="AI71" s="30">
        <f>IF(AI$5&gt;$B71,0,INDEX(Decrements!$G$6:$G$58,Census!$G71+AI$5-18)/INDEX(Decrements!$G$6:$G$58,Census!$G71-17)*(INDEX(Decrements!$D$6:$D$58,Census!$G71+AI$5-18)+IF(AI$5=$B71,INDEX(Decrements!$F$6:$F$58,Census!$G71+AI$5-18),0)+INDEX(Decrements!$E$6:$E$58,Census!$G71+AI$5-18)*IF((Census!$F71+AI$5)&gt;=Assumptions!$B$11,1,0))*MIN(15/26*Census!$D71*(1+Assumptions!$B$9)^AI$5*(INT((Census!$F71+AI$5))+IF((Census!$F71+AI$5)-INT((Census!$F71+AI$5))&gt;0.5,1,0)),Assumptions!$B$10))</f>
        <v>0</v>
      </c>
      <c r="AJ71" s="30">
        <f>IF(AJ$5&gt;$B71,0,INDEX(Decrements!$G$6:$G$58,Census!$G71+AJ$5-18)/INDEX(Decrements!$G$6:$G$58,Census!$G71-17)*(INDEX(Decrements!$D$6:$D$58,Census!$G71+AJ$5-18)+IF(AJ$5=$B71,INDEX(Decrements!$F$6:$F$58,Census!$G71+AJ$5-18),0)+INDEX(Decrements!$E$6:$E$58,Census!$G71+AJ$5-18)*IF((Census!$F71+AJ$5)&gt;=Assumptions!$B$11,1,0))*MIN(15/26*Census!$D71*(1+Assumptions!$B$9)^AJ$5*(INT((Census!$F71+AJ$5))+IF((Census!$F71+AJ$5)-INT((Census!$F71+AJ$5))&gt;0.5,1,0)),Assumptions!$B$10))</f>
        <v>0</v>
      </c>
      <c r="AK71" s="30">
        <f>IF(AK$5&gt;$B71,0,INDEX(Decrements!$G$6:$G$58,Census!$G71+AK$5-18)/INDEX(Decrements!$G$6:$G$58,Census!$G71-17)*(INDEX(Decrements!$D$6:$D$58,Census!$G71+AK$5-18)+IF(AK$5=$B71,INDEX(Decrements!$F$6:$F$58,Census!$G71+AK$5-18),0)+INDEX(Decrements!$E$6:$E$58,Census!$G71+AK$5-18)*IF((Census!$F71+AK$5)&gt;=Assumptions!$B$11,1,0))*MIN(15/26*Census!$D71*(1+Assumptions!$B$9)^AK$5*(INT((Census!$F71+AK$5))+IF((Census!$F71+AK$5)-INT((Census!$F71+AK$5))&gt;0.5,1,0)),Assumptions!$B$10))</f>
        <v>0</v>
      </c>
      <c r="AL71" s="30">
        <f>IF(AL$5&gt;$B71,0,INDEX(Decrements!$G$6:$G$58,Census!$G71+AL$5-18)/INDEX(Decrements!$G$6:$G$58,Census!$G71-17)*(INDEX(Decrements!$D$6:$D$58,Census!$G71+AL$5-18)+IF(AL$5=$B71,INDEX(Decrements!$F$6:$F$58,Census!$G71+AL$5-18),0)+INDEX(Decrements!$E$6:$E$58,Census!$G71+AL$5-18)*IF((Census!$F71+AL$5)&gt;=Assumptions!$B$11,1,0))*MIN(15/26*Census!$D71*(1+Assumptions!$B$9)^AL$5*(INT((Census!$F71+AL$5))+IF((Census!$F71+AL$5)-INT((Census!$F71+AL$5))&gt;0.5,1,0)),Assumptions!$B$10))</f>
        <v>0</v>
      </c>
      <c r="AM71" s="30">
        <f>IF(AM$5&gt;$B71,0,INDEX(Decrements!$G$6:$G$58,Census!$G71+AM$5-18)/INDEX(Decrements!$G$6:$G$58,Census!$G71-17)*(INDEX(Decrements!$D$6:$D$58,Census!$G71+AM$5-18)+IF(AM$5=$B71,INDEX(Decrements!$F$6:$F$58,Census!$G71+AM$5-18),0)+INDEX(Decrements!$E$6:$E$58,Census!$G71+AM$5-18)*IF((Census!$F71+AM$5)&gt;=Assumptions!$B$11,1,0))*MIN(15/26*Census!$D71*(1+Assumptions!$B$9)^AM$5*(INT((Census!$F71+AM$5))+IF((Census!$F71+AM$5)-INT((Census!$F71+AM$5))&gt;0.5,1,0)),Assumptions!$B$10))</f>
        <v>0</v>
      </c>
      <c r="AN71" s="30">
        <f>IF(AN$5&gt;$B71,0,INDEX(Decrements!$G$6:$G$58,Census!$G71+AN$5-18)/INDEX(Decrements!$G$6:$G$58,Census!$G71-17)*(INDEX(Decrements!$D$6:$D$58,Census!$G71+AN$5-18)+IF(AN$5=$B71,INDEX(Decrements!$F$6:$F$58,Census!$G71+AN$5-18),0)+INDEX(Decrements!$E$6:$E$58,Census!$G71+AN$5-18)*IF((Census!$F71+AN$5)&gt;=Assumptions!$B$11,1,0))*MIN(15/26*Census!$D71*(1+Assumptions!$B$9)^AN$5*(INT((Census!$F71+AN$5))+IF((Census!$F71+AN$5)-INT((Census!$F71+AN$5))&gt;0.5,1,0)),Assumptions!$B$10))</f>
        <v>0</v>
      </c>
      <c r="AO71" s="30">
        <f>IF(AO$5&gt;$B71,0,INDEX(Decrements!$G$6:$G$58,Census!$G71+AO$5-18)/INDEX(Decrements!$G$6:$G$58,Census!$G71-17)*(INDEX(Decrements!$D$6:$D$58,Census!$G71+AO$5-18)+IF(AO$5=$B71,INDEX(Decrements!$F$6:$F$58,Census!$G71+AO$5-18),0)+INDEX(Decrements!$E$6:$E$58,Census!$G71+AO$5-18)*IF((Census!$F71+AO$5)&gt;=Assumptions!$B$11,1,0))*MIN(15/26*Census!$D71*(1+Assumptions!$B$9)^AO$5*(INT((Census!$F71+AO$5))+IF((Census!$F71+AO$5)-INT((Census!$F71+AO$5))&gt;0.5,1,0)),Assumptions!$B$10))</f>
        <v>0</v>
      </c>
      <c r="AP71" s="30">
        <f>IF(AP$5&gt;$B71,0,INDEX(Decrements!$G$6:$G$58,Census!$G71+AP$5-18)/INDEX(Decrements!$G$6:$G$58,Census!$G71-17)*(INDEX(Decrements!$D$6:$D$58,Census!$G71+AP$5-18)+IF(AP$5=$B71,INDEX(Decrements!$F$6:$F$58,Census!$G71+AP$5-18),0)+INDEX(Decrements!$E$6:$E$58,Census!$G71+AP$5-18)*IF((Census!$F71+AP$5)&gt;=Assumptions!$B$11,1,0))*MIN(15/26*Census!$D71*(1+Assumptions!$B$9)^AP$5*(INT((Census!$F71+AP$5))+IF((Census!$F71+AP$5)-INT((Census!$F71+AP$5))&gt;0.5,1,0)),Assumptions!$B$10))</f>
        <v>0</v>
      </c>
      <c r="AQ71" s="30">
        <f>IF(AQ$5&gt;$B71,0,INDEX(Decrements!$G$6:$G$58,Census!$G71+AQ$5-18)/INDEX(Decrements!$G$6:$G$58,Census!$G71-17)*(INDEX(Decrements!$D$6:$D$58,Census!$G71+AQ$5-18)+IF(AQ$5=$B71,INDEX(Decrements!$F$6:$F$58,Census!$G71+AQ$5-18),0)+INDEX(Decrements!$E$6:$E$58,Census!$G71+AQ$5-18)*IF((Census!$F71+AQ$5)&gt;=Assumptions!$B$11,1,0))*MIN(15/26*Census!$D71*(1+Assumptions!$B$9)^AQ$5*(INT((Census!$F71+AQ$5))+IF((Census!$F71+AQ$5)-INT((Census!$F71+AQ$5))&gt;0.5,1,0)),Assumptions!$B$10))</f>
        <v>0</v>
      </c>
      <c r="AR71" s="30">
        <f>IF(AR$5&gt;$B71,0,INDEX(Decrements!$G$6:$G$58,Census!$G71+AR$5-18)/INDEX(Decrements!$G$6:$G$58,Census!$G71-17)*(INDEX(Decrements!$D$6:$D$58,Census!$G71+AR$5-18)+IF(AR$5=$B71,INDEX(Decrements!$F$6:$F$58,Census!$G71+AR$5-18),0)+INDEX(Decrements!$E$6:$E$58,Census!$G71+AR$5-18)*IF((Census!$F71+AR$5)&gt;=Assumptions!$B$11,1,0))*MIN(15/26*Census!$D71*(1+Assumptions!$B$9)^AR$5*(INT((Census!$F71+AR$5))+IF((Census!$F71+AR$5)-INT((Census!$F71+AR$5))&gt;0.5,1,0)),Assumptions!$B$10))</f>
        <v>0</v>
      </c>
      <c r="AS71" s="30">
        <f>IF(AS$5&gt;$B71,0,INDEX(Decrements!$G$6:$G$58,Census!$G71+AS$5-18)/INDEX(Decrements!$G$6:$G$58,Census!$G71-17)*(INDEX(Decrements!$D$6:$D$58,Census!$G71+AS$5-18)+IF(AS$5=$B71,INDEX(Decrements!$F$6:$F$58,Census!$G71+AS$5-18),0)+INDEX(Decrements!$E$6:$E$58,Census!$G71+AS$5-18)*IF((Census!$F71+AS$5)&gt;=Assumptions!$B$11,1,0))*MIN(15/26*Census!$D71*(1+Assumptions!$B$9)^AS$5*(INT((Census!$F71+AS$5))+IF((Census!$F71+AS$5)-INT((Census!$F71+AS$5))&gt;0.5,1,0)),Assumptions!$B$10))</f>
        <v>0</v>
      </c>
      <c r="AT71" s="30">
        <f>IF(AT$5&gt;$B71,0,INDEX(Decrements!$G$6:$G$58,Census!$G71+AT$5-18)/INDEX(Decrements!$G$6:$G$58,Census!$G71-17)*(INDEX(Decrements!$D$6:$D$58,Census!$G71+AT$5-18)+IF(AT$5=$B71,INDEX(Decrements!$F$6:$F$58,Census!$G71+AT$5-18),0)+INDEX(Decrements!$E$6:$E$58,Census!$G71+AT$5-18)*IF((Census!$F71+AT$5)&gt;=Assumptions!$B$11,1,0))*MIN(15/26*Census!$D71*(1+Assumptions!$B$9)^AT$5*(INT((Census!$F71+AT$5))+IF((Census!$F71+AT$5)-INT((Census!$F71+AT$5))&gt;0.5,1,0)),Assumptions!$B$10))</f>
        <v>0</v>
      </c>
      <c r="AU71" s="30">
        <f>IF(AU$5&gt;$B71,0,INDEX(Decrements!$G$6:$G$58,Census!$G71+AU$5-18)/INDEX(Decrements!$G$6:$G$58,Census!$G71-17)*(INDEX(Decrements!$D$6:$D$58,Census!$G71+AU$5-18)+IF(AU$5=$B71,INDEX(Decrements!$F$6:$F$58,Census!$G71+AU$5-18),0)+INDEX(Decrements!$E$6:$E$58,Census!$G71+AU$5-18)*IF((Census!$F71+AU$5)&gt;=Assumptions!$B$11,1,0))*MIN(15/26*Census!$D71*(1+Assumptions!$B$9)^AU$5*(INT((Census!$F71+AU$5))+IF((Census!$F71+AU$5)-INT((Census!$F71+AU$5))&gt;0.5,1,0)),Assumptions!$B$10))</f>
        <v>0</v>
      </c>
    </row>
    <row r="72" spans="1:47" x14ac:dyDescent="0.3">
      <c r="A72" s="10" t="str">
        <f>Census!A72</f>
        <v>E067</v>
      </c>
      <c r="B72" s="29">
        <f>Census!H72</f>
        <v>24</v>
      </c>
      <c r="C72" s="30">
        <f>IF(C$5&gt;$B72,0,INDEX(Decrements!$G$6:$G$58,Census!$G72+C$5-18)/INDEX(Decrements!$G$6:$G$58,Census!$G72-17)*(INDEX(Decrements!$D$6:$D$58,Census!$G72+C$5-18)+IF(C$5=$B72,INDEX(Decrements!$F$6:$F$58,Census!$G72+C$5-18),0)+INDEX(Decrements!$E$6:$E$58,Census!$G72+C$5-18)*IF((Census!$F72+C$5)&gt;=Assumptions!$B$11,1,0))*MIN(15/26*Census!$D72*(1+Assumptions!$B$9)^C$5*(INT((Census!$F72+C$5))+IF((Census!$F72+C$5)-INT((Census!$F72+C$5))&gt;0.5,1,0)),Assumptions!$B$10))</f>
        <v>69899.324012600337</v>
      </c>
      <c r="D72" s="30">
        <f>IF(D$5&gt;$B72,0,INDEX(Decrements!$G$6:$G$58,Census!$G72+D$5-18)/INDEX(Decrements!$G$6:$G$58,Census!$G72-17)*(INDEX(Decrements!$D$6:$D$58,Census!$G72+D$5-18)+IF(D$5=$B72,INDEX(Decrements!$F$6:$F$58,Census!$G72+D$5-18),0)+INDEX(Decrements!$E$6:$E$58,Census!$G72+D$5-18)*IF((Census!$F72+D$5)&gt;=Assumptions!$B$11,1,0))*MIN(15/26*Census!$D72*(1+Assumptions!$B$9)^D$5*(INT((Census!$F72+D$5))+IF((Census!$F72+D$5)-INT((Census!$F72+D$5))&gt;0.5,1,0)),Assumptions!$B$10))</f>
        <v>73769.648630740805</v>
      </c>
      <c r="E72" s="30">
        <f>IF(E$5&gt;$B72,0,INDEX(Decrements!$G$6:$G$58,Census!$G72+E$5-18)/INDEX(Decrements!$G$6:$G$58,Census!$G72-17)*(INDEX(Decrements!$D$6:$D$58,Census!$G72+E$5-18)+IF(E$5=$B72,INDEX(Decrements!$F$6:$F$58,Census!$G72+E$5-18),0)+INDEX(Decrements!$E$6:$E$58,Census!$G72+E$5-18)*IF((Census!$F72+E$5)&gt;=Assumptions!$B$11,1,0))*MIN(15/26*Census!$D72*(1+Assumptions!$B$9)^E$5*(INT((Census!$F72+E$5))+IF((Census!$F72+E$5)-INT((Census!$F72+E$5))&gt;0.5,1,0)),Assumptions!$B$10))</f>
        <v>77585.506043811882</v>
      </c>
      <c r="F72" s="30">
        <f>IF(F$5&gt;$B72,0,INDEX(Decrements!$G$6:$G$58,Census!$G72+F$5-18)/INDEX(Decrements!$G$6:$G$58,Census!$G72-17)*(INDEX(Decrements!$D$6:$D$58,Census!$G72+F$5-18)+IF(F$5=$B72,INDEX(Decrements!$F$6:$F$58,Census!$G72+F$5-18),0)+INDEX(Decrements!$E$6:$E$58,Census!$G72+F$5-18)*IF((Census!$F72+F$5)&gt;=Assumptions!$B$11,1,0))*MIN(15/26*Census!$D72*(1+Assumptions!$B$9)^F$5*(INT((Census!$F72+F$5))+IF((Census!$F72+F$5)-INT((Census!$F72+F$5))&gt;0.5,1,0)),Assumptions!$B$10))</f>
        <v>81347.606269690135</v>
      </c>
      <c r="G72" s="30">
        <f>IF(G$5&gt;$B72,0,INDEX(Decrements!$G$6:$G$58,Census!$G72+G$5-18)/INDEX(Decrements!$G$6:$G$58,Census!$G72-17)*(INDEX(Decrements!$D$6:$D$58,Census!$G72+G$5-18)+IF(G$5=$B72,INDEX(Decrements!$F$6:$F$58,Census!$G72+G$5-18),0)+INDEX(Decrements!$E$6:$E$58,Census!$G72+G$5-18)*IF((Census!$F72+G$5)&gt;=Assumptions!$B$11,1,0))*MIN(15/26*Census!$D72*(1+Assumptions!$B$9)^G$5*(INT((Census!$F72+G$5))+IF((Census!$F72+G$5)-INT((Census!$F72+G$5))&gt;0.5,1,0)),Assumptions!$B$10))</f>
        <v>53689.977928158063</v>
      </c>
      <c r="H72" s="30">
        <f>IF(H$5&gt;$B72,0,INDEX(Decrements!$G$6:$G$58,Census!$G72+H$5-18)/INDEX(Decrements!$G$6:$G$58,Census!$G72-17)*(INDEX(Decrements!$D$6:$D$58,Census!$G72+H$5-18)+IF(H$5=$B72,INDEX(Decrements!$F$6:$F$58,Census!$G72+H$5-18),0)+INDEX(Decrements!$E$6:$E$58,Census!$G72+H$5-18)*IF((Census!$F72+H$5)&gt;=Assumptions!$B$11,1,0))*MIN(15/26*Census!$D72*(1+Assumptions!$B$9)^H$5*(INT((Census!$F72+H$5))+IF((Census!$F72+H$5)-INT((Census!$F72+H$5))&gt;0.5,1,0)),Assumptions!$B$10))</f>
        <v>57863.681796542594</v>
      </c>
      <c r="I72" s="30">
        <f>IF(I$5&gt;$B72,0,INDEX(Decrements!$G$6:$G$58,Census!$G72+I$5-18)/INDEX(Decrements!$G$6:$G$58,Census!$G72-17)*(INDEX(Decrements!$D$6:$D$58,Census!$G72+I$5-18)+IF(I$5=$B72,INDEX(Decrements!$F$6:$F$58,Census!$G72+I$5-18),0)+INDEX(Decrements!$E$6:$E$58,Census!$G72+I$5-18)*IF((Census!$F72+I$5)&gt;=Assumptions!$B$11,1,0))*MIN(15/26*Census!$D72*(1+Assumptions!$B$9)^I$5*(INT((Census!$F72+I$5))+IF((Census!$F72+I$5)-INT((Census!$F72+I$5))&gt;0.5,1,0)),Assumptions!$B$10))</f>
        <v>62225.207387331793</v>
      </c>
      <c r="J72" s="30">
        <f>IF(J$5&gt;$B72,0,INDEX(Decrements!$G$6:$G$58,Census!$G72+J$5-18)/INDEX(Decrements!$G$6:$G$58,Census!$G72-17)*(INDEX(Decrements!$D$6:$D$58,Census!$G72+J$5-18)+IF(J$5=$B72,INDEX(Decrements!$F$6:$F$58,Census!$G72+J$5-18),0)+INDEX(Decrements!$E$6:$E$58,Census!$G72+J$5-18)*IF((Census!$F72+J$5)&gt;=Assumptions!$B$11,1,0))*MIN(15/26*Census!$D72*(1+Assumptions!$B$9)^J$5*(INT((Census!$F72+J$5))+IF((Census!$F72+J$5)-INT((Census!$F72+J$5))&gt;0.5,1,0)),Assumptions!$B$10))</f>
        <v>62797.317070709483</v>
      </c>
      <c r="K72" s="30">
        <f>IF(K$5&gt;$B72,0,INDEX(Decrements!$G$6:$G$58,Census!$G72+K$5-18)/INDEX(Decrements!$G$6:$G$58,Census!$G72-17)*(INDEX(Decrements!$D$6:$D$58,Census!$G72+K$5-18)+IF(K$5=$B72,INDEX(Decrements!$F$6:$F$58,Census!$G72+K$5-18),0)+INDEX(Decrements!$E$6:$E$58,Census!$G72+K$5-18)*IF((Census!$F72+K$5)&gt;=Assumptions!$B$11,1,0))*MIN(15/26*Census!$D72*(1+Assumptions!$B$9)^K$5*(INT((Census!$F72+K$5))+IF((Census!$F72+K$5)-INT((Census!$F72+K$5))&gt;0.5,1,0)),Assumptions!$B$10))</f>
        <v>59696.683530416485</v>
      </c>
      <c r="L72" s="30">
        <f>IF(L$5&gt;$B72,0,INDEX(Decrements!$G$6:$G$58,Census!$G72+L$5-18)/INDEX(Decrements!$G$6:$G$58,Census!$G72-17)*(INDEX(Decrements!$D$6:$D$58,Census!$G72+L$5-18)+IF(L$5=$B72,INDEX(Decrements!$F$6:$F$58,Census!$G72+L$5-18),0)+INDEX(Decrements!$E$6:$E$58,Census!$G72+L$5-18)*IF((Census!$F72+L$5)&gt;=Assumptions!$B$11,1,0))*MIN(15/26*Census!$D72*(1+Assumptions!$B$9)^L$5*(INT((Census!$F72+L$5))+IF((Census!$F72+L$5)-INT((Census!$F72+L$5))&gt;0.5,1,0)),Assumptions!$B$10))</f>
        <v>34897.181770501571</v>
      </c>
      <c r="M72" s="30">
        <f>IF(M$5&gt;$B72,0,INDEX(Decrements!$G$6:$G$58,Census!$G72+M$5-18)/INDEX(Decrements!$G$6:$G$58,Census!$G72-17)*(INDEX(Decrements!$D$6:$D$58,Census!$G72+M$5-18)+IF(M$5=$B72,INDEX(Decrements!$F$6:$F$58,Census!$G72+M$5-18),0)+INDEX(Decrements!$E$6:$E$58,Census!$G72+M$5-18)*IF((Census!$F72+M$5)&gt;=Assumptions!$B$11,1,0))*MIN(15/26*Census!$D72*(1+Assumptions!$B$9)^M$5*(INT((Census!$F72+M$5))+IF((Census!$F72+M$5)-INT((Census!$F72+M$5))&gt;0.5,1,0)),Assumptions!$B$10))</f>
        <v>33941.97995946031</v>
      </c>
      <c r="N72" s="30">
        <f>IF(N$5&gt;$B72,0,INDEX(Decrements!$G$6:$G$58,Census!$G72+N$5-18)/INDEX(Decrements!$G$6:$G$58,Census!$G72-17)*(INDEX(Decrements!$D$6:$D$58,Census!$G72+N$5-18)+IF(N$5=$B72,INDEX(Decrements!$F$6:$F$58,Census!$G72+N$5-18),0)+INDEX(Decrements!$E$6:$E$58,Census!$G72+N$5-18)*IF((Census!$F72+N$5)&gt;=Assumptions!$B$11,1,0))*MIN(15/26*Census!$D72*(1+Assumptions!$B$9)^N$5*(INT((Census!$F72+N$5))+IF((Census!$F72+N$5)-INT((Census!$F72+N$5))&gt;0.5,1,0)),Assumptions!$B$10))</f>
        <v>33022.336032723288</v>
      </c>
      <c r="O72" s="30">
        <f>IF(O$5&gt;$B72,0,INDEX(Decrements!$G$6:$G$58,Census!$G72+O$5-18)/INDEX(Decrements!$G$6:$G$58,Census!$G72-17)*(INDEX(Decrements!$D$6:$D$58,Census!$G72+O$5-18)+IF(O$5=$B72,INDEX(Decrements!$F$6:$F$58,Census!$G72+O$5-18),0)+INDEX(Decrements!$E$6:$E$58,Census!$G72+O$5-18)*IF((Census!$F72+O$5)&gt;=Assumptions!$B$11,1,0))*MIN(15/26*Census!$D72*(1+Assumptions!$B$9)^O$5*(INT((Census!$F72+O$5))+IF((Census!$F72+O$5)-INT((Census!$F72+O$5))&gt;0.5,1,0)),Assumptions!$B$10))</f>
        <v>32137.523460724788</v>
      </c>
      <c r="P72" s="30">
        <f>IF(P$5&gt;$B72,0,INDEX(Decrements!$G$6:$G$58,Census!$G72+P$5-18)/INDEX(Decrements!$G$6:$G$58,Census!$G72-17)*(INDEX(Decrements!$D$6:$D$58,Census!$G72+P$5-18)+IF(P$5=$B72,INDEX(Decrements!$F$6:$F$58,Census!$G72+P$5-18),0)+INDEX(Decrements!$E$6:$E$58,Census!$G72+P$5-18)*IF((Census!$F72+P$5)&gt;=Assumptions!$B$11,1,0))*MIN(15/26*Census!$D72*(1+Assumptions!$B$9)^P$5*(INT((Census!$F72+P$5))+IF((Census!$F72+P$5)-INT((Census!$F72+P$5))&gt;0.5,1,0)),Assumptions!$B$10))</f>
        <v>31286.847815034173</v>
      </c>
      <c r="Q72" s="30">
        <f>IF(Q$5&gt;$B72,0,INDEX(Decrements!$G$6:$G$58,Census!$G72+Q$5-18)/INDEX(Decrements!$G$6:$G$58,Census!$G72-17)*(INDEX(Decrements!$D$6:$D$58,Census!$G72+Q$5-18)+IF(Q$5=$B72,INDEX(Decrements!$F$6:$F$58,Census!$G72+Q$5-18),0)+INDEX(Decrements!$E$6:$E$58,Census!$G72+Q$5-18)*IF((Census!$F72+Q$5)&gt;=Assumptions!$B$11,1,0))*MIN(15/26*Census!$D72*(1+Assumptions!$B$9)^Q$5*(INT((Census!$F72+Q$5))+IF((Census!$F72+Q$5)-INT((Census!$F72+Q$5))&gt;0.5,1,0)),Assumptions!$B$10))</f>
        <v>21199.181434790728</v>
      </c>
      <c r="R72" s="30">
        <f>IF(R$5&gt;$B72,0,INDEX(Decrements!$G$6:$G$58,Census!$G72+R$5-18)/INDEX(Decrements!$G$6:$G$58,Census!$G72-17)*(INDEX(Decrements!$D$6:$D$58,Census!$G72+R$5-18)+IF(R$5=$B72,INDEX(Decrements!$F$6:$F$58,Census!$G72+R$5-18),0)+INDEX(Decrements!$E$6:$E$58,Census!$G72+R$5-18)*IF((Census!$F72+R$5)&gt;=Assumptions!$B$11,1,0))*MIN(15/26*Census!$D72*(1+Assumptions!$B$9)^R$5*(INT((Census!$F72+R$5))+IF((Census!$F72+R$5)-INT((Census!$F72+R$5))&gt;0.5,1,0)),Assumptions!$B$10))</f>
        <v>20934.462488404555</v>
      </c>
      <c r="S72" s="30">
        <f>IF(S$5&gt;$B72,0,INDEX(Decrements!$G$6:$G$58,Census!$G72+S$5-18)/INDEX(Decrements!$G$6:$G$58,Census!$G72-17)*(INDEX(Decrements!$D$6:$D$58,Census!$G72+S$5-18)+IF(S$5=$B72,INDEX(Decrements!$F$6:$F$58,Census!$G72+S$5-18),0)+INDEX(Decrements!$E$6:$E$58,Census!$G72+S$5-18)*IF((Census!$F72+S$5)&gt;=Assumptions!$B$11,1,0))*MIN(15/26*Census!$D72*(1+Assumptions!$B$9)^S$5*(INT((Census!$F72+S$5))+IF((Census!$F72+S$5)-INT((Census!$F72+S$5))&gt;0.5,1,0)),Assumptions!$B$10))</f>
        <v>20687.004315167062</v>
      </c>
      <c r="T72" s="30">
        <f>IF(T$5&gt;$B72,0,INDEX(Decrements!$G$6:$G$58,Census!$G72+T$5-18)/INDEX(Decrements!$G$6:$G$58,Census!$G72-17)*(INDEX(Decrements!$D$6:$D$58,Census!$G72+T$5-18)+IF(T$5=$B72,INDEX(Decrements!$F$6:$F$58,Census!$G72+T$5-18),0)+INDEX(Decrements!$E$6:$E$58,Census!$G72+T$5-18)*IF((Census!$F72+T$5)&gt;=Assumptions!$B$11,1,0))*MIN(15/26*Census!$D72*(1+Assumptions!$B$9)^T$5*(INT((Census!$F72+T$5))+IF((Census!$F72+T$5)-INT((Census!$F72+T$5))&gt;0.5,1,0)),Assumptions!$B$10))</f>
        <v>20457.170633616504</v>
      </c>
      <c r="U72" s="30">
        <f>IF(U$5&gt;$B72,0,INDEX(Decrements!$G$6:$G$58,Census!$G72+U$5-18)/INDEX(Decrements!$G$6:$G$58,Census!$G72-17)*(INDEX(Decrements!$D$6:$D$58,Census!$G72+U$5-18)+IF(U$5=$B72,INDEX(Decrements!$F$6:$F$58,Census!$G72+U$5-18),0)+INDEX(Decrements!$E$6:$E$58,Census!$G72+U$5-18)*IF((Census!$F72+U$5)&gt;=Assumptions!$B$11,1,0))*MIN(15/26*Census!$D72*(1+Assumptions!$B$9)^U$5*(INT((Census!$F72+U$5))+IF((Census!$F72+U$5)-INT((Census!$F72+U$5))&gt;0.5,1,0)),Assumptions!$B$10))</f>
        <v>20245.33716496691</v>
      </c>
      <c r="V72" s="30">
        <f>IF(V$5&gt;$B72,0,INDEX(Decrements!$G$6:$G$58,Census!$G72+V$5-18)/INDEX(Decrements!$G$6:$G$58,Census!$G72-17)*(INDEX(Decrements!$D$6:$D$58,Census!$G72+V$5-18)+IF(V$5=$B72,INDEX(Decrements!$F$6:$F$58,Census!$G72+V$5-18),0)+INDEX(Decrements!$E$6:$E$58,Census!$G72+V$5-18)*IF((Census!$F72+V$5)&gt;=Assumptions!$B$11,1,0))*MIN(15/26*Census!$D72*(1+Assumptions!$B$9)^V$5*(INT((Census!$F72+V$5))+IF((Census!$F72+V$5)-INT((Census!$F72+V$5))&gt;0.5,1,0)),Assumptions!$B$10))</f>
        <v>11826.075574759876</v>
      </c>
      <c r="W72" s="30">
        <f>IF(W$5&gt;$B72,0,INDEX(Decrements!$G$6:$G$58,Census!$G72+W$5-18)/INDEX(Decrements!$G$6:$G$58,Census!$G72-17)*(INDEX(Decrements!$D$6:$D$58,Census!$G72+W$5-18)+IF(W$5=$B72,INDEX(Decrements!$F$6:$F$58,Census!$G72+W$5-18),0)+INDEX(Decrements!$E$6:$E$58,Census!$G72+W$5-18)*IF((Census!$F72+W$5)&gt;=Assumptions!$B$11,1,0))*MIN(15/26*Census!$D72*(1+Assumptions!$B$9)^W$5*(INT((Census!$F72+W$5))+IF((Census!$F72+W$5)-INT((Census!$F72+W$5))&gt;0.5,1,0)),Assumptions!$B$10))</f>
        <v>11975.182020972652</v>
      </c>
      <c r="X72" s="30">
        <f>IF(X$5&gt;$B72,0,INDEX(Decrements!$G$6:$G$58,Census!$G72+X$5-18)/INDEX(Decrements!$G$6:$G$58,Census!$G72-17)*(INDEX(Decrements!$D$6:$D$58,Census!$G72+X$5-18)+IF(X$5=$B72,INDEX(Decrements!$F$6:$F$58,Census!$G72+X$5-18),0)+INDEX(Decrements!$E$6:$E$58,Census!$G72+X$5-18)*IF((Census!$F72+X$5)&gt;=Assumptions!$B$11,1,0))*MIN(15/26*Census!$D72*(1+Assumptions!$B$9)^X$5*(INT((Census!$F72+X$5))+IF((Census!$F72+X$5)-INT((Census!$F72+X$5))&gt;0.5,1,0)),Assumptions!$B$10))</f>
        <v>12144.017069560188</v>
      </c>
      <c r="Y72" s="30">
        <f>IF(Y$5&gt;$B72,0,INDEX(Decrements!$G$6:$G$58,Census!$G72+Y$5-18)/INDEX(Decrements!$G$6:$G$58,Census!$G72-17)*(INDEX(Decrements!$D$6:$D$58,Census!$G72+Y$5-18)+IF(Y$5=$B72,INDEX(Decrements!$F$6:$F$58,Census!$G72+Y$5-18),0)+INDEX(Decrements!$E$6:$E$58,Census!$G72+Y$5-18)*IF((Census!$F72+Y$5)&gt;=Assumptions!$B$11,1,0))*MIN(15/26*Census!$D72*(1+Assumptions!$B$9)^Y$5*(INT((Census!$F72+Y$5))+IF((Census!$F72+Y$5)-INT((Census!$F72+Y$5))&gt;0.5,1,0)),Assumptions!$B$10))</f>
        <v>12333.728210636717</v>
      </c>
      <c r="Z72" s="30">
        <f>IF(Z$5&gt;$B72,0,INDEX(Decrements!$G$6:$G$58,Census!$G72+Z$5-18)/INDEX(Decrements!$G$6:$G$58,Census!$G72-17)*(INDEX(Decrements!$D$6:$D$58,Census!$G72+Z$5-18)+IF(Z$5=$B72,INDEX(Decrements!$F$6:$F$58,Census!$G72+Z$5-18),0)+INDEX(Decrements!$E$6:$E$58,Census!$G72+Z$5-18)*IF((Census!$F72+Z$5)&gt;=Assumptions!$B$11,1,0))*MIN(15/26*Census!$D72*(1+Assumptions!$B$9)^Z$5*(INT((Census!$F72+Z$5))+IF((Census!$F72+Z$5)-INT((Census!$F72+Z$5))&gt;0.5,1,0)),Assumptions!$B$10))</f>
        <v>777902.377824247</v>
      </c>
      <c r="AA72" s="30">
        <f>IF(AA$5&gt;$B72,0,INDEX(Decrements!$G$6:$G$58,Census!$G72+AA$5-18)/INDEX(Decrements!$G$6:$G$58,Census!$G72-17)*(INDEX(Decrements!$D$6:$D$58,Census!$G72+AA$5-18)+IF(AA$5=$B72,INDEX(Decrements!$F$6:$F$58,Census!$G72+AA$5-18),0)+INDEX(Decrements!$E$6:$E$58,Census!$G72+AA$5-18)*IF((Census!$F72+AA$5)&gt;=Assumptions!$B$11,1,0))*MIN(15/26*Census!$D72*(1+Assumptions!$B$9)^AA$5*(INT((Census!$F72+AA$5))+IF((Census!$F72+AA$5)-INT((Census!$F72+AA$5))&gt;0.5,1,0)),Assumptions!$B$10))</f>
        <v>0</v>
      </c>
      <c r="AB72" s="30">
        <f>IF(AB$5&gt;$B72,0,INDEX(Decrements!$G$6:$G$58,Census!$G72+AB$5-18)/INDEX(Decrements!$G$6:$G$58,Census!$G72-17)*(INDEX(Decrements!$D$6:$D$58,Census!$G72+AB$5-18)+IF(AB$5=$B72,INDEX(Decrements!$F$6:$F$58,Census!$G72+AB$5-18),0)+INDEX(Decrements!$E$6:$E$58,Census!$G72+AB$5-18)*IF((Census!$F72+AB$5)&gt;=Assumptions!$B$11,1,0))*MIN(15/26*Census!$D72*(1+Assumptions!$B$9)^AB$5*(INT((Census!$F72+AB$5))+IF((Census!$F72+AB$5)-INT((Census!$F72+AB$5))&gt;0.5,1,0)),Assumptions!$B$10))</f>
        <v>0</v>
      </c>
      <c r="AC72" s="30">
        <f>IF(AC$5&gt;$B72,0,INDEX(Decrements!$G$6:$G$58,Census!$G72+AC$5-18)/INDEX(Decrements!$G$6:$G$58,Census!$G72-17)*(INDEX(Decrements!$D$6:$D$58,Census!$G72+AC$5-18)+IF(AC$5=$B72,INDEX(Decrements!$F$6:$F$58,Census!$G72+AC$5-18),0)+INDEX(Decrements!$E$6:$E$58,Census!$G72+AC$5-18)*IF((Census!$F72+AC$5)&gt;=Assumptions!$B$11,1,0))*MIN(15/26*Census!$D72*(1+Assumptions!$B$9)^AC$5*(INT((Census!$F72+AC$5))+IF((Census!$F72+AC$5)-INT((Census!$F72+AC$5))&gt;0.5,1,0)),Assumptions!$B$10))</f>
        <v>0</v>
      </c>
      <c r="AD72" s="30">
        <f>IF(AD$5&gt;$B72,0,INDEX(Decrements!$G$6:$G$58,Census!$G72+AD$5-18)/INDEX(Decrements!$G$6:$G$58,Census!$G72-17)*(INDEX(Decrements!$D$6:$D$58,Census!$G72+AD$5-18)+IF(AD$5=$B72,INDEX(Decrements!$F$6:$F$58,Census!$G72+AD$5-18),0)+INDEX(Decrements!$E$6:$E$58,Census!$G72+AD$5-18)*IF((Census!$F72+AD$5)&gt;=Assumptions!$B$11,1,0))*MIN(15/26*Census!$D72*(1+Assumptions!$B$9)^AD$5*(INT((Census!$F72+AD$5))+IF((Census!$F72+AD$5)-INT((Census!$F72+AD$5))&gt;0.5,1,0)),Assumptions!$B$10))</f>
        <v>0</v>
      </c>
      <c r="AE72" s="30">
        <f>IF(AE$5&gt;$B72,0,INDEX(Decrements!$G$6:$G$58,Census!$G72+AE$5-18)/INDEX(Decrements!$G$6:$G$58,Census!$G72-17)*(INDEX(Decrements!$D$6:$D$58,Census!$G72+AE$5-18)+IF(AE$5=$B72,INDEX(Decrements!$F$6:$F$58,Census!$G72+AE$5-18),0)+INDEX(Decrements!$E$6:$E$58,Census!$G72+AE$5-18)*IF((Census!$F72+AE$5)&gt;=Assumptions!$B$11,1,0))*MIN(15/26*Census!$D72*(1+Assumptions!$B$9)^AE$5*(INT((Census!$F72+AE$5))+IF((Census!$F72+AE$5)-INT((Census!$F72+AE$5))&gt;0.5,1,0)),Assumptions!$B$10))</f>
        <v>0</v>
      </c>
      <c r="AF72" s="30">
        <f>IF(AF$5&gt;$B72,0,INDEX(Decrements!$G$6:$G$58,Census!$G72+AF$5-18)/INDEX(Decrements!$G$6:$G$58,Census!$G72-17)*(INDEX(Decrements!$D$6:$D$58,Census!$G72+AF$5-18)+IF(AF$5=$B72,INDEX(Decrements!$F$6:$F$58,Census!$G72+AF$5-18),0)+INDEX(Decrements!$E$6:$E$58,Census!$G72+AF$5-18)*IF((Census!$F72+AF$5)&gt;=Assumptions!$B$11,1,0))*MIN(15/26*Census!$D72*(1+Assumptions!$B$9)^AF$5*(INT((Census!$F72+AF$5))+IF((Census!$F72+AF$5)-INT((Census!$F72+AF$5))&gt;0.5,1,0)),Assumptions!$B$10))</f>
        <v>0</v>
      </c>
      <c r="AG72" s="30">
        <f>IF(AG$5&gt;$B72,0,INDEX(Decrements!$G$6:$G$58,Census!$G72+AG$5-18)/INDEX(Decrements!$G$6:$G$58,Census!$G72-17)*(INDEX(Decrements!$D$6:$D$58,Census!$G72+AG$5-18)+IF(AG$5=$B72,INDEX(Decrements!$F$6:$F$58,Census!$G72+AG$5-18),0)+INDEX(Decrements!$E$6:$E$58,Census!$G72+AG$5-18)*IF((Census!$F72+AG$5)&gt;=Assumptions!$B$11,1,0))*MIN(15/26*Census!$D72*(1+Assumptions!$B$9)^AG$5*(INT((Census!$F72+AG$5))+IF((Census!$F72+AG$5)-INT((Census!$F72+AG$5))&gt;0.5,1,0)),Assumptions!$B$10))</f>
        <v>0</v>
      </c>
      <c r="AH72" s="30">
        <f>IF(AH$5&gt;$B72,0,INDEX(Decrements!$G$6:$G$58,Census!$G72+AH$5-18)/INDEX(Decrements!$G$6:$G$58,Census!$G72-17)*(INDEX(Decrements!$D$6:$D$58,Census!$G72+AH$5-18)+IF(AH$5=$B72,INDEX(Decrements!$F$6:$F$58,Census!$G72+AH$5-18),0)+INDEX(Decrements!$E$6:$E$58,Census!$G72+AH$5-18)*IF((Census!$F72+AH$5)&gt;=Assumptions!$B$11,1,0))*MIN(15/26*Census!$D72*(1+Assumptions!$B$9)^AH$5*(INT((Census!$F72+AH$5))+IF((Census!$F72+AH$5)-INT((Census!$F72+AH$5))&gt;0.5,1,0)),Assumptions!$B$10))</f>
        <v>0</v>
      </c>
      <c r="AI72" s="30">
        <f>IF(AI$5&gt;$B72,0,INDEX(Decrements!$G$6:$G$58,Census!$G72+AI$5-18)/INDEX(Decrements!$G$6:$G$58,Census!$G72-17)*(INDEX(Decrements!$D$6:$D$58,Census!$G72+AI$5-18)+IF(AI$5=$B72,INDEX(Decrements!$F$6:$F$58,Census!$G72+AI$5-18),0)+INDEX(Decrements!$E$6:$E$58,Census!$G72+AI$5-18)*IF((Census!$F72+AI$5)&gt;=Assumptions!$B$11,1,0))*MIN(15/26*Census!$D72*(1+Assumptions!$B$9)^AI$5*(INT((Census!$F72+AI$5))+IF((Census!$F72+AI$5)-INT((Census!$F72+AI$5))&gt;0.5,1,0)),Assumptions!$B$10))</f>
        <v>0</v>
      </c>
      <c r="AJ72" s="30">
        <f>IF(AJ$5&gt;$B72,0,INDEX(Decrements!$G$6:$G$58,Census!$G72+AJ$5-18)/INDEX(Decrements!$G$6:$G$58,Census!$G72-17)*(INDEX(Decrements!$D$6:$D$58,Census!$G72+AJ$5-18)+IF(AJ$5=$B72,INDEX(Decrements!$F$6:$F$58,Census!$G72+AJ$5-18),0)+INDEX(Decrements!$E$6:$E$58,Census!$G72+AJ$5-18)*IF((Census!$F72+AJ$5)&gt;=Assumptions!$B$11,1,0))*MIN(15/26*Census!$D72*(1+Assumptions!$B$9)^AJ$5*(INT((Census!$F72+AJ$5))+IF((Census!$F72+AJ$5)-INT((Census!$F72+AJ$5))&gt;0.5,1,0)),Assumptions!$B$10))</f>
        <v>0</v>
      </c>
      <c r="AK72" s="30">
        <f>IF(AK$5&gt;$B72,0,INDEX(Decrements!$G$6:$G$58,Census!$G72+AK$5-18)/INDEX(Decrements!$G$6:$G$58,Census!$G72-17)*(INDEX(Decrements!$D$6:$D$58,Census!$G72+AK$5-18)+IF(AK$5=$B72,INDEX(Decrements!$F$6:$F$58,Census!$G72+AK$5-18),0)+INDEX(Decrements!$E$6:$E$58,Census!$G72+AK$5-18)*IF((Census!$F72+AK$5)&gt;=Assumptions!$B$11,1,0))*MIN(15/26*Census!$D72*(1+Assumptions!$B$9)^AK$5*(INT((Census!$F72+AK$5))+IF((Census!$F72+AK$5)-INT((Census!$F72+AK$5))&gt;0.5,1,0)),Assumptions!$B$10))</f>
        <v>0</v>
      </c>
      <c r="AL72" s="30">
        <f>IF(AL$5&gt;$B72,0,INDEX(Decrements!$G$6:$G$58,Census!$G72+AL$5-18)/INDEX(Decrements!$G$6:$G$58,Census!$G72-17)*(INDEX(Decrements!$D$6:$D$58,Census!$G72+AL$5-18)+IF(AL$5=$B72,INDEX(Decrements!$F$6:$F$58,Census!$G72+AL$5-18),0)+INDEX(Decrements!$E$6:$E$58,Census!$G72+AL$5-18)*IF((Census!$F72+AL$5)&gt;=Assumptions!$B$11,1,0))*MIN(15/26*Census!$D72*(1+Assumptions!$B$9)^AL$5*(INT((Census!$F72+AL$5))+IF((Census!$F72+AL$5)-INT((Census!$F72+AL$5))&gt;0.5,1,0)),Assumptions!$B$10))</f>
        <v>0</v>
      </c>
      <c r="AM72" s="30">
        <f>IF(AM$5&gt;$B72,0,INDEX(Decrements!$G$6:$G$58,Census!$G72+AM$5-18)/INDEX(Decrements!$G$6:$G$58,Census!$G72-17)*(INDEX(Decrements!$D$6:$D$58,Census!$G72+AM$5-18)+IF(AM$5=$B72,INDEX(Decrements!$F$6:$F$58,Census!$G72+AM$5-18),0)+INDEX(Decrements!$E$6:$E$58,Census!$G72+AM$5-18)*IF((Census!$F72+AM$5)&gt;=Assumptions!$B$11,1,0))*MIN(15/26*Census!$D72*(1+Assumptions!$B$9)^AM$5*(INT((Census!$F72+AM$5))+IF((Census!$F72+AM$5)-INT((Census!$F72+AM$5))&gt;0.5,1,0)),Assumptions!$B$10))</f>
        <v>0</v>
      </c>
      <c r="AN72" s="30">
        <f>IF(AN$5&gt;$B72,0,INDEX(Decrements!$G$6:$G$58,Census!$G72+AN$5-18)/INDEX(Decrements!$G$6:$G$58,Census!$G72-17)*(INDEX(Decrements!$D$6:$D$58,Census!$G72+AN$5-18)+IF(AN$5=$B72,INDEX(Decrements!$F$6:$F$58,Census!$G72+AN$5-18),0)+INDEX(Decrements!$E$6:$E$58,Census!$G72+AN$5-18)*IF((Census!$F72+AN$5)&gt;=Assumptions!$B$11,1,0))*MIN(15/26*Census!$D72*(1+Assumptions!$B$9)^AN$5*(INT((Census!$F72+AN$5))+IF((Census!$F72+AN$5)-INT((Census!$F72+AN$5))&gt;0.5,1,0)),Assumptions!$B$10))</f>
        <v>0</v>
      </c>
      <c r="AO72" s="30">
        <f>IF(AO$5&gt;$B72,0,INDEX(Decrements!$G$6:$G$58,Census!$G72+AO$5-18)/INDEX(Decrements!$G$6:$G$58,Census!$G72-17)*(INDEX(Decrements!$D$6:$D$58,Census!$G72+AO$5-18)+IF(AO$5=$B72,INDEX(Decrements!$F$6:$F$58,Census!$G72+AO$5-18),0)+INDEX(Decrements!$E$6:$E$58,Census!$G72+AO$5-18)*IF((Census!$F72+AO$5)&gt;=Assumptions!$B$11,1,0))*MIN(15/26*Census!$D72*(1+Assumptions!$B$9)^AO$5*(INT((Census!$F72+AO$5))+IF((Census!$F72+AO$5)-INT((Census!$F72+AO$5))&gt;0.5,1,0)),Assumptions!$B$10))</f>
        <v>0</v>
      </c>
      <c r="AP72" s="30">
        <f>IF(AP$5&gt;$B72,0,INDEX(Decrements!$G$6:$G$58,Census!$G72+AP$5-18)/INDEX(Decrements!$G$6:$G$58,Census!$G72-17)*(INDEX(Decrements!$D$6:$D$58,Census!$G72+AP$5-18)+IF(AP$5=$B72,INDEX(Decrements!$F$6:$F$58,Census!$G72+AP$5-18),0)+INDEX(Decrements!$E$6:$E$58,Census!$G72+AP$5-18)*IF((Census!$F72+AP$5)&gt;=Assumptions!$B$11,1,0))*MIN(15/26*Census!$D72*(1+Assumptions!$B$9)^AP$5*(INT((Census!$F72+AP$5))+IF((Census!$F72+AP$5)-INT((Census!$F72+AP$5))&gt;0.5,1,0)),Assumptions!$B$10))</f>
        <v>0</v>
      </c>
      <c r="AQ72" s="30">
        <f>IF(AQ$5&gt;$B72,0,INDEX(Decrements!$G$6:$G$58,Census!$G72+AQ$5-18)/INDEX(Decrements!$G$6:$G$58,Census!$G72-17)*(INDEX(Decrements!$D$6:$D$58,Census!$G72+AQ$5-18)+IF(AQ$5=$B72,INDEX(Decrements!$F$6:$F$58,Census!$G72+AQ$5-18),0)+INDEX(Decrements!$E$6:$E$58,Census!$G72+AQ$5-18)*IF((Census!$F72+AQ$5)&gt;=Assumptions!$B$11,1,0))*MIN(15/26*Census!$D72*(1+Assumptions!$B$9)^AQ$5*(INT((Census!$F72+AQ$5))+IF((Census!$F72+AQ$5)-INT((Census!$F72+AQ$5))&gt;0.5,1,0)),Assumptions!$B$10))</f>
        <v>0</v>
      </c>
      <c r="AR72" s="30">
        <f>IF(AR$5&gt;$B72,0,INDEX(Decrements!$G$6:$G$58,Census!$G72+AR$5-18)/INDEX(Decrements!$G$6:$G$58,Census!$G72-17)*(INDEX(Decrements!$D$6:$D$58,Census!$G72+AR$5-18)+IF(AR$5=$B72,INDEX(Decrements!$F$6:$F$58,Census!$G72+AR$5-18),0)+INDEX(Decrements!$E$6:$E$58,Census!$G72+AR$5-18)*IF((Census!$F72+AR$5)&gt;=Assumptions!$B$11,1,0))*MIN(15/26*Census!$D72*(1+Assumptions!$B$9)^AR$5*(INT((Census!$F72+AR$5))+IF((Census!$F72+AR$5)-INT((Census!$F72+AR$5))&gt;0.5,1,0)),Assumptions!$B$10))</f>
        <v>0</v>
      </c>
      <c r="AS72" s="30">
        <f>IF(AS$5&gt;$B72,0,INDEX(Decrements!$G$6:$G$58,Census!$G72+AS$5-18)/INDEX(Decrements!$G$6:$G$58,Census!$G72-17)*(INDEX(Decrements!$D$6:$D$58,Census!$G72+AS$5-18)+IF(AS$5=$B72,INDEX(Decrements!$F$6:$F$58,Census!$G72+AS$5-18),0)+INDEX(Decrements!$E$6:$E$58,Census!$G72+AS$5-18)*IF((Census!$F72+AS$5)&gt;=Assumptions!$B$11,1,0))*MIN(15/26*Census!$D72*(1+Assumptions!$B$9)^AS$5*(INT((Census!$F72+AS$5))+IF((Census!$F72+AS$5)-INT((Census!$F72+AS$5))&gt;0.5,1,0)),Assumptions!$B$10))</f>
        <v>0</v>
      </c>
      <c r="AT72" s="30">
        <f>IF(AT$5&gt;$B72,0,INDEX(Decrements!$G$6:$G$58,Census!$G72+AT$5-18)/INDEX(Decrements!$G$6:$G$58,Census!$G72-17)*(INDEX(Decrements!$D$6:$D$58,Census!$G72+AT$5-18)+IF(AT$5=$B72,INDEX(Decrements!$F$6:$F$58,Census!$G72+AT$5-18),0)+INDEX(Decrements!$E$6:$E$58,Census!$G72+AT$5-18)*IF((Census!$F72+AT$5)&gt;=Assumptions!$B$11,1,0))*MIN(15/26*Census!$D72*(1+Assumptions!$B$9)^AT$5*(INT((Census!$F72+AT$5))+IF((Census!$F72+AT$5)-INT((Census!$F72+AT$5))&gt;0.5,1,0)),Assumptions!$B$10))</f>
        <v>0</v>
      </c>
      <c r="AU72" s="30">
        <f>IF(AU$5&gt;$B72,0,INDEX(Decrements!$G$6:$G$58,Census!$G72+AU$5-18)/INDEX(Decrements!$G$6:$G$58,Census!$G72-17)*(INDEX(Decrements!$D$6:$D$58,Census!$G72+AU$5-18)+IF(AU$5=$B72,INDEX(Decrements!$F$6:$F$58,Census!$G72+AU$5-18),0)+INDEX(Decrements!$E$6:$E$58,Census!$G72+AU$5-18)*IF((Census!$F72+AU$5)&gt;=Assumptions!$B$11,1,0))*MIN(15/26*Census!$D72*(1+Assumptions!$B$9)^AU$5*(INT((Census!$F72+AU$5))+IF((Census!$F72+AU$5)-INT((Census!$F72+AU$5))&gt;0.5,1,0)),Assumptions!$B$10))</f>
        <v>0</v>
      </c>
    </row>
    <row r="73" spans="1:47" x14ac:dyDescent="0.3">
      <c r="A73" s="10" t="str">
        <f>Census!A73</f>
        <v>E068</v>
      </c>
      <c r="B73" s="29">
        <f>Census!H73</f>
        <v>34</v>
      </c>
      <c r="C73" s="30">
        <f>IF(C$5&gt;$B73,0,INDEX(Decrements!$G$6:$G$58,Census!$G73+C$5-18)/INDEX(Decrements!$G$6:$G$58,Census!$G73-17)*(INDEX(Decrements!$D$6:$D$58,Census!$G73+C$5-18)+IF(C$5=$B73,INDEX(Decrements!$F$6:$F$58,Census!$G73+C$5-18),0)+INDEX(Decrements!$E$6:$E$58,Census!$G73+C$5-18)*IF((Census!$F73+C$5)&gt;=Assumptions!$B$11,1,0))*MIN(15/26*Census!$D73*(1+Assumptions!$B$9)^C$5*(INT((Census!$F73+C$5))+IF((Census!$F73+C$5)-INT((Census!$F73+C$5))&gt;0.5,1,0)),Assumptions!$B$10))</f>
        <v>23.709426568644908</v>
      </c>
      <c r="D73" s="30">
        <f>IF(D$5&gt;$B73,0,INDEX(Decrements!$G$6:$G$58,Census!$G73+D$5-18)/INDEX(Decrements!$G$6:$G$58,Census!$G73-17)*(INDEX(Decrements!$D$6:$D$58,Census!$G73+D$5-18)+IF(D$5=$B73,INDEX(Decrements!$F$6:$F$58,Census!$G73+D$5-18),0)+INDEX(Decrements!$E$6:$E$58,Census!$G73+D$5-18)*IF((Census!$F73+D$5)&gt;=Assumptions!$B$11,1,0))*MIN(15/26*Census!$D73*(1+Assumptions!$B$9)^D$5*(INT((Census!$F73+D$5))+IF((Census!$F73+D$5)-INT((Census!$F73+D$5))&gt;0.5,1,0)),Assumptions!$B$10))</f>
        <v>45.175195459990817</v>
      </c>
      <c r="E73" s="30">
        <f>IF(E$5&gt;$B73,0,INDEX(Decrements!$G$6:$G$58,Census!$G73+E$5-18)/INDEX(Decrements!$G$6:$G$58,Census!$G73-17)*(INDEX(Decrements!$D$6:$D$58,Census!$G73+E$5-18)+IF(E$5=$B73,INDEX(Decrements!$F$6:$F$58,Census!$G73+E$5-18),0)+INDEX(Decrements!$E$6:$E$58,Census!$G73+E$5-18)*IF((Census!$F73+E$5)&gt;=Assumptions!$B$11,1,0))*MIN(15/26*Census!$D73*(1+Assumptions!$B$9)^E$5*(INT((Census!$F73+E$5))+IF((Census!$F73+E$5)-INT((Census!$F73+E$5))&gt;0.5,1,0)),Assumptions!$B$10))</f>
        <v>64.696545793715373</v>
      </c>
      <c r="F73" s="30">
        <f>IF(F$5&gt;$B73,0,INDEX(Decrements!$G$6:$G$58,Census!$G73+F$5-18)/INDEX(Decrements!$G$6:$G$58,Census!$G73-17)*(INDEX(Decrements!$D$6:$D$58,Census!$G73+F$5-18)+IF(F$5=$B73,INDEX(Decrements!$F$6:$F$58,Census!$G73+F$5-18),0)+INDEX(Decrements!$E$6:$E$58,Census!$G73+F$5-18)*IF((Census!$F73+F$5)&gt;=Assumptions!$B$11,1,0))*MIN(15/26*Census!$D73*(1+Assumptions!$B$9)^F$5*(INT((Census!$F73+F$5))+IF((Census!$F73+F$5)-INT((Census!$F73+F$5))&gt;0.5,1,0)),Assumptions!$B$10))</f>
        <v>82.539925508996802</v>
      </c>
      <c r="G73" s="30">
        <f>IF(G$5&gt;$B73,0,INDEX(Decrements!$G$6:$G$58,Census!$G73+G$5-18)/INDEX(Decrements!$G$6:$G$58,Census!$G73-17)*(INDEX(Decrements!$D$6:$D$58,Census!$G73+G$5-18)+IF(G$5=$B73,INDEX(Decrements!$F$6:$F$58,Census!$G73+G$5-18),0)+INDEX(Decrements!$E$6:$E$58,Census!$G73+G$5-18)*IF((Census!$F73+G$5)&gt;=Assumptions!$B$11,1,0))*MIN(15/26*Census!$D73*(1+Assumptions!$B$9)^G$5*(INT((Census!$F73+G$5))+IF((Census!$F73+G$5)-INT((Census!$F73+G$5))&gt;0.5,1,0)),Assumptions!$B$10))</f>
        <v>15458.333450402586</v>
      </c>
      <c r="H73" s="30">
        <f>IF(H$5&gt;$B73,0,INDEX(Decrements!$G$6:$G$58,Census!$G73+H$5-18)/INDEX(Decrements!$G$6:$G$58,Census!$G73-17)*(INDEX(Decrements!$D$6:$D$58,Census!$G73+H$5-18)+IF(H$5=$B73,INDEX(Decrements!$F$6:$F$58,Census!$G73+H$5-18),0)+INDEX(Decrements!$E$6:$E$58,Census!$G73+H$5-18)*IF((Census!$F73+H$5)&gt;=Assumptions!$B$11,1,0))*MIN(15/26*Census!$D73*(1+Assumptions!$B$9)^H$5*(INT((Census!$F73+H$5))+IF((Census!$F73+H$5)-INT((Census!$F73+H$5))&gt;0.5,1,0)),Assumptions!$B$10))</f>
        <v>17821.846203319528</v>
      </c>
      <c r="I73" s="30">
        <f>IF(I$5&gt;$B73,0,INDEX(Decrements!$G$6:$G$58,Census!$G73+I$5-18)/INDEX(Decrements!$G$6:$G$58,Census!$G73-17)*(INDEX(Decrements!$D$6:$D$58,Census!$G73+I$5-18)+IF(I$5=$B73,INDEX(Decrements!$F$6:$F$58,Census!$G73+I$5-18),0)+INDEX(Decrements!$E$6:$E$58,Census!$G73+I$5-18)*IF((Census!$F73+I$5)&gt;=Assumptions!$B$11,1,0))*MIN(15/26*Census!$D73*(1+Assumptions!$B$9)^I$5*(INT((Census!$F73+I$5))+IF((Census!$F73+I$5)-INT((Census!$F73+I$5))&gt;0.5,1,0)),Assumptions!$B$10))</f>
        <v>19975.841327191585</v>
      </c>
      <c r="J73" s="30">
        <f>IF(J$5&gt;$B73,0,INDEX(Decrements!$G$6:$G$58,Census!$G73+J$5-18)/INDEX(Decrements!$G$6:$G$58,Census!$G73-17)*(INDEX(Decrements!$D$6:$D$58,Census!$G73+J$5-18)+IF(J$5=$B73,INDEX(Decrements!$F$6:$F$58,Census!$G73+J$5-18),0)+INDEX(Decrements!$E$6:$E$58,Census!$G73+J$5-18)*IF((Census!$F73+J$5)&gt;=Assumptions!$B$11,1,0))*MIN(15/26*Census!$D73*(1+Assumptions!$B$9)^J$5*(INT((Census!$F73+J$5))+IF((Census!$F73+J$5)-INT((Census!$F73+J$5))&gt;0.5,1,0)),Assumptions!$B$10))</f>
        <v>21933.054690388159</v>
      </c>
      <c r="K73" s="30">
        <f>IF(K$5&gt;$B73,0,INDEX(Decrements!$G$6:$G$58,Census!$G73+K$5-18)/INDEX(Decrements!$G$6:$G$58,Census!$G73-17)*(INDEX(Decrements!$D$6:$D$58,Census!$G73+K$5-18)+IF(K$5=$B73,INDEX(Decrements!$F$6:$F$58,Census!$G73+K$5-18),0)+INDEX(Decrements!$E$6:$E$58,Census!$G73+K$5-18)*IF((Census!$F73+K$5)&gt;=Assumptions!$B$11,1,0))*MIN(15/26*Census!$D73*(1+Assumptions!$B$9)^K$5*(INT((Census!$F73+K$5))+IF((Census!$F73+K$5)-INT((Census!$F73+K$5))&gt;0.5,1,0)),Assumptions!$B$10))</f>
        <v>23705.541084046072</v>
      </c>
      <c r="L73" s="30">
        <f>IF(L$5&gt;$B73,0,INDEX(Decrements!$G$6:$G$58,Census!$G73+L$5-18)/INDEX(Decrements!$G$6:$G$58,Census!$G73-17)*(INDEX(Decrements!$D$6:$D$58,Census!$G73+L$5-18)+IF(L$5=$B73,INDEX(Decrements!$F$6:$F$58,Census!$G73+L$5-18),0)+INDEX(Decrements!$E$6:$E$58,Census!$G73+L$5-18)*IF((Census!$F73+L$5)&gt;=Assumptions!$B$11,1,0))*MIN(15/26*Census!$D73*(1+Assumptions!$B$9)^L$5*(INT((Census!$F73+L$5))+IF((Census!$F73+L$5)-INT((Census!$F73+L$5))&gt;0.5,1,0)),Assumptions!$B$10))</f>
        <v>18464.993277368969</v>
      </c>
      <c r="M73" s="30">
        <f>IF(M$5&gt;$B73,0,INDEX(Decrements!$G$6:$G$58,Census!$G73+M$5-18)/INDEX(Decrements!$G$6:$G$58,Census!$G73-17)*(INDEX(Decrements!$D$6:$D$58,Census!$G73+M$5-18)+IF(M$5=$B73,INDEX(Decrements!$F$6:$F$58,Census!$G73+M$5-18),0)+INDEX(Decrements!$E$6:$E$58,Census!$G73+M$5-18)*IF((Census!$F73+M$5)&gt;=Assumptions!$B$11,1,0))*MIN(15/26*Census!$D73*(1+Assumptions!$B$9)^M$5*(INT((Census!$F73+M$5))+IF((Census!$F73+M$5)-INT((Census!$F73+M$5))&gt;0.5,1,0)),Assumptions!$B$10))</f>
        <v>20175.040401232458</v>
      </c>
      <c r="N73" s="30">
        <f>IF(N$5&gt;$B73,0,INDEX(Decrements!$G$6:$G$58,Census!$G73+N$5-18)/INDEX(Decrements!$G$6:$G$58,Census!$G73-17)*(INDEX(Decrements!$D$6:$D$58,Census!$G73+N$5-18)+IF(N$5=$B73,INDEX(Decrements!$F$6:$F$58,Census!$G73+N$5-18),0)+INDEX(Decrements!$E$6:$E$58,Census!$G73+N$5-18)*IF((Census!$F73+N$5)&gt;=Assumptions!$B$11,1,0))*MIN(15/26*Census!$D73*(1+Assumptions!$B$9)^N$5*(INT((Census!$F73+N$5))+IF((Census!$F73+N$5)-INT((Census!$F73+N$5))&gt;0.5,1,0)),Assumptions!$B$10))</f>
        <v>21861.440458623412</v>
      </c>
      <c r="O73" s="30">
        <f>IF(O$5&gt;$B73,0,INDEX(Decrements!$G$6:$G$58,Census!$G73+O$5-18)/INDEX(Decrements!$G$6:$G$58,Census!$G73-17)*(INDEX(Decrements!$D$6:$D$58,Census!$G73+O$5-18)+IF(O$5=$B73,INDEX(Decrements!$F$6:$F$58,Census!$G73+O$5-18),0)+INDEX(Decrements!$E$6:$E$58,Census!$G73+O$5-18)*IF((Census!$F73+O$5)&gt;=Assumptions!$B$11,1,0))*MIN(15/26*Census!$D73*(1+Assumptions!$B$9)^O$5*(INT((Census!$F73+O$5))+IF((Census!$F73+O$5)-INT((Census!$F73+O$5))&gt;0.5,1,0)),Assumptions!$B$10))</f>
        <v>23524.487955061275</v>
      </c>
      <c r="P73" s="30">
        <f>IF(P$5&gt;$B73,0,INDEX(Decrements!$G$6:$G$58,Census!$G73+P$5-18)/INDEX(Decrements!$G$6:$G$58,Census!$G73-17)*(INDEX(Decrements!$D$6:$D$58,Census!$G73+P$5-18)+IF(P$5=$B73,INDEX(Decrements!$F$6:$F$58,Census!$G73+P$5-18),0)+INDEX(Decrements!$E$6:$E$58,Census!$G73+P$5-18)*IF((Census!$F73+P$5)&gt;=Assumptions!$B$11,1,0))*MIN(15/26*Census!$D73*(1+Assumptions!$B$9)^P$5*(INT((Census!$F73+P$5))+IF((Census!$F73+P$5)-INT((Census!$F73+P$5))&gt;0.5,1,0)),Assumptions!$B$10))</f>
        <v>25164.479243194623</v>
      </c>
      <c r="Q73" s="30">
        <f>IF(Q$5&gt;$B73,0,INDEX(Decrements!$G$6:$G$58,Census!$G73+Q$5-18)/INDEX(Decrements!$G$6:$G$58,Census!$G73-17)*(INDEX(Decrements!$D$6:$D$58,Census!$G73+Q$5-18)+IF(Q$5=$B73,INDEX(Decrements!$F$6:$F$58,Census!$G73+Q$5-18),0)+INDEX(Decrements!$E$6:$E$58,Census!$G73+Q$5-18)*IF((Census!$F73+Q$5)&gt;=Assumptions!$B$11,1,0))*MIN(15/26*Census!$D73*(1+Assumptions!$B$9)^Q$5*(INT((Census!$F73+Q$5))+IF((Census!$F73+Q$5)-INT((Census!$F73+Q$5))&gt;0.5,1,0)),Assumptions!$B$10))</f>
        <v>16905.313293885982</v>
      </c>
      <c r="R73" s="30">
        <f>IF(R$5&gt;$B73,0,INDEX(Decrements!$G$6:$G$58,Census!$G73+R$5-18)/INDEX(Decrements!$G$6:$G$58,Census!$G73-17)*(INDEX(Decrements!$D$6:$D$58,Census!$G73+R$5-18)+IF(R$5=$B73,INDEX(Decrements!$F$6:$F$58,Census!$G73+R$5-18),0)+INDEX(Decrements!$E$6:$E$58,Census!$G73+R$5-18)*IF((Census!$F73+R$5)&gt;=Assumptions!$B$11,1,0))*MIN(15/26*Census!$D73*(1+Assumptions!$B$9)^R$5*(INT((Census!$F73+R$5))+IF((Census!$F73+R$5)-INT((Census!$F73+R$5))&gt;0.5,1,0)),Assumptions!$B$10))</f>
        <v>18491.995994163615</v>
      </c>
      <c r="S73" s="30">
        <f>IF(S$5&gt;$B73,0,INDEX(Decrements!$G$6:$G$58,Census!$G73+S$5-18)/INDEX(Decrements!$G$6:$G$58,Census!$G73-17)*(INDEX(Decrements!$D$6:$D$58,Census!$G73+S$5-18)+IF(S$5=$B73,INDEX(Decrements!$F$6:$F$58,Census!$G73+S$5-18),0)+INDEX(Decrements!$E$6:$E$58,Census!$G73+S$5-18)*IF((Census!$F73+S$5)&gt;=Assumptions!$B$11,1,0))*MIN(15/26*Census!$D73*(1+Assumptions!$B$9)^S$5*(INT((Census!$F73+S$5))+IF((Census!$F73+S$5)-INT((Census!$F73+S$5))&gt;0.5,1,0)),Assumptions!$B$10))</f>
        <v>17575.87430369038</v>
      </c>
      <c r="T73" s="30">
        <f>IF(T$5&gt;$B73,0,INDEX(Decrements!$G$6:$G$58,Census!$G73+T$5-18)/INDEX(Decrements!$G$6:$G$58,Census!$G73-17)*(INDEX(Decrements!$D$6:$D$58,Census!$G73+T$5-18)+IF(T$5=$B73,INDEX(Decrements!$F$6:$F$58,Census!$G73+T$5-18),0)+INDEX(Decrements!$E$6:$E$58,Census!$G73+T$5-18)*IF((Census!$F73+T$5)&gt;=Assumptions!$B$11,1,0))*MIN(15/26*Census!$D73*(1+Assumptions!$B$9)^T$5*(INT((Census!$F73+T$5))+IF((Census!$F73+T$5)-INT((Census!$F73+T$5))&gt;0.5,1,0)),Assumptions!$B$10))</f>
        <v>16706.537560966641</v>
      </c>
      <c r="U73" s="30">
        <f>IF(U$5&gt;$B73,0,INDEX(Decrements!$G$6:$G$58,Census!$G73+U$5-18)/INDEX(Decrements!$G$6:$G$58,Census!$G73-17)*(INDEX(Decrements!$D$6:$D$58,Census!$G73+U$5-18)+IF(U$5=$B73,INDEX(Decrements!$F$6:$F$58,Census!$G73+U$5-18),0)+INDEX(Decrements!$E$6:$E$58,Census!$G73+U$5-18)*IF((Census!$F73+U$5)&gt;=Assumptions!$B$11,1,0))*MIN(15/26*Census!$D73*(1+Assumptions!$B$9)^U$5*(INT((Census!$F73+U$5))+IF((Census!$F73+U$5)-INT((Census!$F73+U$5))&gt;0.5,1,0)),Assumptions!$B$10))</f>
        <v>15881.648009628478</v>
      </c>
      <c r="V73" s="30">
        <f>IF(V$5&gt;$B73,0,INDEX(Decrements!$G$6:$G$58,Census!$G73+V$5-18)/INDEX(Decrements!$G$6:$G$58,Census!$G73-17)*(INDEX(Decrements!$D$6:$D$58,Census!$G73+V$5-18)+IF(V$5=$B73,INDEX(Decrements!$F$6:$F$58,Census!$G73+V$5-18),0)+INDEX(Decrements!$E$6:$E$58,Census!$G73+V$5-18)*IF((Census!$F73+V$5)&gt;=Assumptions!$B$11,1,0))*MIN(15/26*Census!$D73*(1+Assumptions!$B$9)^V$5*(INT((Census!$F73+V$5))+IF((Census!$F73+V$5)-INT((Census!$F73+V$5))&gt;0.5,1,0)),Assumptions!$B$10))</f>
        <v>9284.0125218135872</v>
      </c>
      <c r="W73" s="30">
        <f>IF(W$5&gt;$B73,0,INDEX(Decrements!$G$6:$G$58,Census!$G73+W$5-18)/INDEX(Decrements!$G$6:$G$58,Census!$G73-17)*(INDEX(Decrements!$D$6:$D$58,Census!$G73+W$5-18)+IF(W$5=$B73,INDEX(Decrements!$F$6:$F$58,Census!$G73+W$5-18),0)+INDEX(Decrements!$E$6:$E$58,Census!$G73+W$5-18)*IF((Census!$F73+W$5)&gt;=Assumptions!$B$11,1,0))*MIN(15/26*Census!$D73*(1+Assumptions!$B$9)^W$5*(INT((Census!$F73+W$5))+IF((Census!$F73+W$5)-INT((Census!$F73+W$5))&gt;0.5,1,0)),Assumptions!$B$10))</f>
        <v>9029.8915548860459</v>
      </c>
      <c r="X73" s="30">
        <f>IF(X$5&gt;$B73,0,INDEX(Decrements!$G$6:$G$58,Census!$G73+X$5-18)/INDEX(Decrements!$G$6:$G$58,Census!$G73-17)*(INDEX(Decrements!$D$6:$D$58,Census!$G73+X$5-18)+IF(X$5=$B73,INDEX(Decrements!$F$6:$F$58,Census!$G73+X$5-18),0)+INDEX(Decrements!$E$6:$E$58,Census!$G73+X$5-18)*IF((Census!$F73+X$5)&gt;=Assumptions!$B$11,1,0))*MIN(15/26*Census!$D73*(1+Assumptions!$B$9)^X$5*(INT((Census!$F73+X$5))+IF((Census!$F73+X$5)-INT((Census!$F73+X$5))&gt;0.5,1,0)),Assumptions!$B$10))</f>
        <v>8785.2303731440406</v>
      </c>
      <c r="Y73" s="30">
        <f>IF(Y$5&gt;$B73,0,INDEX(Decrements!$G$6:$G$58,Census!$G73+Y$5-18)/INDEX(Decrements!$G$6:$G$58,Census!$G73-17)*(INDEX(Decrements!$D$6:$D$58,Census!$G73+Y$5-18)+IF(Y$5=$B73,INDEX(Decrements!$F$6:$F$58,Census!$G73+Y$5-18),0)+INDEX(Decrements!$E$6:$E$58,Census!$G73+Y$5-18)*IF((Census!$F73+Y$5)&gt;=Assumptions!$B$11,1,0))*MIN(15/26*Census!$D73*(1+Assumptions!$B$9)^Y$5*(INT((Census!$F73+Y$5))+IF((Census!$F73+Y$5)-INT((Census!$F73+Y$5))&gt;0.5,1,0)),Assumptions!$B$10))</f>
        <v>8549.8356913638654</v>
      </c>
      <c r="Z73" s="30">
        <f>IF(Z$5&gt;$B73,0,INDEX(Decrements!$G$6:$G$58,Census!$G73+Z$5-18)/INDEX(Decrements!$G$6:$G$58,Census!$G73-17)*(INDEX(Decrements!$D$6:$D$58,Census!$G73+Z$5-18)+IF(Z$5=$B73,INDEX(Decrements!$F$6:$F$58,Census!$G73+Z$5-18),0)+INDEX(Decrements!$E$6:$E$58,Census!$G73+Z$5-18)*IF((Census!$F73+Z$5)&gt;=Assumptions!$B$11,1,0))*MIN(15/26*Census!$D73*(1+Assumptions!$B$9)^Z$5*(INT((Census!$F73+Z$5))+IF((Census!$F73+Z$5)-INT((Census!$F73+Z$5))&gt;0.5,1,0)),Assumptions!$B$10))</f>
        <v>8323.5227644767619</v>
      </c>
      <c r="AA73" s="30">
        <f>IF(AA$5&gt;$B73,0,INDEX(Decrements!$G$6:$G$58,Census!$G73+AA$5-18)/INDEX(Decrements!$G$6:$G$58,Census!$G73-17)*(INDEX(Decrements!$D$6:$D$58,Census!$G73+AA$5-18)+IF(AA$5=$B73,INDEX(Decrements!$F$6:$F$58,Census!$G73+AA$5-18),0)+INDEX(Decrements!$E$6:$E$58,Census!$G73+AA$5-18)*IF((Census!$F73+AA$5)&gt;=Assumptions!$B$11,1,0))*MIN(15/26*Census!$D73*(1+Assumptions!$B$9)^AA$5*(INT((Census!$F73+AA$5))+IF((Census!$F73+AA$5)-INT((Census!$F73+AA$5))&gt;0.5,1,0)),Assumptions!$B$10))</f>
        <v>5639.8097470197645</v>
      </c>
      <c r="AB73" s="30">
        <f>IF(AB$5&gt;$B73,0,INDEX(Decrements!$G$6:$G$58,Census!$G73+AB$5-18)/INDEX(Decrements!$G$6:$G$58,Census!$G73-17)*(INDEX(Decrements!$D$6:$D$58,Census!$G73+AB$5-18)+IF(AB$5=$B73,INDEX(Decrements!$F$6:$F$58,Census!$G73+AB$5-18),0)+INDEX(Decrements!$E$6:$E$58,Census!$G73+AB$5-18)*IF((Census!$F73+AB$5)&gt;=Assumptions!$B$11,1,0))*MIN(15/26*Census!$D73*(1+Assumptions!$B$9)^AB$5*(INT((Census!$F73+AB$5))+IF((Census!$F73+AB$5)-INT((Census!$F73+AB$5))&gt;0.5,1,0)),Assumptions!$B$10))</f>
        <v>5569.3841742851782</v>
      </c>
      <c r="AC73" s="30">
        <f>IF(AC$5&gt;$B73,0,INDEX(Decrements!$G$6:$G$58,Census!$G73+AC$5-18)/INDEX(Decrements!$G$6:$G$58,Census!$G73-17)*(INDEX(Decrements!$D$6:$D$58,Census!$G73+AC$5-18)+IF(AC$5=$B73,INDEX(Decrements!$F$6:$F$58,Census!$G73+AC$5-18),0)+INDEX(Decrements!$E$6:$E$58,Census!$G73+AC$5-18)*IF((Census!$F73+AC$5)&gt;=Assumptions!$B$11,1,0))*MIN(15/26*Census!$D73*(1+Assumptions!$B$9)^AC$5*(INT((Census!$F73+AC$5))+IF((Census!$F73+AC$5)-INT((Census!$F73+AC$5))&gt;0.5,1,0)),Assumptions!$B$10))</f>
        <v>5503.550640962324</v>
      </c>
      <c r="AD73" s="30">
        <f>IF(AD$5&gt;$B73,0,INDEX(Decrements!$G$6:$G$58,Census!$G73+AD$5-18)/INDEX(Decrements!$G$6:$G$58,Census!$G73-17)*(INDEX(Decrements!$D$6:$D$58,Census!$G73+AD$5-18)+IF(AD$5=$B73,INDEX(Decrements!$F$6:$F$58,Census!$G73+AD$5-18),0)+INDEX(Decrements!$E$6:$E$58,Census!$G73+AD$5-18)*IF((Census!$F73+AD$5)&gt;=Assumptions!$B$11,1,0))*MIN(15/26*Census!$D73*(1+Assumptions!$B$9)^AD$5*(INT((Census!$F73+AD$5))+IF((Census!$F73+AD$5)-INT((Census!$F73+AD$5))&gt;0.5,1,0)),Assumptions!$B$10))</f>
        <v>5442.405910379709</v>
      </c>
      <c r="AE73" s="30">
        <f>IF(AE$5&gt;$B73,0,INDEX(Decrements!$G$6:$G$58,Census!$G73+AE$5-18)/INDEX(Decrements!$G$6:$G$58,Census!$G73-17)*(INDEX(Decrements!$D$6:$D$58,Census!$G73+AE$5-18)+IF(AE$5=$B73,INDEX(Decrements!$F$6:$F$58,Census!$G73+AE$5-18),0)+INDEX(Decrements!$E$6:$E$58,Census!$G73+AE$5-18)*IF((Census!$F73+AE$5)&gt;=Assumptions!$B$11,1,0))*MIN(15/26*Census!$D73*(1+Assumptions!$B$9)^AE$5*(INT((Census!$F73+AE$5))+IF((Census!$F73+AE$5)-INT((Census!$F73+AE$5))&gt;0.5,1,0)),Assumptions!$B$10))</f>
        <v>5386.0499390461027</v>
      </c>
      <c r="AF73" s="30">
        <f>IF(AF$5&gt;$B73,0,INDEX(Decrements!$G$6:$G$58,Census!$G73+AF$5-18)/INDEX(Decrements!$G$6:$G$58,Census!$G73-17)*(INDEX(Decrements!$D$6:$D$58,Census!$G73+AF$5-18)+IF(AF$5=$B73,INDEX(Decrements!$F$6:$F$58,Census!$G73+AF$5-18),0)+INDEX(Decrements!$E$6:$E$58,Census!$G73+AF$5-18)*IF((Census!$F73+AF$5)&gt;=Assumptions!$B$11,1,0))*MIN(15/26*Census!$D73*(1+Assumptions!$B$9)^AF$5*(INT((Census!$F73+AF$5))+IF((Census!$F73+AF$5)-INT((Census!$F73+AF$5))&gt;0.5,1,0)),Assumptions!$B$10))</f>
        <v>3146.1977199772728</v>
      </c>
      <c r="AG73" s="30">
        <f>IF(AG$5&gt;$B73,0,INDEX(Decrements!$G$6:$G$58,Census!$G73+AG$5-18)/INDEX(Decrements!$G$6:$G$58,Census!$G73-17)*(INDEX(Decrements!$D$6:$D$58,Census!$G73+AG$5-18)+IF(AG$5=$B73,INDEX(Decrements!$F$6:$F$58,Census!$G73+AG$5-18),0)+INDEX(Decrements!$E$6:$E$58,Census!$G73+AG$5-18)*IF((Census!$F73+AG$5)&gt;=Assumptions!$B$11,1,0))*MIN(15/26*Census!$D73*(1+Assumptions!$B$9)^AG$5*(INT((Census!$F73+AG$5))+IF((Census!$F73+AG$5)-INT((Census!$F73+AG$5))&gt;0.5,1,0)),Assumptions!$B$10))</f>
        <v>3185.8658548663966</v>
      </c>
      <c r="AH73" s="30">
        <f>IF(AH$5&gt;$B73,0,INDEX(Decrements!$G$6:$G$58,Census!$G73+AH$5-18)/INDEX(Decrements!$G$6:$G$58,Census!$G73-17)*(INDEX(Decrements!$D$6:$D$58,Census!$G73+AH$5-18)+IF(AH$5=$B73,INDEX(Decrements!$F$6:$F$58,Census!$G73+AH$5-18),0)+INDEX(Decrements!$E$6:$E$58,Census!$G73+AH$5-18)*IF((Census!$F73+AH$5)&gt;=Assumptions!$B$11,1,0))*MIN(15/26*Census!$D73*(1+Assumptions!$B$9)^AH$5*(INT((Census!$F73+AH$5))+IF((Census!$F73+AH$5)-INT((Census!$F73+AH$5))&gt;0.5,1,0)),Assumptions!$B$10))</f>
        <v>3230.7825680702308</v>
      </c>
      <c r="AI73" s="30">
        <f>IF(AI$5&gt;$B73,0,INDEX(Decrements!$G$6:$G$58,Census!$G73+AI$5-18)/INDEX(Decrements!$G$6:$G$58,Census!$G73-17)*(INDEX(Decrements!$D$6:$D$58,Census!$G73+AI$5-18)+IF(AI$5=$B73,INDEX(Decrements!$F$6:$F$58,Census!$G73+AI$5-18),0)+INDEX(Decrements!$E$6:$E$58,Census!$G73+AI$5-18)*IF((Census!$F73+AI$5)&gt;=Assumptions!$B$11,1,0))*MIN(15/26*Census!$D73*(1+Assumptions!$B$9)^AI$5*(INT((Census!$F73+AI$5))+IF((Census!$F73+AI$5)-INT((Census!$F73+AI$5))&gt;0.5,1,0)),Assumptions!$B$10))</f>
        <v>3281.2531367501019</v>
      </c>
      <c r="AJ73" s="30">
        <f>IF(AJ$5&gt;$B73,0,INDEX(Decrements!$G$6:$G$58,Census!$G73+AJ$5-18)/INDEX(Decrements!$G$6:$G$58,Census!$G73-17)*(INDEX(Decrements!$D$6:$D$58,Census!$G73+AJ$5-18)+IF(AJ$5=$B73,INDEX(Decrements!$F$6:$F$58,Census!$G73+AJ$5-18),0)+INDEX(Decrements!$E$6:$E$58,Census!$G73+AJ$5-18)*IF((Census!$F73+AJ$5)&gt;=Assumptions!$B$11,1,0))*MIN(15/26*Census!$D73*(1+Assumptions!$B$9)^AJ$5*(INT((Census!$F73+AJ$5))+IF((Census!$F73+AJ$5)-INT((Census!$F73+AJ$5))&gt;0.5,1,0)),Assumptions!$B$10))</f>
        <v>206952.39701486847</v>
      </c>
      <c r="AK73" s="30">
        <f>IF(AK$5&gt;$B73,0,INDEX(Decrements!$G$6:$G$58,Census!$G73+AK$5-18)/INDEX(Decrements!$G$6:$G$58,Census!$G73-17)*(INDEX(Decrements!$D$6:$D$58,Census!$G73+AK$5-18)+IF(AK$5=$B73,INDEX(Decrements!$F$6:$F$58,Census!$G73+AK$5-18),0)+INDEX(Decrements!$E$6:$E$58,Census!$G73+AK$5-18)*IF((Census!$F73+AK$5)&gt;=Assumptions!$B$11,1,0))*MIN(15/26*Census!$D73*(1+Assumptions!$B$9)^AK$5*(INT((Census!$F73+AK$5))+IF((Census!$F73+AK$5)-INT((Census!$F73+AK$5))&gt;0.5,1,0)),Assumptions!$B$10))</f>
        <v>0</v>
      </c>
      <c r="AL73" s="30">
        <f>IF(AL$5&gt;$B73,0,INDEX(Decrements!$G$6:$G$58,Census!$G73+AL$5-18)/INDEX(Decrements!$G$6:$G$58,Census!$G73-17)*(INDEX(Decrements!$D$6:$D$58,Census!$G73+AL$5-18)+IF(AL$5=$B73,INDEX(Decrements!$F$6:$F$58,Census!$G73+AL$5-18),0)+INDEX(Decrements!$E$6:$E$58,Census!$G73+AL$5-18)*IF((Census!$F73+AL$5)&gt;=Assumptions!$B$11,1,0))*MIN(15/26*Census!$D73*(1+Assumptions!$B$9)^AL$5*(INT((Census!$F73+AL$5))+IF((Census!$F73+AL$5)-INT((Census!$F73+AL$5))&gt;0.5,1,0)),Assumptions!$B$10))</f>
        <v>0</v>
      </c>
      <c r="AM73" s="30">
        <f>IF(AM$5&gt;$B73,0,INDEX(Decrements!$G$6:$G$58,Census!$G73+AM$5-18)/INDEX(Decrements!$G$6:$G$58,Census!$G73-17)*(INDEX(Decrements!$D$6:$D$58,Census!$G73+AM$5-18)+IF(AM$5=$B73,INDEX(Decrements!$F$6:$F$58,Census!$G73+AM$5-18),0)+INDEX(Decrements!$E$6:$E$58,Census!$G73+AM$5-18)*IF((Census!$F73+AM$5)&gt;=Assumptions!$B$11,1,0))*MIN(15/26*Census!$D73*(1+Assumptions!$B$9)^AM$5*(INT((Census!$F73+AM$5))+IF((Census!$F73+AM$5)-INT((Census!$F73+AM$5))&gt;0.5,1,0)),Assumptions!$B$10))</f>
        <v>0</v>
      </c>
      <c r="AN73" s="30">
        <f>IF(AN$5&gt;$B73,0,INDEX(Decrements!$G$6:$G$58,Census!$G73+AN$5-18)/INDEX(Decrements!$G$6:$G$58,Census!$G73-17)*(INDEX(Decrements!$D$6:$D$58,Census!$G73+AN$5-18)+IF(AN$5=$B73,INDEX(Decrements!$F$6:$F$58,Census!$G73+AN$5-18),0)+INDEX(Decrements!$E$6:$E$58,Census!$G73+AN$5-18)*IF((Census!$F73+AN$5)&gt;=Assumptions!$B$11,1,0))*MIN(15/26*Census!$D73*(1+Assumptions!$B$9)^AN$5*(INT((Census!$F73+AN$5))+IF((Census!$F73+AN$5)-INT((Census!$F73+AN$5))&gt;0.5,1,0)),Assumptions!$B$10))</f>
        <v>0</v>
      </c>
      <c r="AO73" s="30">
        <f>IF(AO$5&gt;$B73,0,INDEX(Decrements!$G$6:$G$58,Census!$G73+AO$5-18)/INDEX(Decrements!$G$6:$G$58,Census!$G73-17)*(INDEX(Decrements!$D$6:$D$58,Census!$G73+AO$5-18)+IF(AO$5=$B73,INDEX(Decrements!$F$6:$F$58,Census!$G73+AO$5-18),0)+INDEX(Decrements!$E$6:$E$58,Census!$G73+AO$5-18)*IF((Census!$F73+AO$5)&gt;=Assumptions!$B$11,1,0))*MIN(15/26*Census!$D73*(1+Assumptions!$B$9)^AO$5*(INT((Census!$F73+AO$5))+IF((Census!$F73+AO$5)-INT((Census!$F73+AO$5))&gt;0.5,1,0)),Assumptions!$B$10))</f>
        <v>0</v>
      </c>
      <c r="AP73" s="30">
        <f>IF(AP$5&gt;$B73,0,INDEX(Decrements!$G$6:$G$58,Census!$G73+AP$5-18)/INDEX(Decrements!$G$6:$G$58,Census!$G73-17)*(INDEX(Decrements!$D$6:$D$58,Census!$G73+AP$5-18)+IF(AP$5=$B73,INDEX(Decrements!$F$6:$F$58,Census!$G73+AP$5-18),0)+INDEX(Decrements!$E$6:$E$58,Census!$G73+AP$5-18)*IF((Census!$F73+AP$5)&gt;=Assumptions!$B$11,1,0))*MIN(15/26*Census!$D73*(1+Assumptions!$B$9)^AP$5*(INT((Census!$F73+AP$5))+IF((Census!$F73+AP$5)-INT((Census!$F73+AP$5))&gt;0.5,1,0)),Assumptions!$B$10))</f>
        <v>0</v>
      </c>
      <c r="AQ73" s="30">
        <f>IF(AQ$5&gt;$B73,0,INDEX(Decrements!$G$6:$G$58,Census!$G73+AQ$5-18)/INDEX(Decrements!$G$6:$G$58,Census!$G73-17)*(INDEX(Decrements!$D$6:$D$58,Census!$G73+AQ$5-18)+IF(AQ$5=$B73,INDEX(Decrements!$F$6:$F$58,Census!$G73+AQ$5-18),0)+INDEX(Decrements!$E$6:$E$58,Census!$G73+AQ$5-18)*IF((Census!$F73+AQ$5)&gt;=Assumptions!$B$11,1,0))*MIN(15/26*Census!$D73*(1+Assumptions!$B$9)^AQ$5*(INT((Census!$F73+AQ$5))+IF((Census!$F73+AQ$5)-INT((Census!$F73+AQ$5))&gt;0.5,1,0)),Assumptions!$B$10))</f>
        <v>0</v>
      </c>
      <c r="AR73" s="30">
        <f>IF(AR$5&gt;$B73,0,INDEX(Decrements!$G$6:$G$58,Census!$G73+AR$5-18)/INDEX(Decrements!$G$6:$G$58,Census!$G73-17)*(INDEX(Decrements!$D$6:$D$58,Census!$G73+AR$5-18)+IF(AR$5=$B73,INDEX(Decrements!$F$6:$F$58,Census!$G73+AR$5-18),0)+INDEX(Decrements!$E$6:$E$58,Census!$G73+AR$5-18)*IF((Census!$F73+AR$5)&gt;=Assumptions!$B$11,1,0))*MIN(15/26*Census!$D73*(1+Assumptions!$B$9)^AR$5*(INT((Census!$F73+AR$5))+IF((Census!$F73+AR$5)-INT((Census!$F73+AR$5))&gt;0.5,1,0)),Assumptions!$B$10))</f>
        <v>0</v>
      </c>
      <c r="AS73" s="30">
        <f>IF(AS$5&gt;$B73,0,INDEX(Decrements!$G$6:$G$58,Census!$G73+AS$5-18)/INDEX(Decrements!$G$6:$G$58,Census!$G73-17)*(INDEX(Decrements!$D$6:$D$58,Census!$G73+AS$5-18)+IF(AS$5=$B73,INDEX(Decrements!$F$6:$F$58,Census!$G73+AS$5-18),0)+INDEX(Decrements!$E$6:$E$58,Census!$G73+AS$5-18)*IF((Census!$F73+AS$5)&gt;=Assumptions!$B$11,1,0))*MIN(15/26*Census!$D73*(1+Assumptions!$B$9)^AS$5*(INT((Census!$F73+AS$5))+IF((Census!$F73+AS$5)-INT((Census!$F73+AS$5))&gt;0.5,1,0)),Assumptions!$B$10))</f>
        <v>0</v>
      </c>
      <c r="AT73" s="30">
        <f>IF(AT$5&gt;$B73,0,INDEX(Decrements!$G$6:$G$58,Census!$G73+AT$5-18)/INDEX(Decrements!$G$6:$G$58,Census!$G73-17)*(INDEX(Decrements!$D$6:$D$58,Census!$G73+AT$5-18)+IF(AT$5=$B73,INDEX(Decrements!$F$6:$F$58,Census!$G73+AT$5-18),0)+INDEX(Decrements!$E$6:$E$58,Census!$G73+AT$5-18)*IF((Census!$F73+AT$5)&gt;=Assumptions!$B$11,1,0))*MIN(15/26*Census!$D73*(1+Assumptions!$B$9)^AT$5*(INT((Census!$F73+AT$5))+IF((Census!$F73+AT$5)-INT((Census!$F73+AT$5))&gt;0.5,1,0)),Assumptions!$B$10))</f>
        <v>0</v>
      </c>
      <c r="AU73" s="30">
        <f>IF(AU$5&gt;$B73,0,INDEX(Decrements!$G$6:$G$58,Census!$G73+AU$5-18)/INDEX(Decrements!$G$6:$G$58,Census!$G73-17)*(INDEX(Decrements!$D$6:$D$58,Census!$G73+AU$5-18)+IF(AU$5=$B73,INDEX(Decrements!$F$6:$F$58,Census!$G73+AU$5-18),0)+INDEX(Decrements!$E$6:$E$58,Census!$G73+AU$5-18)*IF((Census!$F73+AU$5)&gt;=Assumptions!$B$11,1,0))*MIN(15/26*Census!$D73*(1+Assumptions!$B$9)^AU$5*(INT((Census!$F73+AU$5))+IF((Census!$F73+AU$5)-INT((Census!$F73+AU$5))&gt;0.5,1,0)),Assumptions!$B$10))</f>
        <v>0</v>
      </c>
    </row>
    <row r="74" spans="1:47" x14ac:dyDescent="0.3">
      <c r="A74" s="10" t="str">
        <f>Census!A74</f>
        <v>E069</v>
      </c>
      <c r="B74" s="29">
        <f>Census!H74</f>
        <v>22</v>
      </c>
      <c r="C74" s="30">
        <f>IF(C$5&gt;$B74,0,INDEX(Decrements!$G$6:$G$58,Census!$G74+C$5-18)/INDEX(Decrements!$G$6:$G$58,Census!$G74-17)*(INDEX(Decrements!$D$6:$D$58,Census!$G74+C$5-18)+IF(C$5=$B74,INDEX(Decrements!$F$6:$F$58,Census!$G74+C$5-18),0)+INDEX(Decrements!$E$6:$E$58,Census!$G74+C$5-18)*IF((Census!$F74+C$5)&gt;=Assumptions!$B$11,1,0))*MIN(15/26*Census!$D74*(1+Assumptions!$B$9)^C$5*(INT((Census!$F74+C$5))+IF((Census!$F74+C$5)-INT((Census!$F74+C$5))&gt;0.5,1,0)),Assumptions!$B$10))</f>
        <v>44653.969455994724</v>
      </c>
      <c r="D74" s="30">
        <f>IF(D$5&gt;$B74,0,INDEX(Decrements!$G$6:$G$58,Census!$G74+D$5-18)/INDEX(Decrements!$G$6:$G$58,Census!$G74-17)*(INDEX(Decrements!$D$6:$D$58,Census!$G74+D$5-18)+IF(D$5=$B74,INDEX(Decrements!$F$6:$F$58,Census!$G74+D$5-18),0)+INDEX(Decrements!$E$6:$E$58,Census!$G74+D$5-18)*IF((Census!$F74+D$5)&gt;=Assumptions!$B$11,1,0))*MIN(15/26*Census!$D74*(1+Assumptions!$B$9)^D$5*(INT((Census!$F74+D$5))+IF((Census!$F74+D$5)-INT((Census!$F74+D$5))&gt;0.5,1,0)),Assumptions!$B$10))</f>
        <v>46819.228370229212</v>
      </c>
      <c r="E74" s="30">
        <f>IF(E$5&gt;$B74,0,INDEX(Decrements!$G$6:$G$58,Census!$G74+E$5-18)/INDEX(Decrements!$G$6:$G$58,Census!$G74-17)*(INDEX(Decrements!$D$6:$D$58,Census!$G74+E$5-18)+IF(E$5=$B74,INDEX(Decrements!$F$6:$F$58,Census!$G74+E$5-18),0)+INDEX(Decrements!$E$6:$E$58,Census!$G74+E$5-18)*IF((Census!$F74+E$5)&gt;=Assumptions!$B$11,1,0))*MIN(15/26*Census!$D74*(1+Assumptions!$B$9)^E$5*(INT((Census!$F74+E$5))+IF((Census!$F74+E$5)-INT((Census!$F74+E$5))&gt;0.5,1,0)),Assumptions!$B$10))</f>
        <v>30901.01175782974</v>
      </c>
      <c r="F74" s="30">
        <f>IF(F$5&gt;$B74,0,INDEX(Decrements!$G$6:$G$58,Census!$G74+F$5-18)/INDEX(Decrements!$G$6:$G$58,Census!$G74-17)*(INDEX(Decrements!$D$6:$D$58,Census!$G74+F$5-18)+IF(F$5=$B74,INDEX(Decrements!$F$6:$F$58,Census!$G74+F$5-18),0)+INDEX(Decrements!$E$6:$E$58,Census!$G74+F$5-18)*IF((Census!$F74+F$5)&gt;=Assumptions!$B$11,1,0))*MIN(15/26*Census!$D74*(1+Assumptions!$B$9)^F$5*(INT((Census!$F74+F$5))+IF((Census!$F74+F$5)-INT((Census!$F74+F$5))&gt;0.5,1,0)),Assumptions!$B$10))</f>
        <v>33303.167193304587</v>
      </c>
      <c r="G74" s="30">
        <f>IF(G$5&gt;$B74,0,INDEX(Decrements!$G$6:$G$58,Census!$G74+G$5-18)/INDEX(Decrements!$G$6:$G$58,Census!$G74-17)*(INDEX(Decrements!$D$6:$D$58,Census!$G74+G$5-18)+IF(G$5=$B74,INDEX(Decrements!$F$6:$F$58,Census!$G74+G$5-18),0)+INDEX(Decrements!$E$6:$E$58,Census!$G74+G$5-18)*IF((Census!$F74+G$5)&gt;=Assumptions!$B$11,1,0))*MIN(15/26*Census!$D74*(1+Assumptions!$B$9)^G$5*(INT((Census!$F74+G$5))+IF((Census!$F74+G$5)-INT((Census!$F74+G$5))&gt;0.5,1,0)),Assumptions!$B$10))</f>
        <v>35813.422528916635</v>
      </c>
      <c r="H74" s="30">
        <f>IF(H$5&gt;$B74,0,INDEX(Decrements!$G$6:$G$58,Census!$G74+H$5-18)/INDEX(Decrements!$G$6:$G$58,Census!$G74-17)*(INDEX(Decrements!$D$6:$D$58,Census!$G74+H$5-18)+IF(H$5=$B74,INDEX(Decrements!$F$6:$F$58,Census!$G74+H$5-18),0)+INDEX(Decrements!$E$6:$E$58,Census!$G74+H$5-18)*IF((Census!$F74+H$5)&gt;=Assumptions!$B$11,1,0))*MIN(15/26*Census!$D74*(1+Assumptions!$B$9)^H$5*(INT((Census!$F74+H$5))+IF((Census!$F74+H$5)-INT((Census!$F74+H$5))&gt;0.5,1,0)),Assumptions!$B$10))</f>
        <v>38436.536857452098</v>
      </c>
      <c r="I74" s="30">
        <f>IF(I$5&gt;$B74,0,INDEX(Decrements!$G$6:$G$58,Census!$G74+I$5-18)/INDEX(Decrements!$G$6:$G$58,Census!$G74-17)*(INDEX(Decrements!$D$6:$D$58,Census!$G74+I$5-18)+IF(I$5=$B74,INDEX(Decrements!$F$6:$F$58,Census!$G74+I$5-18),0)+INDEX(Decrements!$E$6:$E$58,Census!$G74+I$5-18)*IF((Census!$F74+I$5)&gt;=Assumptions!$B$11,1,0))*MIN(15/26*Census!$D74*(1+Assumptions!$B$9)^I$5*(INT((Census!$F74+I$5))+IF((Census!$F74+I$5)-INT((Census!$F74+I$5))&gt;0.5,1,0)),Assumptions!$B$10))</f>
        <v>41177.552238201111</v>
      </c>
      <c r="J74" s="30">
        <f>IF(J$5&gt;$B74,0,INDEX(Decrements!$G$6:$G$58,Census!$G74+J$5-18)/INDEX(Decrements!$G$6:$G$58,Census!$G74-17)*(INDEX(Decrements!$D$6:$D$58,Census!$G74+J$5-18)+IF(J$5=$B74,INDEX(Decrements!$F$6:$F$58,Census!$G74+J$5-18),0)+INDEX(Decrements!$E$6:$E$58,Census!$G74+J$5-18)*IF((Census!$F74+J$5)&gt;=Assumptions!$B$11,1,0))*MIN(15/26*Census!$D74*(1+Assumptions!$B$9)^J$5*(INT((Census!$F74+J$5))+IF((Census!$F74+J$5)-INT((Census!$F74+J$5))&gt;0.5,1,0)),Assumptions!$B$10))</f>
        <v>27080.283114257843</v>
      </c>
      <c r="K74" s="30">
        <f>IF(K$5&gt;$B74,0,INDEX(Decrements!$G$6:$G$58,Census!$G74+K$5-18)/INDEX(Decrements!$G$6:$G$58,Census!$G74-17)*(INDEX(Decrements!$D$6:$D$58,Census!$G74+K$5-18)+IF(K$5=$B74,INDEX(Decrements!$F$6:$F$58,Census!$G74+K$5-18),0)+INDEX(Decrements!$E$6:$E$58,Census!$G74+K$5-18)*IF((Census!$F74+K$5)&gt;=Assumptions!$B$11,1,0))*MIN(15/26*Census!$D74*(1+Assumptions!$B$9)^K$5*(INT((Census!$F74+K$5))+IF((Census!$F74+K$5)-INT((Census!$F74+K$5))&gt;0.5,1,0)),Assumptions!$B$10))</f>
        <v>29584.014884842232</v>
      </c>
      <c r="L74" s="30">
        <f>IF(L$5&gt;$B74,0,INDEX(Decrements!$G$6:$G$58,Census!$G74+L$5-18)/INDEX(Decrements!$G$6:$G$58,Census!$G74-17)*(INDEX(Decrements!$D$6:$D$58,Census!$G74+L$5-18)+IF(L$5=$B74,INDEX(Decrements!$F$6:$F$58,Census!$G74+L$5-18),0)+INDEX(Decrements!$E$6:$E$58,Census!$G74+L$5-18)*IF((Census!$F74+L$5)&gt;=Assumptions!$B$11,1,0))*MIN(15/26*Census!$D74*(1+Assumptions!$B$9)^L$5*(INT((Census!$F74+L$5))+IF((Census!$F74+L$5)-INT((Census!$F74+L$5))&gt;0.5,1,0)),Assumptions!$B$10))</f>
        <v>32280.622697849478</v>
      </c>
      <c r="M74" s="30">
        <f>IF(M$5&gt;$B74,0,INDEX(Decrements!$G$6:$G$58,Census!$G74+M$5-18)/INDEX(Decrements!$G$6:$G$58,Census!$G74-17)*(INDEX(Decrements!$D$6:$D$58,Census!$G74+M$5-18)+IF(M$5=$B74,INDEX(Decrements!$F$6:$F$58,Census!$G74+M$5-18),0)+INDEX(Decrements!$E$6:$E$58,Census!$G74+M$5-18)*IF((Census!$F74+M$5)&gt;=Assumptions!$B$11,1,0))*MIN(15/26*Census!$D74*(1+Assumptions!$B$9)^M$5*(INT((Census!$F74+M$5))+IF((Census!$F74+M$5)-INT((Census!$F74+M$5))&gt;0.5,1,0)),Assumptions!$B$10))</f>
        <v>35185.565928498465</v>
      </c>
      <c r="N74" s="30">
        <f>IF(N$5&gt;$B74,0,INDEX(Decrements!$G$6:$G$58,Census!$G74+N$5-18)/INDEX(Decrements!$G$6:$G$58,Census!$G74-17)*(INDEX(Decrements!$D$6:$D$58,Census!$G74+N$5-18)+IF(N$5=$B74,INDEX(Decrements!$F$6:$F$58,Census!$G74+N$5-18),0)+INDEX(Decrements!$E$6:$E$58,Census!$G74+N$5-18)*IF((Census!$F74+N$5)&gt;=Assumptions!$B$11,1,0))*MIN(15/26*Census!$D74*(1+Assumptions!$B$9)^N$5*(INT((Census!$F74+N$5))+IF((Census!$F74+N$5)-INT((Census!$F74+N$5))&gt;0.5,1,0)),Assumptions!$B$10))</f>
        <v>37044.624284479985</v>
      </c>
      <c r="O74" s="30">
        <f>IF(O$5&gt;$B74,0,INDEX(Decrements!$G$6:$G$58,Census!$G74+O$5-18)/INDEX(Decrements!$G$6:$G$58,Census!$G74-17)*(INDEX(Decrements!$D$6:$D$58,Census!$G74+O$5-18)+IF(O$5=$B74,INDEX(Decrements!$F$6:$F$58,Census!$G74+O$5-18),0)+INDEX(Decrements!$E$6:$E$58,Census!$G74+O$5-18)*IF((Census!$F74+O$5)&gt;=Assumptions!$B$11,1,0))*MIN(15/26*Census!$D74*(1+Assumptions!$B$9)^O$5*(INT((Census!$F74+O$5))+IF((Census!$F74+O$5)-INT((Census!$F74+O$5))&gt;0.5,1,0)),Assumptions!$B$10))</f>
        <v>25100.506002812483</v>
      </c>
      <c r="P74" s="30">
        <f>IF(P$5&gt;$B74,0,INDEX(Decrements!$G$6:$G$58,Census!$G74+P$5-18)/INDEX(Decrements!$G$6:$G$58,Census!$G74-17)*(INDEX(Decrements!$D$6:$D$58,Census!$G74+P$5-18)+IF(P$5=$B74,INDEX(Decrements!$F$6:$F$58,Census!$G74+P$5-18),0)+INDEX(Decrements!$E$6:$E$58,Census!$G74+P$5-18)*IF((Census!$F74+P$5)&gt;=Assumptions!$B$11,1,0))*MIN(15/26*Census!$D74*(1+Assumptions!$B$9)^P$5*(INT((Census!$F74+P$5))+IF((Census!$F74+P$5)-INT((Census!$F74+P$5))&gt;0.5,1,0)),Assumptions!$B$10))</f>
        <v>24787.070339116537</v>
      </c>
      <c r="Q74" s="30">
        <f>IF(Q$5&gt;$B74,0,INDEX(Decrements!$G$6:$G$58,Census!$G74+Q$5-18)/INDEX(Decrements!$G$6:$G$58,Census!$G74-17)*(INDEX(Decrements!$D$6:$D$58,Census!$G74+Q$5-18)+IF(Q$5=$B74,INDEX(Decrements!$F$6:$F$58,Census!$G74+Q$5-18),0)+INDEX(Decrements!$E$6:$E$58,Census!$G74+Q$5-18)*IF((Census!$F74+Q$5)&gt;=Assumptions!$B$11,1,0))*MIN(15/26*Census!$D74*(1+Assumptions!$B$9)^Q$5*(INT((Census!$F74+Q$5))+IF((Census!$F74+Q$5)-INT((Census!$F74+Q$5))&gt;0.5,1,0)),Assumptions!$B$10))</f>
        <v>24494.071980576187</v>
      </c>
      <c r="R74" s="30">
        <f>IF(R$5&gt;$B74,0,INDEX(Decrements!$G$6:$G$58,Census!$G74+R$5-18)/INDEX(Decrements!$G$6:$G$58,Census!$G74-17)*(INDEX(Decrements!$D$6:$D$58,Census!$G74+R$5-18)+IF(R$5=$B74,INDEX(Decrements!$F$6:$F$58,Census!$G74+R$5-18),0)+INDEX(Decrements!$E$6:$E$58,Census!$G74+R$5-18)*IF((Census!$F74+R$5)&gt;=Assumptions!$B$11,1,0))*MIN(15/26*Census!$D74*(1+Assumptions!$B$9)^R$5*(INT((Census!$F74+R$5))+IF((Census!$F74+R$5)-INT((Census!$F74+R$5))&gt;0.5,1,0)),Assumptions!$B$10))</f>
        <v>24221.941581524996</v>
      </c>
      <c r="S74" s="30">
        <f>IF(S$5&gt;$B74,0,INDEX(Decrements!$G$6:$G$58,Census!$G74+S$5-18)/INDEX(Decrements!$G$6:$G$58,Census!$G74-17)*(INDEX(Decrements!$D$6:$D$58,Census!$G74+S$5-18)+IF(S$5=$B74,INDEX(Decrements!$F$6:$F$58,Census!$G74+S$5-18),0)+INDEX(Decrements!$E$6:$E$58,Census!$G74+S$5-18)*IF((Census!$F74+S$5)&gt;=Assumptions!$B$11,1,0))*MIN(15/26*Census!$D74*(1+Assumptions!$B$9)^S$5*(INT((Census!$F74+S$5))+IF((Census!$F74+S$5)-INT((Census!$F74+S$5))&gt;0.5,1,0)),Assumptions!$B$10))</f>
        <v>23971.124007846913</v>
      </c>
      <c r="T74" s="30">
        <f>IF(T$5&gt;$B74,0,INDEX(Decrements!$G$6:$G$58,Census!$G74+T$5-18)/INDEX(Decrements!$G$6:$G$58,Census!$G74-17)*(INDEX(Decrements!$D$6:$D$58,Census!$G74+T$5-18)+IF(T$5=$B74,INDEX(Decrements!$F$6:$F$58,Census!$G74+T$5-18),0)+INDEX(Decrements!$E$6:$E$58,Census!$G74+T$5-18)*IF((Census!$F74+T$5)&gt;=Assumptions!$B$11,1,0))*MIN(15/26*Census!$D74*(1+Assumptions!$B$9)^T$5*(INT((Census!$F74+T$5))+IF((Census!$F74+T$5)-INT((Census!$F74+T$5))&gt;0.5,1,0)),Assumptions!$B$10))</f>
        <v>14002.450135495274</v>
      </c>
      <c r="U74" s="30">
        <f>IF(U$5&gt;$B74,0,INDEX(Decrements!$G$6:$G$58,Census!$G74+U$5-18)/INDEX(Decrements!$G$6:$G$58,Census!$G74-17)*(INDEX(Decrements!$D$6:$D$58,Census!$G74+U$5-18)+IF(U$5=$B74,INDEX(Decrements!$F$6:$F$58,Census!$G74+U$5-18),0)+INDEX(Decrements!$E$6:$E$58,Census!$G74+U$5-18)*IF((Census!$F74+U$5)&gt;=Assumptions!$B$11,1,0))*MIN(15/26*Census!$D74*(1+Assumptions!$B$9)^U$5*(INT((Census!$F74+U$5))+IF((Census!$F74+U$5)-INT((Census!$F74+U$5))&gt;0.5,1,0)),Assumptions!$B$10))</f>
        <v>14178.996916781822</v>
      </c>
      <c r="V74" s="30">
        <f>IF(V$5&gt;$B74,0,INDEX(Decrements!$G$6:$G$58,Census!$G74+V$5-18)/INDEX(Decrements!$G$6:$G$58,Census!$G74-17)*(INDEX(Decrements!$D$6:$D$58,Census!$G74+V$5-18)+IF(V$5=$B74,INDEX(Decrements!$F$6:$F$58,Census!$G74+V$5-18),0)+INDEX(Decrements!$E$6:$E$58,Census!$G74+V$5-18)*IF((Census!$F74+V$5)&gt;=Assumptions!$B$11,1,0))*MIN(15/26*Census!$D74*(1+Assumptions!$B$9)^V$5*(INT((Census!$F74+V$5))+IF((Census!$F74+V$5)-INT((Census!$F74+V$5))&gt;0.5,1,0)),Assumptions!$B$10))</f>
        <v>14378.902991626848</v>
      </c>
      <c r="W74" s="30">
        <f>IF(W$5&gt;$B74,0,INDEX(Decrements!$G$6:$G$58,Census!$G74+W$5-18)/INDEX(Decrements!$G$6:$G$58,Census!$G74-17)*(INDEX(Decrements!$D$6:$D$58,Census!$G74+W$5-18)+IF(W$5=$B74,INDEX(Decrements!$F$6:$F$58,Census!$G74+W$5-18),0)+INDEX(Decrements!$E$6:$E$58,Census!$G74+W$5-18)*IF((Census!$F74+W$5)&gt;=Assumptions!$B$11,1,0))*MIN(15/26*Census!$D74*(1+Assumptions!$B$9)^W$5*(INT((Census!$F74+W$5))+IF((Census!$F74+W$5)-INT((Census!$F74+W$5))&gt;0.5,1,0)),Assumptions!$B$10))</f>
        <v>14603.527024872632</v>
      </c>
      <c r="X74" s="30">
        <f>IF(X$5&gt;$B74,0,INDEX(Decrements!$G$6:$G$58,Census!$G74+X$5-18)/INDEX(Decrements!$G$6:$G$58,Census!$G74-17)*(INDEX(Decrements!$D$6:$D$58,Census!$G74+X$5-18)+IF(X$5=$B74,INDEX(Decrements!$F$6:$F$58,Census!$G74+X$5-18),0)+INDEX(Decrements!$E$6:$E$58,Census!$G74+X$5-18)*IF((Census!$F74+X$5)&gt;=Assumptions!$B$11,1,0))*MIN(15/26*Census!$D74*(1+Assumptions!$B$9)^X$5*(INT((Census!$F74+X$5))+IF((Census!$F74+X$5)-INT((Census!$F74+X$5))&gt;0.5,1,0)),Assumptions!$B$10))</f>
        <v>921061.19117105263</v>
      </c>
      <c r="Y74" s="30">
        <f>IF(Y$5&gt;$B74,0,INDEX(Decrements!$G$6:$G$58,Census!$G74+Y$5-18)/INDEX(Decrements!$G$6:$G$58,Census!$G74-17)*(INDEX(Decrements!$D$6:$D$58,Census!$G74+Y$5-18)+IF(Y$5=$B74,INDEX(Decrements!$F$6:$F$58,Census!$G74+Y$5-18),0)+INDEX(Decrements!$E$6:$E$58,Census!$G74+Y$5-18)*IF((Census!$F74+Y$5)&gt;=Assumptions!$B$11,1,0))*MIN(15/26*Census!$D74*(1+Assumptions!$B$9)^Y$5*(INT((Census!$F74+Y$5))+IF((Census!$F74+Y$5)-INT((Census!$F74+Y$5))&gt;0.5,1,0)),Assumptions!$B$10))</f>
        <v>0</v>
      </c>
      <c r="Z74" s="30">
        <f>IF(Z$5&gt;$B74,0,INDEX(Decrements!$G$6:$G$58,Census!$G74+Z$5-18)/INDEX(Decrements!$G$6:$G$58,Census!$G74-17)*(INDEX(Decrements!$D$6:$D$58,Census!$G74+Z$5-18)+IF(Z$5=$B74,INDEX(Decrements!$F$6:$F$58,Census!$G74+Z$5-18),0)+INDEX(Decrements!$E$6:$E$58,Census!$G74+Z$5-18)*IF((Census!$F74+Z$5)&gt;=Assumptions!$B$11,1,0))*MIN(15/26*Census!$D74*(1+Assumptions!$B$9)^Z$5*(INT((Census!$F74+Z$5))+IF((Census!$F74+Z$5)-INT((Census!$F74+Z$5))&gt;0.5,1,0)),Assumptions!$B$10))</f>
        <v>0</v>
      </c>
      <c r="AA74" s="30">
        <f>IF(AA$5&gt;$B74,0,INDEX(Decrements!$G$6:$G$58,Census!$G74+AA$5-18)/INDEX(Decrements!$G$6:$G$58,Census!$G74-17)*(INDEX(Decrements!$D$6:$D$58,Census!$G74+AA$5-18)+IF(AA$5=$B74,INDEX(Decrements!$F$6:$F$58,Census!$G74+AA$5-18),0)+INDEX(Decrements!$E$6:$E$58,Census!$G74+AA$5-18)*IF((Census!$F74+AA$5)&gt;=Assumptions!$B$11,1,0))*MIN(15/26*Census!$D74*(1+Assumptions!$B$9)^AA$5*(INT((Census!$F74+AA$5))+IF((Census!$F74+AA$5)-INT((Census!$F74+AA$5))&gt;0.5,1,0)),Assumptions!$B$10))</f>
        <v>0</v>
      </c>
      <c r="AB74" s="30">
        <f>IF(AB$5&gt;$B74,0,INDEX(Decrements!$G$6:$G$58,Census!$G74+AB$5-18)/INDEX(Decrements!$G$6:$G$58,Census!$G74-17)*(INDEX(Decrements!$D$6:$D$58,Census!$G74+AB$5-18)+IF(AB$5=$B74,INDEX(Decrements!$F$6:$F$58,Census!$G74+AB$5-18),0)+INDEX(Decrements!$E$6:$E$58,Census!$G74+AB$5-18)*IF((Census!$F74+AB$5)&gt;=Assumptions!$B$11,1,0))*MIN(15/26*Census!$D74*(1+Assumptions!$B$9)^AB$5*(INT((Census!$F74+AB$5))+IF((Census!$F74+AB$5)-INT((Census!$F74+AB$5))&gt;0.5,1,0)),Assumptions!$B$10))</f>
        <v>0</v>
      </c>
      <c r="AC74" s="30">
        <f>IF(AC$5&gt;$B74,0,INDEX(Decrements!$G$6:$G$58,Census!$G74+AC$5-18)/INDEX(Decrements!$G$6:$G$58,Census!$G74-17)*(INDEX(Decrements!$D$6:$D$58,Census!$G74+AC$5-18)+IF(AC$5=$B74,INDEX(Decrements!$F$6:$F$58,Census!$G74+AC$5-18),0)+INDEX(Decrements!$E$6:$E$58,Census!$G74+AC$5-18)*IF((Census!$F74+AC$5)&gt;=Assumptions!$B$11,1,0))*MIN(15/26*Census!$D74*(1+Assumptions!$B$9)^AC$5*(INT((Census!$F74+AC$5))+IF((Census!$F74+AC$5)-INT((Census!$F74+AC$5))&gt;0.5,1,0)),Assumptions!$B$10))</f>
        <v>0</v>
      </c>
      <c r="AD74" s="30">
        <f>IF(AD$5&gt;$B74,0,INDEX(Decrements!$G$6:$G$58,Census!$G74+AD$5-18)/INDEX(Decrements!$G$6:$G$58,Census!$G74-17)*(INDEX(Decrements!$D$6:$D$58,Census!$G74+AD$5-18)+IF(AD$5=$B74,INDEX(Decrements!$F$6:$F$58,Census!$G74+AD$5-18),0)+INDEX(Decrements!$E$6:$E$58,Census!$G74+AD$5-18)*IF((Census!$F74+AD$5)&gt;=Assumptions!$B$11,1,0))*MIN(15/26*Census!$D74*(1+Assumptions!$B$9)^AD$5*(INT((Census!$F74+AD$5))+IF((Census!$F74+AD$5)-INT((Census!$F74+AD$5))&gt;0.5,1,0)),Assumptions!$B$10))</f>
        <v>0</v>
      </c>
      <c r="AE74" s="30">
        <f>IF(AE$5&gt;$B74,0,INDEX(Decrements!$G$6:$G$58,Census!$G74+AE$5-18)/INDEX(Decrements!$G$6:$G$58,Census!$G74-17)*(INDEX(Decrements!$D$6:$D$58,Census!$G74+AE$5-18)+IF(AE$5=$B74,INDEX(Decrements!$F$6:$F$58,Census!$G74+AE$5-18),0)+INDEX(Decrements!$E$6:$E$58,Census!$G74+AE$5-18)*IF((Census!$F74+AE$5)&gt;=Assumptions!$B$11,1,0))*MIN(15/26*Census!$D74*(1+Assumptions!$B$9)^AE$5*(INT((Census!$F74+AE$5))+IF((Census!$F74+AE$5)-INT((Census!$F74+AE$5))&gt;0.5,1,0)),Assumptions!$B$10))</f>
        <v>0</v>
      </c>
      <c r="AF74" s="30">
        <f>IF(AF$5&gt;$B74,0,INDEX(Decrements!$G$6:$G$58,Census!$G74+AF$5-18)/INDEX(Decrements!$G$6:$G$58,Census!$G74-17)*(INDEX(Decrements!$D$6:$D$58,Census!$G74+AF$5-18)+IF(AF$5=$B74,INDEX(Decrements!$F$6:$F$58,Census!$G74+AF$5-18),0)+INDEX(Decrements!$E$6:$E$58,Census!$G74+AF$5-18)*IF((Census!$F74+AF$5)&gt;=Assumptions!$B$11,1,0))*MIN(15/26*Census!$D74*(1+Assumptions!$B$9)^AF$5*(INT((Census!$F74+AF$5))+IF((Census!$F74+AF$5)-INT((Census!$F74+AF$5))&gt;0.5,1,0)),Assumptions!$B$10))</f>
        <v>0</v>
      </c>
      <c r="AG74" s="30">
        <f>IF(AG$5&gt;$B74,0,INDEX(Decrements!$G$6:$G$58,Census!$G74+AG$5-18)/INDEX(Decrements!$G$6:$G$58,Census!$G74-17)*(INDEX(Decrements!$D$6:$D$58,Census!$G74+AG$5-18)+IF(AG$5=$B74,INDEX(Decrements!$F$6:$F$58,Census!$G74+AG$5-18),0)+INDEX(Decrements!$E$6:$E$58,Census!$G74+AG$5-18)*IF((Census!$F74+AG$5)&gt;=Assumptions!$B$11,1,0))*MIN(15/26*Census!$D74*(1+Assumptions!$B$9)^AG$5*(INT((Census!$F74+AG$5))+IF((Census!$F74+AG$5)-INT((Census!$F74+AG$5))&gt;0.5,1,0)),Assumptions!$B$10))</f>
        <v>0</v>
      </c>
      <c r="AH74" s="30">
        <f>IF(AH$5&gt;$B74,0,INDEX(Decrements!$G$6:$G$58,Census!$G74+AH$5-18)/INDEX(Decrements!$G$6:$G$58,Census!$G74-17)*(INDEX(Decrements!$D$6:$D$58,Census!$G74+AH$5-18)+IF(AH$5=$B74,INDEX(Decrements!$F$6:$F$58,Census!$G74+AH$5-18),0)+INDEX(Decrements!$E$6:$E$58,Census!$G74+AH$5-18)*IF((Census!$F74+AH$5)&gt;=Assumptions!$B$11,1,0))*MIN(15/26*Census!$D74*(1+Assumptions!$B$9)^AH$5*(INT((Census!$F74+AH$5))+IF((Census!$F74+AH$5)-INT((Census!$F74+AH$5))&gt;0.5,1,0)),Assumptions!$B$10))</f>
        <v>0</v>
      </c>
      <c r="AI74" s="30">
        <f>IF(AI$5&gt;$B74,0,INDEX(Decrements!$G$6:$G$58,Census!$G74+AI$5-18)/INDEX(Decrements!$G$6:$G$58,Census!$G74-17)*(INDEX(Decrements!$D$6:$D$58,Census!$G74+AI$5-18)+IF(AI$5=$B74,INDEX(Decrements!$F$6:$F$58,Census!$G74+AI$5-18),0)+INDEX(Decrements!$E$6:$E$58,Census!$G74+AI$5-18)*IF((Census!$F74+AI$5)&gt;=Assumptions!$B$11,1,0))*MIN(15/26*Census!$D74*(1+Assumptions!$B$9)^AI$5*(INT((Census!$F74+AI$5))+IF((Census!$F74+AI$5)-INT((Census!$F74+AI$5))&gt;0.5,1,0)),Assumptions!$B$10))</f>
        <v>0</v>
      </c>
      <c r="AJ74" s="30">
        <f>IF(AJ$5&gt;$B74,0,INDEX(Decrements!$G$6:$G$58,Census!$G74+AJ$5-18)/INDEX(Decrements!$G$6:$G$58,Census!$G74-17)*(INDEX(Decrements!$D$6:$D$58,Census!$G74+AJ$5-18)+IF(AJ$5=$B74,INDEX(Decrements!$F$6:$F$58,Census!$G74+AJ$5-18),0)+INDEX(Decrements!$E$6:$E$58,Census!$G74+AJ$5-18)*IF((Census!$F74+AJ$5)&gt;=Assumptions!$B$11,1,0))*MIN(15/26*Census!$D74*(1+Assumptions!$B$9)^AJ$5*(INT((Census!$F74+AJ$5))+IF((Census!$F74+AJ$5)-INT((Census!$F74+AJ$5))&gt;0.5,1,0)),Assumptions!$B$10))</f>
        <v>0</v>
      </c>
      <c r="AK74" s="30">
        <f>IF(AK$5&gt;$B74,0,INDEX(Decrements!$G$6:$G$58,Census!$G74+AK$5-18)/INDEX(Decrements!$G$6:$G$58,Census!$G74-17)*(INDEX(Decrements!$D$6:$D$58,Census!$G74+AK$5-18)+IF(AK$5=$B74,INDEX(Decrements!$F$6:$F$58,Census!$G74+AK$5-18),0)+INDEX(Decrements!$E$6:$E$58,Census!$G74+AK$5-18)*IF((Census!$F74+AK$5)&gt;=Assumptions!$B$11,1,0))*MIN(15/26*Census!$D74*(1+Assumptions!$B$9)^AK$5*(INT((Census!$F74+AK$5))+IF((Census!$F74+AK$5)-INT((Census!$F74+AK$5))&gt;0.5,1,0)),Assumptions!$B$10))</f>
        <v>0</v>
      </c>
      <c r="AL74" s="30">
        <f>IF(AL$5&gt;$B74,0,INDEX(Decrements!$G$6:$G$58,Census!$G74+AL$5-18)/INDEX(Decrements!$G$6:$G$58,Census!$G74-17)*(INDEX(Decrements!$D$6:$D$58,Census!$G74+AL$5-18)+IF(AL$5=$B74,INDEX(Decrements!$F$6:$F$58,Census!$G74+AL$5-18),0)+INDEX(Decrements!$E$6:$E$58,Census!$G74+AL$5-18)*IF((Census!$F74+AL$5)&gt;=Assumptions!$B$11,1,0))*MIN(15/26*Census!$D74*(1+Assumptions!$B$9)^AL$5*(INT((Census!$F74+AL$5))+IF((Census!$F74+AL$5)-INT((Census!$F74+AL$5))&gt;0.5,1,0)),Assumptions!$B$10))</f>
        <v>0</v>
      </c>
      <c r="AM74" s="30">
        <f>IF(AM$5&gt;$B74,0,INDEX(Decrements!$G$6:$G$58,Census!$G74+AM$5-18)/INDEX(Decrements!$G$6:$G$58,Census!$G74-17)*(INDEX(Decrements!$D$6:$D$58,Census!$G74+AM$5-18)+IF(AM$5=$B74,INDEX(Decrements!$F$6:$F$58,Census!$G74+AM$5-18),0)+INDEX(Decrements!$E$6:$E$58,Census!$G74+AM$5-18)*IF((Census!$F74+AM$5)&gt;=Assumptions!$B$11,1,0))*MIN(15/26*Census!$D74*(1+Assumptions!$B$9)^AM$5*(INT((Census!$F74+AM$5))+IF((Census!$F74+AM$5)-INT((Census!$F74+AM$5))&gt;0.5,1,0)),Assumptions!$B$10))</f>
        <v>0</v>
      </c>
      <c r="AN74" s="30">
        <f>IF(AN$5&gt;$B74,0,INDEX(Decrements!$G$6:$G$58,Census!$G74+AN$5-18)/INDEX(Decrements!$G$6:$G$58,Census!$G74-17)*(INDEX(Decrements!$D$6:$D$58,Census!$G74+AN$5-18)+IF(AN$5=$B74,INDEX(Decrements!$F$6:$F$58,Census!$G74+AN$5-18),0)+INDEX(Decrements!$E$6:$E$58,Census!$G74+AN$5-18)*IF((Census!$F74+AN$5)&gt;=Assumptions!$B$11,1,0))*MIN(15/26*Census!$D74*(1+Assumptions!$B$9)^AN$5*(INT((Census!$F74+AN$5))+IF((Census!$F74+AN$5)-INT((Census!$F74+AN$5))&gt;0.5,1,0)),Assumptions!$B$10))</f>
        <v>0</v>
      </c>
      <c r="AO74" s="30">
        <f>IF(AO$5&gt;$B74,0,INDEX(Decrements!$G$6:$G$58,Census!$G74+AO$5-18)/INDEX(Decrements!$G$6:$G$58,Census!$G74-17)*(INDEX(Decrements!$D$6:$D$58,Census!$G74+AO$5-18)+IF(AO$5=$B74,INDEX(Decrements!$F$6:$F$58,Census!$G74+AO$5-18),0)+INDEX(Decrements!$E$6:$E$58,Census!$G74+AO$5-18)*IF((Census!$F74+AO$5)&gt;=Assumptions!$B$11,1,0))*MIN(15/26*Census!$D74*(1+Assumptions!$B$9)^AO$5*(INT((Census!$F74+AO$5))+IF((Census!$F74+AO$5)-INT((Census!$F74+AO$5))&gt;0.5,1,0)),Assumptions!$B$10))</f>
        <v>0</v>
      </c>
      <c r="AP74" s="30">
        <f>IF(AP$5&gt;$B74,0,INDEX(Decrements!$G$6:$G$58,Census!$G74+AP$5-18)/INDEX(Decrements!$G$6:$G$58,Census!$G74-17)*(INDEX(Decrements!$D$6:$D$58,Census!$G74+AP$5-18)+IF(AP$5=$B74,INDEX(Decrements!$F$6:$F$58,Census!$G74+AP$5-18),0)+INDEX(Decrements!$E$6:$E$58,Census!$G74+AP$5-18)*IF((Census!$F74+AP$5)&gt;=Assumptions!$B$11,1,0))*MIN(15/26*Census!$D74*(1+Assumptions!$B$9)^AP$5*(INT((Census!$F74+AP$5))+IF((Census!$F74+AP$5)-INT((Census!$F74+AP$5))&gt;0.5,1,0)),Assumptions!$B$10))</f>
        <v>0</v>
      </c>
      <c r="AQ74" s="30">
        <f>IF(AQ$5&gt;$B74,0,INDEX(Decrements!$G$6:$G$58,Census!$G74+AQ$5-18)/INDEX(Decrements!$G$6:$G$58,Census!$G74-17)*(INDEX(Decrements!$D$6:$D$58,Census!$G74+AQ$5-18)+IF(AQ$5=$B74,INDEX(Decrements!$F$6:$F$58,Census!$G74+AQ$5-18),0)+INDEX(Decrements!$E$6:$E$58,Census!$G74+AQ$5-18)*IF((Census!$F74+AQ$5)&gt;=Assumptions!$B$11,1,0))*MIN(15/26*Census!$D74*(1+Assumptions!$B$9)^AQ$5*(INT((Census!$F74+AQ$5))+IF((Census!$F74+AQ$5)-INT((Census!$F74+AQ$5))&gt;0.5,1,0)),Assumptions!$B$10))</f>
        <v>0</v>
      </c>
      <c r="AR74" s="30">
        <f>IF(AR$5&gt;$B74,0,INDEX(Decrements!$G$6:$G$58,Census!$G74+AR$5-18)/INDEX(Decrements!$G$6:$G$58,Census!$G74-17)*(INDEX(Decrements!$D$6:$D$58,Census!$G74+AR$5-18)+IF(AR$5=$B74,INDEX(Decrements!$F$6:$F$58,Census!$G74+AR$5-18),0)+INDEX(Decrements!$E$6:$E$58,Census!$G74+AR$5-18)*IF((Census!$F74+AR$5)&gt;=Assumptions!$B$11,1,0))*MIN(15/26*Census!$D74*(1+Assumptions!$B$9)^AR$5*(INT((Census!$F74+AR$5))+IF((Census!$F74+AR$5)-INT((Census!$F74+AR$5))&gt;0.5,1,0)),Assumptions!$B$10))</f>
        <v>0</v>
      </c>
      <c r="AS74" s="30">
        <f>IF(AS$5&gt;$B74,0,INDEX(Decrements!$G$6:$G$58,Census!$G74+AS$5-18)/INDEX(Decrements!$G$6:$G$58,Census!$G74-17)*(INDEX(Decrements!$D$6:$D$58,Census!$G74+AS$5-18)+IF(AS$5=$B74,INDEX(Decrements!$F$6:$F$58,Census!$G74+AS$5-18),0)+INDEX(Decrements!$E$6:$E$58,Census!$G74+AS$5-18)*IF((Census!$F74+AS$5)&gt;=Assumptions!$B$11,1,0))*MIN(15/26*Census!$D74*(1+Assumptions!$B$9)^AS$5*(INT((Census!$F74+AS$5))+IF((Census!$F74+AS$5)-INT((Census!$F74+AS$5))&gt;0.5,1,0)),Assumptions!$B$10))</f>
        <v>0</v>
      </c>
      <c r="AT74" s="30">
        <f>IF(AT$5&gt;$B74,0,INDEX(Decrements!$G$6:$G$58,Census!$G74+AT$5-18)/INDEX(Decrements!$G$6:$G$58,Census!$G74-17)*(INDEX(Decrements!$D$6:$D$58,Census!$G74+AT$5-18)+IF(AT$5=$B74,INDEX(Decrements!$F$6:$F$58,Census!$G74+AT$5-18),0)+INDEX(Decrements!$E$6:$E$58,Census!$G74+AT$5-18)*IF((Census!$F74+AT$5)&gt;=Assumptions!$B$11,1,0))*MIN(15/26*Census!$D74*(1+Assumptions!$B$9)^AT$5*(INT((Census!$F74+AT$5))+IF((Census!$F74+AT$5)-INT((Census!$F74+AT$5))&gt;0.5,1,0)),Assumptions!$B$10))</f>
        <v>0</v>
      </c>
      <c r="AU74" s="30">
        <f>IF(AU$5&gt;$B74,0,INDEX(Decrements!$G$6:$G$58,Census!$G74+AU$5-18)/INDEX(Decrements!$G$6:$G$58,Census!$G74-17)*(INDEX(Decrements!$D$6:$D$58,Census!$G74+AU$5-18)+IF(AU$5=$B74,INDEX(Decrements!$F$6:$F$58,Census!$G74+AU$5-18),0)+INDEX(Decrements!$E$6:$E$58,Census!$G74+AU$5-18)*IF((Census!$F74+AU$5)&gt;=Assumptions!$B$11,1,0))*MIN(15/26*Census!$D74*(1+Assumptions!$B$9)^AU$5*(INT((Census!$F74+AU$5))+IF((Census!$F74+AU$5)-INT((Census!$F74+AU$5))&gt;0.5,1,0)),Assumptions!$B$10))</f>
        <v>0</v>
      </c>
    </row>
    <row r="75" spans="1:47" x14ac:dyDescent="0.3">
      <c r="A75" s="10" t="str">
        <f>Census!A75</f>
        <v>E070</v>
      </c>
      <c r="B75" s="29">
        <f>Census!H75</f>
        <v>26</v>
      </c>
      <c r="C75" s="30">
        <f>IF(C$5&gt;$B75,0,INDEX(Decrements!$G$6:$G$58,Census!$G75+C$5-18)/INDEX(Decrements!$G$6:$G$58,Census!$G75-17)*(INDEX(Decrements!$D$6:$D$58,Census!$G75+C$5-18)+IF(C$5=$B75,INDEX(Decrements!$F$6:$F$58,Census!$G75+C$5-18),0)+INDEX(Decrements!$E$6:$E$58,Census!$G75+C$5-18)*IF((Census!$F75+C$5)&gt;=Assumptions!$B$11,1,0))*MIN(15/26*Census!$D75*(1+Assumptions!$B$9)^C$5*(INT((Census!$F75+C$5))+IF((Census!$F75+C$5)-INT((Census!$F75+C$5))&gt;0.5,1,0)),Assumptions!$B$10))</f>
        <v>57.075541689032789</v>
      </c>
      <c r="D75" s="30">
        <f>IF(D$5&gt;$B75,0,INDEX(Decrements!$G$6:$G$58,Census!$G75+D$5-18)/INDEX(Decrements!$G$6:$G$58,Census!$G75-17)*(INDEX(Decrements!$D$6:$D$58,Census!$G75+D$5-18)+IF(D$5=$B75,INDEX(Decrements!$F$6:$F$58,Census!$G75+D$5-18),0)+INDEX(Decrements!$E$6:$E$58,Census!$G75+D$5-18)*IF((Census!$F75+D$5)&gt;=Assumptions!$B$11,1,0))*MIN(15/26*Census!$D75*(1+Assumptions!$B$9)^D$5*(INT((Census!$F75+D$5))+IF((Census!$F75+D$5)-INT((Census!$F75+D$5))&gt;0.5,1,0)),Assumptions!$B$10))</f>
        <v>6269.3321011495109</v>
      </c>
      <c r="E75" s="30">
        <f>IF(E$5&gt;$B75,0,INDEX(Decrements!$G$6:$G$58,Census!$G75+E$5-18)/INDEX(Decrements!$G$6:$G$58,Census!$G75-17)*(INDEX(Decrements!$D$6:$D$58,Census!$G75+E$5-18)+IF(E$5=$B75,INDEX(Decrements!$F$6:$F$58,Census!$G75+E$5-18),0)+INDEX(Decrements!$E$6:$E$58,Census!$G75+E$5-18)*IF((Census!$F75+E$5)&gt;=Assumptions!$B$11,1,0))*MIN(15/26*Census!$D75*(1+Assumptions!$B$9)^E$5*(INT((Census!$F75+E$5))+IF((Census!$F75+E$5)-INT((Census!$F75+E$5))&gt;0.5,1,0)),Assumptions!$B$10))</f>
        <v>7472.6578231462699</v>
      </c>
      <c r="F75" s="30">
        <f>IF(F$5&gt;$B75,0,INDEX(Decrements!$G$6:$G$58,Census!$G75+F$5-18)/INDEX(Decrements!$G$6:$G$58,Census!$G75-17)*(INDEX(Decrements!$D$6:$D$58,Census!$G75+F$5-18)+IF(F$5=$B75,INDEX(Decrements!$F$6:$F$58,Census!$G75+F$5-18),0)+INDEX(Decrements!$E$6:$E$58,Census!$G75+F$5-18)*IF((Census!$F75+F$5)&gt;=Assumptions!$B$11,1,0))*MIN(15/26*Census!$D75*(1+Assumptions!$B$9)^F$5*(INT((Census!$F75+F$5))+IF((Census!$F75+F$5)-INT((Census!$F75+F$5))&gt;0.5,1,0)),Assumptions!$B$10))</f>
        <v>8659.5970972467967</v>
      </c>
      <c r="G75" s="30">
        <f>IF(G$5&gt;$B75,0,INDEX(Decrements!$G$6:$G$58,Census!$G75+G$5-18)/INDEX(Decrements!$G$6:$G$58,Census!$G75-17)*(INDEX(Decrements!$D$6:$D$58,Census!$G75+G$5-18)+IF(G$5=$B75,INDEX(Decrements!$F$6:$F$58,Census!$G75+G$5-18),0)+INDEX(Decrements!$E$6:$E$58,Census!$G75+G$5-18)*IF((Census!$F75+G$5)&gt;=Assumptions!$B$11,1,0))*MIN(15/26*Census!$D75*(1+Assumptions!$B$9)^G$5*(INT((Census!$F75+G$5))+IF((Census!$F75+G$5)-INT((Census!$F75+G$5))&gt;0.5,1,0)),Assumptions!$B$10))</f>
        <v>9830.3488892159439</v>
      </c>
      <c r="H75" s="30">
        <f>IF(H$5&gt;$B75,0,INDEX(Decrements!$G$6:$G$58,Census!$G75+H$5-18)/INDEX(Decrements!$G$6:$G$58,Census!$G75-17)*(INDEX(Decrements!$D$6:$D$58,Census!$G75+H$5-18)+IF(H$5=$B75,INDEX(Decrements!$F$6:$F$58,Census!$G75+H$5-18),0)+INDEX(Decrements!$E$6:$E$58,Census!$G75+H$5-18)*IF((Census!$F75+H$5)&gt;=Assumptions!$B$11,1,0))*MIN(15/26*Census!$D75*(1+Assumptions!$B$9)^H$5*(INT((Census!$F75+H$5))+IF((Census!$F75+H$5)-INT((Census!$F75+H$5))&gt;0.5,1,0)),Assumptions!$B$10))</f>
        <v>10985.113262115034</v>
      </c>
      <c r="I75" s="30">
        <f>IF(I$5&gt;$B75,0,INDEX(Decrements!$G$6:$G$58,Census!$G75+I$5-18)/INDEX(Decrements!$G$6:$G$58,Census!$G75-17)*(INDEX(Decrements!$D$6:$D$58,Census!$G75+I$5-18)+IF(I$5=$B75,INDEX(Decrements!$F$6:$F$58,Census!$G75+I$5-18),0)+INDEX(Decrements!$E$6:$E$58,Census!$G75+I$5-18)*IF((Census!$F75+I$5)&gt;=Assumptions!$B$11,1,0))*MIN(15/26*Census!$D75*(1+Assumptions!$B$9)^I$5*(INT((Census!$F75+I$5))+IF((Census!$F75+I$5)-INT((Census!$F75+I$5))&gt;0.5,1,0)),Assumptions!$B$10))</f>
        <v>7653.0417474343121</v>
      </c>
      <c r="J75" s="30">
        <f>IF(J$5&gt;$B75,0,INDEX(Decrements!$G$6:$G$58,Census!$G75+J$5-18)/INDEX(Decrements!$G$6:$G$58,Census!$G75-17)*(INDEX(Decrements!$D$6:$D$58,Census!$G75+J$5-18)+IF(J$5=$B75,INDEX(Decrements!$F$6:$F$58,Census!$G75+J$5-18),0)+INDEX(Decrements!$E$6:$E$58,Census!$G75+J$5-18)*IF((Census!$F75+J$5)&gt;=Assumptions!$B$11,1,0))*MIN(15/26*Census!$D75*(1+Assumptions!$B$9)^J$5*(INT((Census!$F75+J$5))+IF((Census!$F75+J$5)-INT((Census!$F75+J$5))&gt;0.5,1,0)),Assumptions!$B$10))</f>
        <v>8640.727455617769</v>
      </c>
      <c r="K75" s="30">
        <f>IF(K$5&gt;$B75,0,INDEX(Decrements!$G$6:$G$58,Census!$G75+K$5-18)/INDEX(Decrements!$G$6:$G$58,Census!$G75-17)*(INDEX(Decrements!$D$6:$D$58,Census!$G75+K$5-18)+IF(K$5=$B75,INDEX(Decrements!$F$6:$F$58,Census!$G75+K$5-18),0)+INDEX(Decrements!$E$6:$E$58,Census!$G75+K$5-18)*IF((Census!$F75+K$5)&gt;=Assumptions!$B$11,1,0))*MIN(15/26*Census!$D75*(1+Assumptions!$B$9)^K$5*(INT((Census!$F75+K$5))+IF((Census!$F75+K$5)-INT((Census!$F75+K$5))&gt;0.5,1,0)),Assumptions!$B$10))</f>
        <v>9675.99801516142</v>
      </c>
      <c r="L75" s="30">
        <f>IF(L$5&gt;$B75,0,INDEX(Decrements!$G$6:$G$58,Census!$G75+L$5-18)/INDEX(Decrements!$G$6:$G$58,Census!$G75-17)*(INDEX(Decrements!$D$6:$D$58,Census!$G75+L$5-18)+IF(L$5=$B75,INDEX(Decrements!$F$6:$F$58,Census!$G75+L$5-18),0)+INDEX(Decrements!$E$6:$E$58,Census!$G75+L$5-18)*IF((Census!$F75+L$5)&gt;=Assumptions!$B$11,1,0))*MIN(15/26*Census!$D75*(1+Assumptions!$B$9)^L$5*(INT((Census!$F75+L$5))+IF((Census!$F75+L$5)-INT((Census!$F75+L$5))&gt;0.5,1,0)),Assumptions!$B$10))</f>
        <v>10760.963189640213</v>
      </c>
      <c r="M75" s="30">
        <f>IF(M$5&gt;$B75,0,INDEX(Decrements!$G$6:$G$58,Census!$G75+M$5-18)/INDEX(Decrements!$G$6:$G$58,Census!$G75-17)*(INDEX(Decrements!$D$6:$D$58,Census!$G75+M$5-18)+IF(M$5=$B75,INDEX(Decrements!$F$6:$F$58,Census!$G75+M$5-18),0)+INDEX(Decrements!$E$6:$E$58,Census!$G75+M$5-18)*IF((Census!$F75+M$5)&gt;=Assumptions!$B$11,1,0))*MIN(15/26*Census!$D75*(1+Assumptions!$B$9)^M$5*(INT((Census!$F75+M$5))+IF((Census!$F75+M$5)-INT((Census!$F75+M$5))&gt;0.5,1,0)),Assumptions!$B$10))</f>
        <v>11897.855759765045</v>
      </c>
      <c r="N75" s="30">
        <f>IF(N$5&gt;$B75,0,INDEX(Decrements!$G$6:$G$58,Census!$G75+N$5-18)/INDEX(Decrements!$G$6:$G$58,Census!$G75-17)*(INDEX(Decrements!$D$6:$D$58,Census!$G75+N$5-18)+IF(N$5=$B75,INDEX(Decrements!$F$6:$F$58,Census!$G75+N$5-18),0)+INDEX(Decrements!$E$6:$E$58,Census!$G75+N$5-18)*IF((Census!$F75+N$5)&gt;=Assumptions!$B$11,1,0))*MIN(15/26*Census!$D75*(1+Assumptions!$B$9)^N$5*(INT((Census!$F75+N$5))+IF((Census!$F75+N$5)-INT((Census!$F75+N$5))&gt;0.5,1,0)),Assumptions!$B$10))</f>
        <v>8048.145691666291</v>
      </c>
      <c r="O75" s="30">
        <f>IF(O$5&gt;$B75,0,INDEX(Decrements!$G$6:$G$58,Census!$G75+O$5-18)/INDEX(Decrements!$G$6:$G$58,Census!$G75-17)*(INDEX(Decrements!$D$6:$D$58,Census!$G75+O$5-18)+IF(O$5=$B75,INDEX(Decrements!$F$6:$F$58,Census!$G75+O$5-18),0)+INDEX(Decrements!$E$6:$E$58,Census!$G75+O$5-18)*IF((Census!$F75+O$5)&gt;=Assumptions!$B$11,1,0))*MIN(15/26*Census!$D75*(1+Assumptions!$B$9)^O$5*(INT((Census!$F75+O$5))+IF((Census!$F75+O$5)-INT((Census!$F75+O$5))&gt;0.5,1,0)),Assumptions!$B$10))</f>
        <v>9017.6863510943895</v>
      </c>
      <c r="P75" s="30">
        <f>IF(P$5&gt;$B75,0,INDEX(Decrements!$G$6:$G$58,Census!$G75+P$5-18)/INDEX(Decrements!$G$6:$G$58,Census!$G75-17)*(INDEX(Decrements!$D$6:$D$58,Census!$G75+P$5-18)+IF(P$5=$B75,INDEX(Decrements!$F$6:$F$58,Census!$G75+P$5-18),0)+INDEX(Decrements!$E$6:$E$58,Census!$G75+P$5-18)*IF((Census!$F75+P$5)&gt;=Assumptions!$B$11,1,0))*MIN(15/26*Census!$D75*(1+Assumptions!$B$9)^P$5*(INT((Census!$F75+P$5))+IF((Census!$F75+P$5)-INT((Census!$F75+P$5))&gt;0.5,1,0)),Assumptions!$B$10))</f>
        <v>10067.42585429294</v>
      </c>
      <c r="Q75" s="30">
        <f>IF(Q$5&gt;$B75,0,INDEX(Decrements!$G$6:$G$58,Census!$G75+Q$5-18)/INDEX(Decrements!$G$6:$G$58,Census!$G75-17)*(INDEX(Decrements!$D$6:$D$58,Census!$G75+Q$5-18)+IF(Q$5=$B75,INDEX(Decrements!$F$6:$F$58,Census!$G75+Q$5-18),0)+INDEX(Decrements!$E$6:$E$58,Census!$G75+Q$5-18)*IF((Census!$F75+Q$5)&gt;=Assumptions!$B$11,1,0))*MIN(15/26*Census!$D75*(1+Assumptions!$B$9)^Q$5*(INT((Census!$F75+Q$5))+IF((Census!$F75+Q$5)-INT((Census!$F75+Q$5))&gt;0.5,1,0)),Assumptions!$B$10))</f>
        <v>11203.930166308935</v>
      </c>
      <c r="R75" s="30">
        <f>IF(R$5&gt;$B75,0,INDEX(Decrements!$G$6:$G$58,Census!$G75+R$5-18)/INDEX(Decrements!$G$6:$G$58,Census!$G75-17)*(INDEX(Decrements!$D$6:$D$58,Census!$G75+R$5-18)+IF(R$5=$B75,INDEX(Decrements!$F$6:$F$58,Census!$G75+R$5-18),0)+INDEX(Decrements!$E$6:$E$58,Census!$G75+R$5-18)*IF((Census!$F75+R$5)&gt;=Assumptions!$B$11,1,0))*MIN(15/26*Census!$D75*(1+Assumptions!$B$9)^R$5*(INT((Census!$F75+R$5))+IF((Census!$F75+R$5)-INT((Census!$F75+R$5))&gt;0.5,1,0)),Assumptions!$B$10))</f>
        <v>12434.39466199201</v>
      </c>
      <c r="S75" s="30">
        <f>IF(S$5&gt;$B75,0,INDEX(Decrements!$G$6:$G$58,Census!$G75+S$5-18)/INDEX(Decrements!$G$6:$G$58,Census!$G75-17)*(INDEX(Decrements!$D$6:$D$58,Census!$G75+S$5-18)+IF(S$5=$B75,INDEX(Decrements!$F$6:$F$58,Census!$G75+S$5-18),0)+INDEX(Decrements!$E$6:$E$58,Census!$G75+S$5-18)*IF((Census!$F75+S$5)&gt;=Assumptions!$B$11,1,0))*MIN(15/26*Census!$D75*(1+Assumptions!$B$9)^S$5*(INT((Census!$F75+S$5))+IF((Census!$F75+S$5)-INT((Census!$F75+S$5))&gt;0.5,1,0)),Assumptions!$B$10))</f>
        <v>9578.1598315897518</v>
      </c>
      <c r="T75" s="30">
        <f>IF(T$5&gt;$B75,0,INDEX(Decrements!$G$6:$G$58,Census!$G75+T$5-18)/INDEX(Decrements!$G$6:$G$58,Census!$G75-17)*(INDEX(Decrements!$D$6:$D$58,Census!$G75+T$5-18)+IF(T$5=$B75,INDEX(Decrements!$F$6:$F$58,Census!$G75+T$5-18),0)+INDEX(Decrements!$E$6:$E$58,Census!$G75+T$5-18)*IF((Census!$F75+T$5)&gt;=Assumptions!$B$11,1,0))*MIN(15/26*Census!$D75*(1+Assumptions!$B$9)^T$5*(INT((Census!$F75+T$5))+IF((Census!$F75+T$5)-INT((Census!$F75+T$5))&gt;0.5,1,0)),Assumptions!$B$10))</f>
        <v>10726.001591802489</v>
      </c>
      <c r="U75" s="30">
        <f>IF(U$5&gt;$B75,0,INDEX(Decrements!$G$6:$G$58,Census!$G75+U$5-18)/INDEX(Decrements!$G$6:$G$58,Census!$G75-17)*(INDEX(Decrements!$D$6:$D$58,Census!$G75+U$5-18)+IF(U$5=$B75,INDEX(Decrements!$F$6:$F$58,Census!$G75+U$5-18),0)+INDEX(Decrements!$E$6:$E$58,Census!$G75+U$5-18)*IF((Census!$F75+U$5)&gt;=Assumptions!$B$11,1,0))*MIN(15/26*Census!$D75*(1+Assumptions!$B$9)^U$5*(INT((Census!$F75+U$5))+IF((Census!$F75+U$5)-INT((Census!$F75+U$5))&gt;0.5,1,0)),Assumptions!$B$10))</f>
        <v>11992.253193502034</v>
      </c>
      <c r="V75" s="30">
        <f>IF(V$5&gt;$B75,0,INDEX(Decrements!$G$6:$G$58,Census!$G75+V$5-18)/INDEX(Decrements!$G$6:$G$58,Census!$G75-17)*(INDEX(Decrements!$D$6:$D$58,Census!$G75+V$5-18)+IF(V$5=$B75,INDEX(Decrements!$F$6:$F$58,Census!$G75+V$5-18),0)+INDEX(Decrements!$E$6:$E$58,Census!$G75+V$5-18)*IF((Census!$F75+V$5)&gt;=Assumptions!$B$11,1,0))*MIN(15/26*Census!$D75*(1+Assumptions!$B$9)^V$5*(INT((Census!$F75+V$5))+IF((Census!$F75+V$5)-INT((Census!$F75+V$5))&gt;0.5,1,0)),Assumptions!$B$10))</f>
        <v>13389.910141621542</v>
      </c>
      <c r="W75" s="30">
        <f>IF(W$5&gt;$B75,0,INDEX(Decrements!$G$6:$G$58,Census!$G75+W$5-18)/INDEX(Decrements!$G$6:$G$58,Census!$G75-17)*(INDEX(Decrements!$D$6:$D$58,Census!$G75+W$5-18)+IF(W$5=$B75,INDEX(Decrements!$F$6:$F$58,Census!$G75+W$5-18),0)+INDEX(Decrements!$E$6:$E$58,Census!$G75+W$5-18)*IF((Census!$F75+W$5)&gt;=Assumptions!$B$11,1,0))*MIN(15/26*Census!$D75*(1+Assumptions!$B$9)^W$5*(INT((Census!$F75+W$5))+IF((Census!$F75+W$5)-INT((Census!$F75+W$5))&gt;0.5,1,0)),Assumptions!$B$10))</f>
        <v>14933.591591826949</v>
      </c>
      <c r="X75" s="30">
        <f>IF(X$5&gt;$B75,0,INDEX(Decrements!$G$6:$G$58,Census!$G75+X$5-18)/INDEX(Decrements!$G$6:$G$58,Census!$G75-17)*(INDEX(Decrements!$D$6:$D$58,Census!$G75+X$5-18)+IF(X$5=$B75,INDEX(Decrements!$F$6:$F$58,Census!$G75+X$5-18),0)+INDEX(Decrements!$E$6:$E$58,Census!$G75+X$5-18)*IF((Census!$F75+X$5)&gt;=Assumptions!$B$11,1,0))*MIN(15/26*Census!$D75*(1+Assumptions!$B$9)^X$5*(INT((Census!$F75+X$5))+IF((Census!$F75+X$5)-INT((Census!$F75+X$5))&gt;0.5,1,0)),Assumptions!$B$10))</f>
        <v>9664.5607352137376</v>
      </c>
      <c r="Y75" s="30">
        <f>IF(Y$5&gt;$B75,0,INDEX(Decrements!$G$6:$G$58,Census!$G75+Y$5-18)/INDEX(Decrements!$G$6:$G$58,Census!$G75-17)*(INDEX(Decrements!$D$6:$D$58,Census!$G75+Y$5-18)+IF(Y$5=$B75,INDEX(Decrements!$F$6:$F$58,Census!$G75+Y$5-18),0)+INDEX(Decrements!$E$6:$E$58,Census!$G75+Y$5-18)*IF((Census!$F75+Y$5)&gt;=Assumptions!$B$11,1,0))*MIN(15/26*Census!$D75*(1+Assumptions!$B$9)^Y$5*(INT((Census!$F75+Y$5))+IF((Census!$F75+Y$5)-INT((Census!$F75+Y$5))&gt;0.5,1,0)),Assumptions!$B$10))</f>
        <v>9786.4142018456332</v>
      </c>
      <c r="Z75" s="30">
        <f>IF(Z$5&gt;$B75,0,INDEX(Decrements!$G$6:$G$58,Census!$G75+Z$5-18)/INDEX(Decrements!$G$6:$G$58,Census!$G75-17)*(INDEX(Decrements!$D$6:$D$58,Census!$G75+Z$5-18)+IF(Z$5=$B75,INDEX(Decrements!$F$6:$F$58,Census!$G75+Z$5-18),0)+INDEX(Decrements!$E$6:$E$58,Census!$G75+Z$5-18)*IF((Census!$F75+Z$5)&gt;=Assumptions!$B$11,1,0))*MIN(15/26*Census!$D75*(1+Assumptions!$B$9)^Z$5*(INT((Census!$F75+Z$5))+IF((Census!$F75+Z$5)-INT((Census!$F75+Z$5))&gt;0.5,1,0)),Assumptions!$B$10))</f>
        <v>9924.3903690865664</v>
      </c>
      <c r="AA75" s="30">
        <f>IF(AA$5&gt;$B75,0,INDEX(Decrements!$G$6:$G$58,Census!$G75+AA$5-18)/INDEX(Decrements!$G$6:$G$58,Census!$G75-17)*(INDEX(Decrements!$D$6:$D$58,Census!$G75+AA$5-18)+IF(AA$5=$B75,INDEX(Decrements!$F$6:$F$58,Census!$G75+AA$5-18),0)+INDEX(Decrements!$E$6:$E$58,Census!$G75+AA$5-18)*IF((Census!$F75+AA$5)&gt;=Assumptions!$B$11,1,0))*MIN(15/26*Census!$D75*(1+Assumptions!$B$9)^AA$5*(INT((Census!$F75+AA$5))+IF((Census!$F75+AA$5)-INT((Census!$F75+AA$5))&gt;0.5,1,0)),Assumptions!$B$10))</f>
        <v>10079.42699416902</v>
      </c>
      <c r="AB75" s="30">
        <f>IF(AB$5&gt;$B75,0,INDEX(Decrements!$G$6:$G$58,Census!$G75+AB$5-18)/INDEX(Decrements!$G$6:$G$58,Census!$G75-17)*(INDEX(Decrements!$D$6:$D$58,Census!$G75+AB$5-18)+IF(AB$5=$B75,INDEX(Decrements!$F$6:$F$58,Census!$G75+AB$5-18),0)+INDEX(Decrements!$E$6:$E$58,Census!$G75+AB$5-18)*IF((Census!$F75+AB$5)&gt;=Assumptions!$B$11,1,0))*MIN(15/26*Census!$D75*(1+Assumptions!$B$9)^AB$5*(INT((Census!$F75+AB$5))+IF((Census!$F75+AB$5)-INT((Census!$F75+AB$5))&gt;0.5,1,0)),Assumptions!$B$10))</f>
        <v>635721.01573537174</v>
      </c>
      <c r="AC75" s="30">
        <f>IF(AC$5&gt;$B75,0,INDEX(Decrements!$G$6:$G$58,Census!$G75+AC$5-18)/INDEX(Decrements!$G$6:$G$58,Census!$G75-17)*(INDEX(Decrements!$D$6:$D$58,Census!$G75+AC$5-18)+IF(AC$5=$B75,INDEX(Decrements!$F$6:$F$58,Census!$G75+AC$5-18),0)+INDEX(Decrements!$E$6:$E$58,Census!$G75+AC$5-18)*IF((Census!$F75+AC$5)&gt;=Assumptions!$B$11,1,0))*MIN(15/26*Census!$D75*(1+Assumptions!$B$9)^AC$5*(INT((Census!$F75+AC$5))+IF((Census!$F75+AC$5)-INT((Census!$F75+AC$5))&gt;0.5,1,0)),Assumptions!$B$10))</f>
        <v>0</v>
      </c>
      <c r="AD75" s="30">
        <f>IF(AD$5&gt;$B75,0,INDEX(Decrements!$G$6:$G$58,Census!$G75+AD$5-18)/INDEX(Decrements!$G$6:$G$58,Census!$G75-17)*(INDEX(Decrements!$D$6:$D$58,Census!$G75+AD$5-18)+IF(AD$5=$B75,INDEX(Decrements!$F$6:$F$58,Census!$G75+AD$5-18),0)+INDEX(Decrements!$E$6:$E$58,Census!$G75+AD$5-18)*IF((Census!$F75+AD$5)&gt;=Assumptions!$B$11,1,0))*MIN(15/26*Census!$D75*(1+Assumptions!$B$9)^AD$5*(INT((Census!$F75+AD$5))+IF((Census!$F75+AD$5)-INT((Census!$F75+AD$5))&gt;0.5,1,0)),Assumptions!$B$10))</f>
        <v>0</v>
      </c>
      <c r="AE75" s="30">
        <f>IF(AE$5&gt;$B75,0,INDEX(Decrements!$G$6:$G$58,Census!$G75+AE$5-18)/INDEX(Decrements!$G$6:$G$58,Census!$G75-17)*(INDEX(Decrements!$D$6:$D$58,Census!$G75+AE$5-18)+IF(AE$5=$B75,INDEX(Decrements!$F$6:$F$58,Census!$G75+AE$5-18),0)+INDEX(Decrements!$E$6:$E$58,Census!$G75+AE$5-18)*IF((Census!$F75+AE$5)&gt;=Assumptions!$B$11,1,0))*MIN(15/26*Census!$D75*(1+Assumptions!$B$9)^AE$5*(INT((Census!$F75+AE$5))+IF((Census!$F75+AE$5)-INT((Census!$F75+AE$5))&gt;0.5,1,0)),Assumptions!$B$10))</f>
        <v>0</v>
      </c>
      <c r="AF75" s="30">
        <f>IF(AF$5&gt;$B75,0,INDEX(Decrements!$G$6:$G$58,Census!$G75+AF$5-18)/INDEX(Decrements!$G$6:$G$58,Census!$G75-17)*(INDEX(Decrements!$D$6:$D$58,Census!$G75+AF$5-18)+IF(AF$5=$B75,INDEX(Decrements!$F$6:$F$58,Census!$G75+AF$5-18),0)+INDEX(Decrements!$E$6:$E$58,Census!$G75+AF$5-18)*IF((Census!$F75+AF$5)&gt;=Assumptions!$B$11,1,0))*MIN(15/26*Census!$D75*(1+Assumptions!$B$9)^AF$5*(INT((Census!$F75+AF$5))+IF((Census!$F75+AF$5)-INT((Census!$F75+AF$5))&gt;0.5,1,0)),Assumptions!$B$10))</f>
        <v>0</v>
      </c>
      <c r="AG75" s="30">
        <f>IF(AG$5&gt;$B75,0,INDEX(Decrements!$G$6:$G$58,Census!$G75+AG$5-18)/INDEX(Decrements!$G$6:$G$58,Census!$G75-17)*(INDEX(Decrements!$D$6:$D$58,Census!$G75+AG$5-18)+IF(AG$5=$B75,INDEX(Decrements!$F$6:$F$58,Census!$G75+AG$5-18),0)+INDEX(Decrements!$E$6:$E$58,Census!$G75+AG$5-18)*IF((Census!$F75+AG$5)&gt;=Assumptions!$B$11,1,0))*MIN(15/26*Census!$D75*(1+Assumptions!$B$9)^AG$5*(INT((Census!$F75+AG$5))+IF((Census!$F75+AG$5)-INT((Census!$F75+AG$5))&gt;0.5,1,0)),Assumptions!$B$10))</f>
        <v>0</v>
      </c>
      <c r="AH75" s="30">
        <f>IF(AH$5&gt;$B75,0,INDEX(Decrements!$G$6:$G$58,Census!$G75+AH$5-18)/INDEX(Decrements!$G$6:$G$58,Census!$G75-17)*(INDEX(Decrements!$D$6:$D$58,Census!$G75+AH$5-18)+IF(AH$5=$B75,INDEX(Decrements!$F$6:$F$58,Census!$G75+AH$5-18),0)+INDEX(Decrements!$E$6:$E$58,Census!$G75+AH$5-18)*IF((Census!$F75+AH$5)&gt;=Assumptions!$B$11,1,0))*MIN(15/26*Census!$D75*(1+Assumptions!$B$9)^AH$5*(INT((Census!$F75+AH$5))+IF((Census!$F75+AH$5)-INT((Census!$F75+AH$5))&gt;0.5,1,0)),Assumptions!$B$10))</f>
        <v>0</v>
      </c>
      <c r="AI75" s="30">
        <f>IF(AI$5&gt;$B75,0,INDEX(Decrements!$G$6:$G$58,Census!$G75+AI$5-18)/INDEX(Decrements!$G$6:$G$58,Census!$G75-17)*(INDEX(Decrements!$D$6:$D$58,Census!$G75+AI$5-18)+IF(AI$5=$B75,INDEX(Decrements!$F$6:$F$58,Census!$G75+AI$5-18),0)+INDEX(Decrements!$E$6:$E$58,Census!$G75+AI$5-18)*IF((Census!$F75+AI$5)&gt;=Assumptions!$B$11,1,0))*MIN(15/26*Census!$D75*(1+Assumptions!$B$9)^AI$5*(INT((Census!$F75+AI$5))+IF((Census!$F75+AI$5)-INT((Census!$F75+AI$5))&gt;0.5,1,0)),Assumptions!$B$10))</f>
        <v>0</v>
      </c>
      <c r="AJ75" s="30">
        <f>IF(AJ$5&gt;$B75,0,INDEX(Decrements!$G$6:$G$58,Census!$G75+AJ$5-18)/INDEX(Decrements!$G$6:$G$58,Census!$G75-17)*(INDEX(Decrements!$D$6:$D$58,Census!$G75+AJ$5-18)+IF(AJ$5=$B75,INDEX(Decrements!$F$6:$F$58,Census!$G75+AJ$5-18),0)+INDEX(Decrements!$E$6:$E$58,Census!$G75+AJ$5-18)*IF((Census!$F75+AJ$5)&gt;=Assumptions!$B$11,1,0))*MIN(15/26*Census!$D75*(1+Assumptions!$B$9)^AJ$5*(INT((Census!$F75+AJ$5))+IF((Census!$F75+AJ$5)-INT((Census!$F75+AJ$5))&gt;0.5,1,0)),Assumptions!$B$10))</f>
        <v>0</v>
      </c>
      <c r="AK75" s="30">
        <f>IF(AK$5&gt;$B75,0,INDEX(Decrements!$G$6:$G$58,Census!$G75+AK$5-18)/INDEX(Decrements!$G$6:$G$58,Census!$G75-17)*(INDEX(Decrements!$D$6:$D$58,Census!$G75+AK$5-18)+IF(AK$5=$B75,INDEX(Decrements!$F$6:$F$58,Census!$G75+AK$5-18),0)+INDEX(Decrements!$E$6:$E$58,Census!$G75+AK$5-18)*IF((Census!$F75+AK$5)&gt;=Assumptions!$B$11,1,0))*MIN(15/26*Census!$D75*(1+Assumptions!$B$9)^AK$5*(INT((Census!$F75+AK$5))+IF((Census!$F75+AK$5)-INT((Census!$F75+AK$5))&gt;0.5,1,0)),Assumptions!$B$10))</f>
        <v>0</v>
      </c>
      <c r="AL75" s="30">
        <f>IF(AL$5&gt;$B75,0,INDEX(Decrements!$G$6:$G$58,Census!$G75+AL$5-18)/INDEX(Decrements!$G$6:$G$58,Census!$G75-17)*(INDEX(Decrements!$D$6:$D$58,Census!$G75+AL$5-18)+IF(AL$5=$B75,INDEX(Decrements!$F$6:$F$58,Census!$G75+AL$5-18),0)+INDEX(Decrements!$E$6:$E$58,Census!$G75+AL$5-18)*IF((Census!$F75+AL$5)&gt;=Assumptions!$B$11,1,0))*MIN(15/26*Census!$D75*(1+Assumptions!$B$9)^AL$5*(INT((Census!$F75+AL$5))+IF((Census!$F75+AL$5)-INT((Census!$F75+AL$5))&gt;0.5,1,0)),Assumptions!$B$10))</f>
        <v>0</v>
      </c>
      <c r="AM75" s="30">
        <f>IF(AM$5&gt;$B75,0,INDEX(Decrements!$G$6:$G$58,Census!$G75+AM$5-18)/INDEX(Decrements!$G$6:$G$58,Census!$G75-17)*(INDEX(Decrements!$D$6:$D$58,Census!$G75+AM$5-18)+IF(AM$5=$B75,INDEX(Decrements!$F$6:$F$58,Census!$G75+AM$5-18),0)+INDEX(Decrements!$E$6:$E$58,Census!$G75+AM$5-18)*IF((Census!$F75+AM$5)&gt;=Assumptions!$B$11,1,0))*MIN(15/26*Census!$D75*(1+Assumptions!$B$9)^AM$5*(INT((Census!$F75+AM$5))+IF((Census!$F75+AM$5)-INT((Census!$F75+AM$5))&gt;0.5,1,0)),Assumptions!$B$10))</f>
        <v>0</v>
      </c>
      <c r="AN75" s="30">
        <f>IF(AN$5&gt;$B75,0,INDEX(Decrements!$G$6:$G$58,Census!$G75+AN$5-18)/INDEX(Decrements!$G$6:$G$58,Census!$G75-17)*(INDEX(Decrements!$D$6:$D$58,Census!$G75+AN$5-18)+IF(AN$5=$B75,INDEX(Decrements!$F$6:$F$58,Census!$G75+AN$5-18),0)+INDEX(Decrements!$E$6:$E$58,Census!$G75+AN$5-18)*IF((Census!$F75+AN$5)&gt;=Assumptions!$B$11,1,0))*MIN(15/26*Census!$D75*(1+Assumptions!$B$9)^AN$5*(INT((Census!$F75+AN$5))+IF((Census!$F75+AN$5)-INT((Census!$F75+AN$5))&gt;0.5,1,0)),Assumptions!$B$10))</f>
        <v>0</v>
      </c>
      <c r="AO75" s="30">
        <f>IF(AO$5&gt;$B75,0,INDEX(Decrements!$G$6:$G$58,Census!$G75+AO$5-18)/INDEX(Decrements!$G$6:$G$58,Census!$G75-17)*(INDEX(Decrements!$D$6:$D$58,Census!$G75+AO$5-18)+IF(AO$5=$B75,INDEX(Decrements!$F$6:$F$58,Census!$G75+AO$5-18),0)+INDEX(Decrements!$E$6:$E$58,Census!$G75+AO$5-18)*IF((Census!$F75+AO$5)&gt;=Assumptions!$B$11,1,0))*MIN(15/26*Census!$D75*(1+Assumptions!$B$9)^AO$5*(INT((Census!$F75+AO$5))+IF((Census!$F75+AO$5)-INT((Census!$F75+AO$5))&gt;0.5,1,0)),Assumptions!$B$10))</f>
        <v>0</v>
      </c>
      <c r="AP75" s="30">
        <f>IF(AP$5&gt;$B75,0,INDEX(Decrements!$G$6:$G$58,Census!$G75+AP$5-18)/INDEX(Decrements!$G$6:$G$58,Census!$G75-17)*(INDEX(Decrements!$D$6:$D$58,Census!$G75+AP$5-18)+IF(AP$5=$B75,INDEX(Decrements!$F$6:$F$58,Census!$G75+AP$5-18),0)+INDEX(Decrements!$E$6:$E$58,Census!$G75+AP$5-18)*IF((Census!$F75+AP$5)&gt;=Assumptions!$B$11,1,0))*MIN(15/26*Census!$D75*(1+Assumptions!$B$9)^AP$5*(INT((Census!$F75+AP$5))+IF((Census!$F75+AP$5)-INT((Census!$F75+AP$5))&gt;0.5,1,0)),Assumptions!$B$10))</f>
        <v>0</v>
      </c>
      <c r="AQ75" s="30">
        <f>IF(AQ$5&gt;$B75,0,INDEX(Decrements!$G$6:$G$58,Census!$G75+AQ$5-18)/INDEX(Decrements!$G$6:$G$58,Census!$G75-17)*(INDEX(Decrements!$D$6:$D$58,Census!$G75+AQ$5-18)+IF(AQ$5=$B75,INDEX(Decrements!$F$6:$F$58,Census!$G75+AQ$5-18),0)+INDEX(Decrements!$E$6:$E$58,Census!$G75+AQ$5-18)*IF((Census!$F75+AQ$5)&gt;=Assumptions!$B$11,1,0))*MIN(15/26*Census!$D75*(1+Assumptions!$B$9)^AQ$5*(INT((Census!$F75+AQ$5))+IF((Census!$F75+AQ$5)-INT((Census!$F75+AQ$5))&gt;0.5,1,0)),Assumptions!$B$10))</f>
        <v>0</v>
      </c>
      <c r="AR75" s="30">
        <f>IF(AR$5&gt;$B75,0,INDEX(Decrements!$G$6:$G$58,Census!$G75+AR$5-18)/INDEX(Decrements!$G$6:$G$58,Census!$G75-17)*(INDEX(Decrements!$D$6:$D$58,Census!$G75+AR$5-18)+IF(AR$5=$B75,INDEX(Decrements!$F$6:$F$58,Census!$G75+AR$5-18),0)+INDEX(Decrements!$E$6:$E$58,Census!$G75+AR$5-18)*IF((Census!$F75+AR$5)&gt;=Assumptions!$B$11,1,0))*MIN(15/26*Census!$D75*(1+Assumptions!$B$9)^AR$5*(INT((Census!$F75+AR$5))+IF((Census!$F75+AR$5)-INT((Census!$F75+AR$5))&gt;0.5,1,0)),Assumptions!$B$10))</f>
        <v>0</v>
      </c>
      <c r="AS75" s="30">
        <f>IF(AS$5&gt;$B75,0,INDEX(Decrements!$G$6:$G$58,Census!$G75+AS$5-18)/INDEX(Decrements!$G$6:$G$58,Census!$G75-17)*(INDEX(Decrements!$D$6:$D$58,Census!$G75+AS$5-18)+IF(AS$5=$B75,INDEX(Decrements!$F$6:$F$58,Census!$G75+AS$5-18),0)+INDEX(Decrements!$E$6:$E$58,Census!$G75+AS$5-18)*IF((Census!$F75+AS$5)&gt;=Assumptions!$B$11,1,0))*MIN(15/26*Census!$D75*(1+Assumptions!$B$9)^AS$5*(INT((Census!$F75+AS$5))+IF((Census!$F75+AS$5)-INT((Census!$F75+AS$5))&gt;0.5,1,0)),Assumptions!$B$10))</f>
        <v>0</v>
      </c>
      <c r="AT75" s="30">
        <f>IF(AT$5&gt;$B75,0,INDEX(Decrements!$G$6:$G$58,Census!$G75+AT$5-18)/INDEX(Decrements!$G$6:$G$58,Census!$G75-17)*(INDEX(Decrements!$D$6:$D$58,Census!$G75+AT$5-18)+IF(AT$5=$B75,INDEX(Decrements!$F$6:$F$58,Census!$G75+AT$5-18),0)+INDEX(Decrements!$E$6:$E$58,Census!$G75+AT$5-18)*IF((Census!$F75+AT$5)&gt;=Assumptions!$B$11,1,0))*MIN(15/26*Census!$D75*(1+Assumptions!$B$9)^AT$5*(INT((Census!$F75+AT$5))+IF((Census!$F75+AT$5)-INT((Census!$F75+AT$5))&gt;0.5,1,0)),Assumptions!$B$10))</f>
        <v>0</v>
      </c>
      <c r="AU75" s="30">
        <f>IF(AU$5&gt;$B75,0,INDEX(Decrements!$G$6:$G$58,Census!$G75+AU$5-18)/INDEX(Decrements!$G$6:$G$58,Census!$G75-17)*(INDEX(Decrements!$D$6:$D$58,Census!$G75+AU$5-18)+IF(AU$5=$B75,INDEX(Decrements!$F$6:$F$58,Census!$G75+AU$5-18),0)+INDEX(Decrements!$E$6:$E$58,Census!$G75+AU$5-18)*IF((Census!$F75+AU$5)&gt;=Assumptions!$B$11,1,0))*MIN(15/26*Census!$D75*(1+Assumptions!$B$9)^AU$5*(INT((Census!$F75+AU$5))+IF((Census!$F75+AU$5)-INT((Census!$F75+AU$5))&gt;0.5,1,0)),Assumptions!$B$10))</f>
        <v>0</v>
      </c>
    </row>
    <row r="76" spans="1:47" x14ac:dyDescent="0.3">
      <c r="A76" s="10" t="str">
        <f>Census!A76</f>
        <v>E071</v>
      </c>
      <c r="B76" s="29">
        <f>Census!H76</f>
        <v>19</v>
      </c>
      <c r="C76" s="30">
        <f>IF(C$5&gt;$B76,0,INDEX(Decrements!$G$6:$G$58,Census!$G76+C$5-18)/INDEX(Decrements!$G$6:$G$58,Census!$G76-17)*(INDEX(Decrements!$D$6:$D$58,Census!$G76+C$5-18)+IF(C$5=$B76,INDEX(Decrements!$F$6:$F$58,Census!$G76+C$5-18),0)+INDEX(Decrements!$E$6:$E$58,Census!$G76+C$5-18)*IF((Census!$F76+C$5)&gt;=Assumptions!$B$11,1,0))*MIN(15/26*Census!$D76*(1+Assumptions!$B$9)^C$5*(INT((Census!$F76+C$5))+IF((Census!$F76+C$5)-INT((Census!$F76+C$5))&gt;0.5,1,0)),Assumptions!$B$10))</f>
        <v>8661.4673221073554</v>
      </c>
      <c r="D76" s="30">
        <f>IF(D$5&gt;$B76,0,INDEX(Decrements!$G$6:$G$58,Census!$G76+D$5-18)/INDEX(Decrements!$G$6:$G$58,Census!$G76-17)*(INDEX(Decrements!$D$6:$D$58,Census!$G76+D$5-18)+IF(D$5=$B76,INDEX(Decrements!$F$6:$F$58,Census!$G76+D$5-18),0)+INDEX(Decrements!$E$6:$E$58,Census!$G76+D$5-18)*IF((Census!$F76+D$5)&gt;=Assumptions!$B$11,1,0))*MIN(15/26*Census!$D76*(1+Assumptions!$B$9)^D$5*(INT((Census!$F76+D$5))+IF((Census!$F76+D$5)-INT((Census!$F76+D$5))&gt;0.5,1,0)),Assumptions!$B$10))</f>
        <v>10372.779922920658</v>
      </c>
      <c r="E76" s="30">
        <f>IF(E$5&gt;$B76,0,INDEX(Decrements!$G$6:$G$58,Census!$G76+E$5-18)/INDEX(Decrements!$G$6:$G$58,Census!$G76-17)*(INDEX(Decrements!$D$6:$D$58,Census!$G76+E$5-18)+IF(E$5=$B76,INDEX(Decrements!$F$6:$F$58,Census!$G76+E$5-18),0)+INDEX(Decrements!$E$6:$E$58,Census!$G76+E$5-18)*IF((Census!$F76+E$5)&gt;=Assumptions!$B$11,1,0))*MIN(15/26*Census!$D76*(1+Assumptions!$B$9)^E$5*(INT((Census!$F76+E$5))+IF((Census!$F76+E$5)-INT((Census!$F76+E$5))&gt;0.5,1,0)),Assumptions!$B$10))</f>
        <v>12169.714211754512</v>
      </c>
      <c r="F76" s="30">
        <f>IF(F$5&gt;$B76,0,INDEX(Decrements!$G$6:$G$58,Census!$G76+F$5-18)/INDEX(Decrements!$G$6:$G$58,Census!$G76-17)*(INDEX(Decrements!$D$6:$D$58,Census!$G76+F$5-18)+IF(F$5=$B76,INDEX(Decrements!$F$6:$F$58,Census!$G76+F$5-18),0)+INDEX(Decrements!$E$6:$E$58,Census!$G76+F$5-18)*IF((Census!$F76+F$5)&gt;=Assumptions!$B$11,1,0))*MIN(15/26*Census!$D76*(1+Assumptions!$B$9)^F$5*(INT((Census!$F76+F$5))+IF((Census!$F76+F$5)-INT((Census!$F76+F$5))&gt;0.5,1,0)),Assumptions!$B$10))</f>
        <v>14056.130235963494</v>
      </c>
      <c r="G76" s="30">
        <f>IF(G$5&gt;$B76,0,INDEX(Decrements!$G$6:$G$58,Census!$G76+G$5-18)/INDEX(Decrements!$G$6:$G$58,Census!$G76-17)*(INDEX(Decrements!$D$6:$D$58,Census!$G76+G$5-18)+IF(G$5=$B76,INDEX(Decrements!$F$6:$F$58,Census!$G76+G$5-18),0)+INDEX(Decrements!$E$6:$E$58,Census!$G76+G$5-18)*IF((Census!$F76+G$5)&gt;=Assumptions!$B$11,1,0))*MIN(15/26*Census!$D76*(1+Assumptions!$B$9)^G$5*(INT((Census!$F76+G$5))+IF((Census!$F76+G$5)-INT((Census!$F76+G$5))&gt;0.5,1,0)),Assumptions!$B$10))</f>
        <v>9860.2328201565815</v>
      </c>
      <c r="H76" s="30">
        <f>IF(H$5&gt;$B76,0,INDEX(Decrements!$G$6:$G$58,Census!$G76+H$5-18)/INDEX(Decrements!$G$6:$G$58,Census!$G76-17)*(INDEX(Decrements!$D$6:$D$58,Census!$G76+H$5-18)+IF(H$5=$B76,INDEX(Decrements!$F$6:$F$58,Census!$G76+H$5-18),0)+INDEX(Decrements!$E$6:$E$58,Census!$G76+H$5-18)*IF((Census!$F76+H$5)&gt;=Assumptions!$B$11,1,0))*MIN(15/26*Census!$D76*(1+Assumptions!$B$9)^H$5*(INT((Census!$F76+H$5))+IF((Census!$F76+H$5)-INT((Census!$F76+H$5))&gt;0.5,1,0)),Assumptions!$B$10))</f>
        <v>11393.323462343251</v>
      </c>
      <c r="I76" s="30">
        <f>IF(I$5&gt;$B76,0,INDEX(Decrements!$G$6:$G$58,Census!$G76+I$5-18)/INDEX(Decrements!$G$6:$G$58,Census!$G76-17)*(INDEX(Decrements!$D$6:$D$58,Census!$G76+I$5-18)+IF(I$5=$B76,INDEX(Decrements!$F$6:$F$58,Census!$G76+I$5-18),0)+INDEX(Decrements!$E$6:$E$58,Census!$G76+I$5-18)*IF((Census!$F76+I$5)&gt;=Assumptions!$B$11,1,0))*MIN(15/26*Census!$D76*(1+Assumptions!$B$9)^I$5*(INT((Census!$F76+I$5))+IF((Census!$F76+I$5)-INT((Census!$F76+I$5))&gt;0.5,1,0)),Assumptions!$B$10))</f>
        <v>13059.704896218349</v>
      </c>
      <c r="J76" s="30">
        <f>IF(J$5&gt;$B76,0,INDEX(Decrements!$G$6:$G$58,Census!$G76+J$5-18)/INDEX(Decrements!$G$6:$G$58,Census!$G76-17)*(INDEX(Decrements!$D$6:$D$58,Census!$G76+J$5-18)+IF(J$5=$B76,INDEX(Decrements!$F$6:$F$58,Census!$G76+J$5-18),0)+INDEX(Decrements!$E$6:$E$58,Census!$G76+J$5-18)*IF((Census!$F76+J$5)&gt;=Assumptions!$B$11,1,0))*MIN(15/26*Census!$D76*(1+Assumptions!$B$9)^J$5*(INT((Census!$F76+J$5))+IF((Census!$F76+J$5)-INT((Census!$F76+J$5))&gt;0.5,1,0)),Assumptions!$B$10))</f>
        <v>14870.440701997915</v>
      </c>
      <c r="K76" s="30">
        <f>IF(K$5&gt;$B76,0,INDEX(Decrements!$G$6:$G$58,Census!$G76+K$5-18)/INDEX(Decrements!$G$6:$G$58,Census!$G76-17)*(INDEX(Decrements!$D$6:$D$58,Census!$G76+K$5-18)+IF(K$5=$B76,INDEX(Decrements!$F$6:$F$58,Census!$G76+K$5-18),0)+INDEX(Decrements!$E$6:$E$58,Census!$G76+K$5-18)*IF((Census!$F76+K$5)&gt;=Assumptions!$B$11,1,0))*MIN(15/26*Census!$D76*(1+Assumptions!$B$9)^K$5*(INT((Census!$F76+K$5))+IF((Census!$F76+K$5)-INT((Census!$F76+K$5))&gt;0.5,1,0)),Assumptions!$B$10))</f>
        <v>16837.657896187022</v>
      </c>
      <c r="L76" s="30">
        <f>IF(L$5&gt;$B76,0,INDEX(Decrements!$G$6:$G$58,Census!$G76+L$5-18)/INDEX(Decrements!$G$6:$G$58,Census!$G76-17)*(INDEX(Decrements!$D$6:$D$58,Census!$G76+L$5-18)+IF(L$5=$B76,INDEX(Decrements!$F$6:$F$58,Census!$G76+L$5-18),0)+INDEX(Decrements!$E$6:$E$58,Census!$G76+L$5-18)*IF((Census!$F76+L$5)&gt;=Assumptions!$B$11,1,0))*MIN(15/26*Census!$D76*(1+Assumptions!$B$9)^L$5*(INT((Census!$F76+L$5))+IF((Census!$F76+L$5)-INT((Census!$F76+L$5))&gt;0.5,1,0)),Assumptions!$B$10))</f>
        <v>13201.580928037025</v>
      </c>
      <c r="M76" s="30">
        <f>IF(M$5&gt;$B76,0,INDEX(Decrements!$G$6:$G$58,Census!$G76+M$5-18)/INDEX(Decrements!$G$6:$G$58,Census!$G76-17)*(INDEX(Decrements!$D$6:$D$58,Census!$G76+M$5-18)+IF(M$5=$B76,INDEX(Decrements!$F$6:$F$58,Census!$G76+M$5-18),0)+INDEX(Decrements!$E$6:$E$58,Census!$G76+M$5-18)*IF((Census!$F76+M$5)&gt;=Assumptions!$B$11,1,0))*MIN(15/26*Census!$D76*(1+Assumptions!$B$9)^M$5*(INT((Census!$F76+M$5))+IF((Census!$F76+M$5)-INT((Census!$F76+M$5))&gt;0.5,1,0)),Assumptions!$B$10))</f>
        <v>15018.312750200133</v>
      </c>
      <c r="N76" s="30">
        <f>IF(N$5&gt;$B76,0,INDEX(Decrements!$G$6:$G$58,Census!$G76+N$5-18)/INDEX(Decrements!$G$6:$G$58,Census!$G76-17)*(INDEX(Decrements!$D$6:$D$58,Census!$G76+N$5-18)+IF(N$5=$B76,INDEX(Decrements!$F$6:$F$58,Census!$G76+N$5-18),0)+INDEX(Decrements!$E$6:$E$58,Census!$G76+N$5-18)*IF((Census!$F76+N$5)&gt;=Assumptions!$B$11,1,0))*MIN(15/26*Census!$D76*(1+Assumptions!$B$9)^N$5*(INT((Census!$F76+N$5))+IF((Census!$F76+N$5)-INT((Census!$F76+N$5))&gt;0.5,1,0)),Assumptions!$B$10))</f>
        <v>17029.803187743648</v>
      </c>
      <c r="O76" s="30">
        <f>IF(O$5&gt;$B76,0,INDEX(Decrements!$G$6:$G$58,Census!$G76+O$5-18)/INDEX(Decrements!$G$6:$G$58,Census!$G76-17)*(INDEX(Decrements!$D$6:$D$58,Census!$G76+O$5-18)+IF(O$5=$B76,INDEX(Decrements!$F$6:$F$58,Census!$G76+O$5-18),0)+INDEX(Decrements!$E$6:$E$58,Census!$G76+O$5-18)*IF((Census!$F76+O$5)&gt;=Assumptions!$B$11,1,0))*MIN(15/26*Census!$D76*(1+Assumptions!$B$9)^O$5*(INT((Census!$F76+O$5))+IF((Census!$F76+O$5)-INT((Census!$F76+O$5))&gt;0.5,1,0)),Assumptions!$B$10))</f>
        <v>19257.722782572204</v>
      </c>
      <c r="P76" s="30">
        <f>IF(P$5&gt;$B76,0,INDEX(Decrements!$G$6:$G$58,Census!$G76+P$5-18)/INDEX(Decrements!$G$6:$G$58,Census!$G76-17)*(INDEX(Decrements!$D$6:$D$58,Census!$G76+P$5-18)+IF(P$5=$B76,INDEX(Decrements!$F$6:$F$58,Census!$G76+P$5-18),0)+INDEX(Decrements!$E$6:$E$58,Census!$G76+P$5-18)*IF((Census!$F76+P$5)&gt;=Assumptions!$B$11,1,0))*MIN(15/26*Census!$D76*(1+Assumptions!$B$9)^P$5*(INT((Census!$F76+P$5))+IF((Census!$F76+P$5)-INT((Census!$F76+P$5))&gt;0.5,1,0)),Assumptions!$B$10))</f>
        <v>21726.472904275459</v>
      </c>
      <c r="Q76" s="30">
        <f>IF(Q$5&gt;$B76,0,INDEX(Decrements!$G$6:$G$58,Census!$G76+Q$5-18)/INDEX(Decrements!$G$6:$G$58,Census!$G76-17)*(INDEX(Decrements!$D$6:$D$58,Census!$G76+Q$5-18)+IF(Q$5=$B76,INDEX(Decrements!$F$6:$F$58,Census!$G76+Q$5-18),0)+INDEX(Decrements!$E$6:$E$58,Census!$G76+Q$5-18)*IF((Census!$F76+Q$5)&gt;=Assumptions!$B$11,1,0))*MIN(15/26*Census!$D76*(1+Assumptions!$B$9)^Q$5*(INT((Census!$F76+Q$5))+IF((Census!$F76+Q$5)-INT((Census!$F76+Q$5))&gt;0.5,1,0)),Assumptions!$B$10))</f>
        <v>14427.962824277403</v>
      </c>
      <c r="R76" s="30">
        <f>IF(R$5&gt;$B76,0,INDEX(Decrements!$G$6:$G$58,Census!$G76+R$5-18)/INDEX(Decrements!$G$6:$G$58,Census!$G76-17)*(INDEX(Decrements!$D$6:$D$58,Census!$G76+R$5-18)+IF(R$5=$B76,INDEX(Decrements!$F$6:$F$58,Census!$G76+R$5-18),0)+INDEX(Decrements!$E$6:$E$58,Census!$G76+R$5-18)*IF((Census!$F76+R$5)&gt;=Assumptions!$B$11,1,0))*MIN(15/26*Census!$D76*(1+Assumptions!$B$9)^R$5*(INT((Census!$F76+R$5))+IF((Census!$F76+R$5)-INT((Census!$F76+R$5))&gt;0.5,1,0)),Assumptions!$B$10))</f>
        <v>16567.597782513611</v>
      </c>
      <c r="S76" s="30">
        <f>IF(S$5&gt;$B76,0,INDEX(Decrements!$G$6:$G$58,Census!$G76+S$5-18)/INDEX(Decrements!$G$6:$G$58,Census!$G76-17)*(INDEX(Decrements!$D$6:$D$58,Census!$G76+S$5-18)+IF(S$5=$B76,INDEX(Decrements!$F$6:$F$58,Census!$G76+S$5-18),0)+INDEX(Decrements!$E$6:$E$58,Census!$G76+S$5-18)*IF((Census!$F76+S$5)&gt;=Assumptions!$B$11,1,0))*MIN(15/26*Census!$D76*(1+Assumptions!$B$9)^S$5*(INT((Census!$F76+S$5))+IF((Census!$F76+S$5)-INT((Census!$F76+S$5))&gt;0.5,1,0)),Assumptions!$B$10))</f>
        <v>17950.475127238078</v>
      </c>
      <c r="T76" s="30">
        <f>IF(T$5&gt;$B76,0,INDEX(Decrements!$G$6:$G$58,Census!$G76+T$5-18)/INDEX(Decrements!$G$6:$G$58,Census!$G76-17)*(INDEX(Decrements!$D$6:$D$58,Census!$G76+T$5-18)+IF(T$5=$B76,INDEX(Decrements!$F$6:$F$58,Census!$G76+T$5-18),0)+INDEX(Decrements!$E$6:$E$58,Census!$G76+T$5-18)*IF((Census!$F76+T$5)&gt;=Assumptions!$B$11,1,0))*MIN(15/26*Census!$D76*(1+Assumptions!$B$9)^T$5*(INT((Census!$F76+T$5))+IF((Census!$F76+T$5)-INT((Census!$F76+T$5))&gt;0.5,1,0)),Assumptions!$B$10))</f>
        <v>18230.893468199578</v>
      </c>
      <c r="U76" s="30">
        <f>IF(U$5&gt;$B76,0,INDEX(Decrements!$G$6:$G$58,Census!$G76+U$5-18)/INDEX(Decrements!$G$6:$G$58,Census!$G76-17)*(INDEX(Decrements!$D$6:$D$58,Census!$G76+U$5-18)+IF(U$5=$B76,INDEX(Decrements!$F$6:$F$58,Census!$G76+U$5-18),0)+INDEX(Decrements!$E$6:$E$58,Census!$G76+U$5-18)*IF((Census!$F76+U$5)&gt;=Assumptions!$B$11,1,0))*MIN(15/26*Census!$D76*(1+Assumptions!$B$9)^U$5*(INT((Census!$F76+U$5))+IF((Census!$F76+U$5)-INT((Census!$F76+U$5))&gt;0.5,1,0)),Assumptions!$B$10))</f>
        <v>1149843.3512214439</v>
      </c>
      <c r="V76" s="30">
        <f>IF(V$5&gt;$B76,0,INDEX(Decrements!$G$6:$G$58,Census!$G76+V$5-18)/INDEX(Decrements!$G$6:$G$58,Census!$G76-17)*(INDEX(Decrements!$D$6:$D$58,Census!$G76+V$5-18)+IF(V$5=$B76,INDEX(Decrements!$F$6:$F$58,Census!$G76+V$5-18),0)+INDEX(Decrements!$E$6:$E$58,Census!$G76+V$5-18)*IF((Census!$F76+V$5)&gt;=Assumptions!$B$11,1,0))*MIN(15/26*Census!$D76*(1+Assumptions!$B$9)^V$5*(INT((Census!$F76+V$5))+IF((Census!$F76+V$5)-INT((Census!$F76+V$5))&gt;0.5,1,0)),Assumptions!$B$10))</f>
        <v>0</v>
      </c>
      <c r="W76" s="30">
        <f>IF(W$5&gt;$B76,0,INDEX(Decrements!$G$6:$G$58,Census!$G76+W$5-18)/INDEX(Decrements!$G$6:$G$58,Census!$G76-17)*(INDEX(Decrements!$D$6:$D$58,Census!$G76+W$5-18)+IF(W$5=$B76,INDEX(Decrements!$F$6:$F$58,Census!$G76+W$5-18),0)+INDEX(Decrements!$E$6:$E$58,Census!$G76+W$5-18)*IF((Census!$F76+W$5)&gt;=Assumptions!$B$11,1,0))*MIN(15/26*Census!$D76*(1+Assumptions!$B$9)^W$5*(INT((Census!$F76+W$5))+IF((Census!$F76+W$5)-INT((Census!$F76+W$5))&gt;0.5,1,0)),Assumptions!$B$10))</f>
        <v>0</v>
      </c>
      <c r="X76" s="30">
        <f>IF(X$5&gt;$B76,0,INDEX(Decrements!$G$6:$G$58,Census!$G76+X$5-18)/INDEX(Decrements!$G$6:$G$58,Census!$G76-17)*(INDEX(Decrements!$D$6:$D$58,Census!$G76+X$5-18)+IF(X$5=$B76,INDEX(Decrements!$F$6:$F$58,Census!$G76+X$5-18),0)+INDEX(Decrements!$E$6:$E$58,Census!$G76+X$5-18)*IF((Census!$F76+X$5)&gt;=Assumptions!$B$11,1,0))*MIN(15/26*Census!$D76*(1+Assumptions!$B$9)^X$5*(INT((Census!$F76+X$5))+IF((Census!$F76+X$5)-INT((Census!$F76+X$5))&gt;0.5,1,0)),Assumptions!$B$10))</f>
        <v>0</v>
      </c>
      <c r="Y76" s="30">
        <f>IF(Y$5&gt;$B76,0,INDEX(Decrements!$G$6:$G$58,Census!$G76+Y$5-18)/INDEX(Decrements!$G$6:$G$58,Census!$G76-17)*(INDEX(Decrements!$D$6:$D$58,Census!$G76+Y$5-18)+IF(Y$5=$B76,INDEX(Decrements!$F$6:$F$58,Census!$G76+Y$5-18),0)+INDEX(Decrements!$E$6:$E$58,Census!$G76+Y$5-18)*IF((Census!$F76+Y$5)&gt;=Assumptions!$B$11,1,0))*MIN(15/26*Census!$D76*(1+Assumptions!$B$9)^Y$5*(INT((Census!$F76+Y$5))+IF((Census!$F76+Y$5)-INT((Census!$F76+Y$5))&gt;0.5,1,0)),Assumptions!$B$10))</f>
        <v>0</v>
      </c>
      <c r="Z76" s="30">
        <f>IF(Z$5&gt;$B76,0,INDEX(Decrements!$G$6:$G$58,Census!$G76+Z$5-18)/INDEX(Decrements!$G$6:$G$58,Census!$G76-17)*(INDEX(Decrements!$D$6:$D$58,Census!$G76+Z$5-18)+IF(Z$5=$B76,INDEX(Decrements!$F$6:$F$58,Census!$G76+Z$5-18),0)+INDEX(Decrements!$E$6:$E$58,Census!$G76+Z$5-18)*IF((Census!$F76+Z$5)&gt;=Assumptions!$B$11,1,0))*MIN(15/26*Census!$D76*(1+Assumptions!$B$9)^Z$5*(INT((Census!$F76+Z$5))+IF((Census!$F76+Z$5)-INT((Census!$F76+Z$5))&gt;0.5,1,0)),Assumptions!$B$10))</f>
        <v>0</v>
      </c>
      <c r="AA76" s="30">
        <f>IF(AA$5&gt;$B76,0,INDEX(Decrements!$G$6:$G$58,Census!$G76+AA$5-18)/INDEX(Decrements!$G$6:$G$58,Census!$G76-17)*(INDEX(Decrements!$D$6:$D$58,Census!$G76+AA$5-18)+IF(AA$5=$B76,INDEX(Decrements!$F$6:$F$58,Census!$G76+AA$5-18),0)+INDEX(Decrements!$E$6:$E$58,Census!$G76+AA$5-18)*IF((Census!$F76+AA$5)&gt;=Assumptions!$B$11,1,0))*MIN(15/26*Census!$D76*(1+Assumptions!$B$9)^AA$5*(INT((Census!$F76+AA$5))+IF((Census!$F76+AA$5)-INT((Census!$F76+AA$5))&gt;0.5,1,0)),Assumptions!$B$10))</f>
        <v>0</v>
      </c>
      <c r="AB76" s="30">
        <f>IF(AB$5&gt;$B76,0,INDEX(Decrements!$G$6:$G$58,Census!$G76+AB$5-18)/INDEX(Decrements!$G$6:$G$58,Census!$G76-17)*(INDEX(Decrements!$D$6:$D$58,Census!$G76+AB$5-18)+IF(AB$5=$B76,INDEX(Decrements!$F$6:$F$58,Census!$G76+AB$5-18),0)+INDEX(Decrements!$E$6:$E$58,Census!$G76+AB$5-18)*IF((Census!$F76+AB$5)&gt;=Assumptions!$B$11,1,0))*MIN(15/26*Census!$D76*(1+Assumptions!$B$9)^AB$5*(INT((Census!$F76+AB$5))+IF((Census!$F76+AB$5)-INT((Census!$F76+AB$5))&gt;0.5,1,0)),Assumptions!$B$10))</f>
        <v>0</v>
      </c>
      <c r="AC76" s="30">
        <f>IF(AC$5&gt;$B76,0,INDEX(Decrements!$G$6:$G$58,Census!$G76+AC$5-18)/INDEX(Decrements!$G$6:$G$58,Census!$G76-17)*(INDEX(Decrements!$D$6:$D$58,Census!$G76+AC$5-18)+IF(AC$5=$B76,INDEX(Decrements!$F$6:$F$58,Census!$G76+AC$5-18),0)+INDEX(Decrements!$E$6:$E$58,Census!$G76+AC$5-18)*IF((Census!$F76+AC$5)&gt;=Assumptions!$B$11,1,0))*MIN(15/26*Census!$D76*(1+Assumptions!$B$9)^AC$5*(INT((Census!$F76+AC$5))+IF((Census!$F76+AC$5)-INT((Census!$F76+AC$5))&gt;0.5,1,0)),Assumptions!$B$10))</f>
        <v>0</v>
      </c>
      <c r="AD76" s="30">
        <f>IF(AD$5&gt;$B76,0,INDEX(Decrements!$G$6:$G$58,Census!$G76+AD$5-18)/INDEX(Decrements!$G$6:$G$58,Census!$G76-17)*(INDEX(Decrements!$D$6:$D$58,Census!$G76+AD$5-18)+IF(AD$5=$B76,INDEX(Decrements!$F$6:$F$58,Census!$G76+AD$5-18),0)+INDEX(Decrements!$E$6:$E$58,Census!$G76+AD$5-18)*IF((Census!$F76+AD$5)&gt;=Assumptions!$B$11,1,0))*MIN(15/26*Census!$D76*(1+Assumptions!$B$9)^AD$5*(INT((Census!$F76+AD$5))+IF((Census!$F76+AD$5)-INT((Census!$F76+AD$5))&gt;0.5,1,0)),Assumptions!$B$10))</f>
        <v>0</v>
      </c>
      <c r="AE76" s="30">
        <f>IF(AE$5&gt;$B76,0,INDEX(Decrements!$G$6:$G$58,Census!$G76+AE$5-18)/INDEX(Decrements!$G$6:$G$58,Census!$G76-17)*(INDEX(Decrements!$D$6:$D$58,Census!$G76+AE$5-18)+IF(AE$5=$B76,INDEX(Decrements!$F$6:$F$58,Census!$G76+AE$5-18),0)+INDEX(Decrements!$E$6:$E$58,Census!$G76+AE$5-18)*IF((Census!$F76+AE$5)&gt;=Assumptions!$B$11,1,0))*MIN(15/26*Census!$D76*(1+Assumptions!$B$9)^AE$5*(INT((Census!$F76+AE$5))+IF((Census!$F76+AE$5)-INT((Census!$F76+AE$5))&gt;0.5,1,0)),Assumptions!$B$10))</f>
        <v>0</v>
      </c>
      <c r="AF76" s="30">
        <f>IF(AF$5&gt;$B76,0,INDEX(Decrements!$G$6:$G$58,Census!$G76+AF$5-18)/INDEX(Decrements!$G$6:$G$58,Census!$G76-17)*(INDEX(Decrements!$D$6:$D$58,Census!$G76+AF$5-18)+IF(AF$5=$B76,INDEX(Decrements!$F$6:$F$58,Census!$G76+AF$5-18),0)+INDEX(Decrements!$E$6:$E$58,Census!$G76+AF$5-18)*IF((Census!$F76+AF$5)&gt;=Assumptions!$B$11,1,0))*MIN(15/26*Census!$D76*(1+Assumptions!$B$9)^AF$5*(INT((Census!$F76+AF$5))+IF((Census!$F76+AF$5)-INT((Census!$F76+AF$5))&gt;0.5,1,0)),Assumptions!$B$10))</f>
        <v>0</v>
      </c>
      <c r="AG76" s="30">
        <f>IF(AG$5&gt;$B76,0,INDEX(Decrements!$G$6:$G$58,Census!$G76+AG$5-18)/INDEX(Decrements!$G$6:$G$58,Census!$G76-17)*(INDEX(Decrements!$D$6:$D$58,Census!$G76+AG$5-18)+IF(AG$5=$B76,INDEX(Decrements!$F$6:$F$58,Census!$G76+AG$5-18),0)+INDEX(Decrements!$E$6:$E$58,Census!$G76+AG$5-18)*IF((Census!$F76+AG$5)&gt;=Assumptions!$B$11,1,0))*MIN(15/26*Census!$D76*(1+Assumptions!$B$9)^AG$5*(INT((Census!$F76+AG$5))+IF((Census!$F76+AG$5)-INT((Census!$F76+AG$5))&gt;0.5,1,0)),Assumptions!$B$10))</f>
        <v>0</v>
      </c>
      <c r="AH76" s="30">
        <f>IF(AH$5&gt;$B76,0,INDEX(Decrements!$G$6:$G$58,Census!$G76+AH$5-18)/INDEX(Decrements!$G$6:$G$58,Census!$G76-17)*(INDEX(Decrements!$D$6:$D$58,Census!$G76+AH$5-18)+IF(AH$5=$B76,INDEX(Decrements!$F$6:$F$58,Census!$G76+AH$5-18),0)+INDEX(Decrements!$E$6:$E$58,Census!$G76+AH$5-18)*IF((Census!$F76+AH$5)&gt;=Assumptions!$B$11,1,0))*MIN(15/26*Census!$D76*(1+Assumptions!$B$9)^AH$5*(INT((Census!$F76+AH$5))+IF((Census!$F76+AH$5)-INT((Census!$F76+AH$5))&gt;0.5,1,0)),Assumptions!$B$10))</f>
        <v>0</v>
      </c>
      <c r="AI76" s="30">
        <f>IF(AI$5&gt;$B76,0,INDEX(Decrements!$G$6:$G$58,Census!$G76+AI$5-18)/INDEX(Decrements!$G$6:$G$58,Census!$G76-17)*(INDEX(Decrements!$D$6:$D$58,Census!$G76+AI$5-18)+IF(AI$5=$B76,INDEX(Decrements!$F$6:$F$58,Census!$G76+AI$5-18),0)+INDEX(Decrements!$E$6:$E$58,Census!$G76+AI$5-18)*IF((Census!$F76+AI$5)&gt;=Assumptions!$B$11,1,0))*MIN(15/26*Census!$D76*(1+Assumptions!$B$9)^AI$5*(INT((Census!$F76+AI$5))+IF((Census!$F76+AI$5)-INT((Census!$F76+AI$5))&gt;0.5,1,0)),Assumptions!$B$10))</f>
        <v>0</v>
      </c>
      <c r="AJ76" s="30">
        <f>IF(AJ$5&gt;$B76,0,INDEX(Decrements!$G$6:$G$58,Census!$G76+AJ$5-18)/INDEX(Decrements!$G$6:$G$58,Census!$G76-17)*(INDEX(Decrements!$D$6:$D$58,Census!$G76+AJ$5-18)+IF(AJ$5=$B76,INDEX(Decrements!$F$6:$F$58,Census!$G76+AJ$5-18),0)+INDEX(Decrements!$E$6:$E$58,Census!$G76+AJ$5-18)*IF((Census!$F76+AJ$5)&gt;=Assumptions!$B$11,1,0))*MIN(15/26*Census!$D76*(1+Assumptions!$B$9)^AJ$5*(INT((Census!$F76+AJ$5))+IF((Census!$F76+AJ$5)-INT((Census!$F76+AJ$5))&gt;0.5,1,0)),Assumptions!$B$10))</f>
        <v>0</v>
      </c>
      <c r="AK76" s="30">
        <f>IF(AK$5&gt;$B76,0,INDEX(Decrements!$G$6:$G$58,Census!$G76+AK$5-18)/INDEX(Decrements!$G$6:$G$58,Census!$G76-17)*(INDEX(Decrements!$D$6:$D$58,Census!$G76+AK$5-18)+IF(AK$5=$B76,INDEX(Decrements!$F$6:$F$58,Census!$G76+AK$5-18),0)+INDEX(Decrements!$E$6:$E$58,Census!$G76+AK$5-18)*IF((Census!$F76+AK$5)&gt;=Assumptions!$B$11,1,0))*MIN(15/26*Census!$D76*(1+Assumptions!$B$9)^AK$5*(INT((Census!$F76+AK$5))+IF((Census!$F76+AK$5)-INT((Census!$F76+AK$5))&gt;0.5,1,0)),Assumptions!$B$10))</f>
        <v>0</v>
      </c>
      <c r="AL76" s="30">
        <f>IF(AL$5&gt;$B76,0,INDEX(Decrements!$G$6:$G$58,Census!$G76+AL$5-18)/INDEX(Decrements!$G$6:$G$58,Census!$G76-17)*(INDEX(Decrements!$D$6:$D$58,Census!$G76+AL$5-18)+IF(AL$5=$B76,INDEX(Decrements!$F$6:$F$58,Census!$G76+AL$5-18),0)+INDEX(Decrements!$E$6:$E$58,Census!$G76+AL$5-18)*IF((Census!$F76+AL$5)&gt;=Assumptions!$B$11,1,0))*MIN(15/26*Census!$D76*(1+Assumptions!$B$9)^AL$5*(INT((Census!$F76+AL$5))+IF((Census!$F76+AL$5)-INT((Census!$F76+AL$5))&gt;0.5,1,0)),Assumptions!$B$10))</f>
        <v>0</v>
      </c>
      <c r="AM76" s="30">
        <f>IF(AM$5&gt;$B76,0,INDEX(Decrements!$G$6:$G$58,Census!$G76+AM$5-18)/INDEX(Decrements!$G$6:$G$58,Census!$G76-17)*(INDEX(Decrements!$D$6:$D$58,Census!$G76+AM$5-18)+IF(AM$5=$B76,INDEX(Decrements!$F$6:$F$58,Census!$G76+AM$5-18),0)+INDEX(Decrements!$E$6:$E$58,Census!$G76+AM$5-18)*IF((Census!$F76+AM$5)&gt;=Assumptions!$B$11,1,0))*MIN(15/26*Census!$D76*(1+Assumptions!$B$9)^AM$5*(INT((Census!$F76+AM$5))+IF((Census!$F76+AM$5)-INT((Census!$F76+AM$5))&gt;0.5,1,0)),Assumptions!$B$10))</f>
        <v>0</v>
      </c>
      <c r="AN76" s="30">
        <f>IF(AN$5&gt;$B76,0,INDEX(Decrements!$G$6:$G$58,Census!$G76+AN$5-18)/INDEX(Decrements!$G$6:$G$58,Census!$G76-17)*(INDEX(Decrements!$D$6:$D$58,Census!$G76+AN$5-18)+IF(AN$5=$B76,INDEX(Decrements!$F$6:$F$58,Census!$G76+AN$5-18),0)+INDEX(Decrements!$E$6:$E$58,Census!$G76+AN$5-18)*IF((Census!$F76+AN$5)&gt;=Assumptions!$B$11,1,0))*MIN(15/26*Census!$D76*(1+Assumptions!$B$9)^AN$5*(INT((Census!$F76+AN$5))+IF((Census!$F76+AN$5)-INT((Census!$F76+AN$5))&gt;0.5,1,0)),Assumptions!$B$10))</f>
        <v>0</v>
      </c>
      <c r="AO76" s="30">
        <f>IF(AO$5&gt;$B76,0,INDEX(Decrements!$G$6:$G$58,Census!$G76+AO$5-18)/INDEX(Decrements!$G$6:$G$58,Census!$G76-17)*(INDEX(Decrements!$D$6:$D$58,Census!$G76+AO$5-18)+IF(AO$5=$B76,INDEX(Decrements!$F$6:$F$58,Census!$G76+AO$5-18),0)+INDEX(Decrements!$E$6:$E$58,Census!$G76+AO$5-18)*IF((Census!$F76+AO$5)&gt;=Assumptions!$B$11,1,0))*MIN(15/26*Census!$D76*(1+Assumptions!$B$9)^AO$5*(INT((Census!$F76+AO$5))+IF((Census!$F76+AO$5)-INT((Census!$F76+AO$5))&gt;0.5,1,0)),Assumptions!$B$10))</f>
        <v>0</v>
      </c>
      <c r="AP76" s="30">
        <f>IF(AP$5&gt;$B76,0,INDEX(Decrements!$G$6:$G$58,Census!$G76+AP$5-18)/INDEX(Decrements!$G$6:$G$58,Census!$G76-17)*(INDEX(Decrements!$D$6:$D$58,Census!$G76+AP$5-18)+IF(AP$5=$B76,INDEX(Decrements!$F$6:$F$58,Census!$G76+AP$5-18),0)+INDEX(Decrements!$E$6:$E$58,Census!$G76+AP$5-18)*IF((Census!$F76+AP$5)&gt;=Assumptions!$B$11,1,0))*MIN(15/26*Census!$D76*(1+Assumptions!$B$9)^AP$5*(INT((Census!$F76+AP$5))+IF((Census!$F76+AP$5)-INT((Census!$F76+AP$5))&gt;0.5,1,0)),Assumptions!$B$10))</f>
        <v>0</v>
      </c>
      <c r="AQ76" s="30">
        <f>IF(AQ$5&gt;$B76,0,INDEX(Decrements!$G$6:$G$58,Census!$G76+AQ$5-18)/INDEX(Decrements!$G$6:$G$58,Census!$G76-17)*(INDEX(Decrements!$D$6:$D$58,Census!$G76+AQ$5-18)+IF(AQ$5=$B76,INDEX(Decrements!$F$6:$F$58,Census!$G76+AQ$5-18),0)+INDEX(Decrements!$E$6:$E$58,Census!$G76+AQ$5-18)*IF((Census!$F76+AQ$5)&gt;=Assumptions!$B$11,1,0))*MIN(15/26*Census!$D76*(1+Assumptions!$B$9)^AQ$5*(INT((Census!$F76+AQ$5))+IF((Census!$F76+AQ$5)-INT((Census!$F76+AQ$5))&gt;0.5,1,0)),Assumptions!$B$10))</f>
        <v>0</v>
      </c>
      <c r="AR76" s="30">
        <f>IF(AR$5&gt;$B76,0,INDEX(Decrements!$G$6:$G$58,Census!$G76+AR$5-18)/INDEX(Decrements!$G$6:$G$58,Census!$G76-17)*(INDEX(Decrements!$D$6:$D$58,Census!$G76+AR$5-18)+IF(AR$5=$B76,INDEX(Decrements!$F$6:$F$58,Census!$G76+AR$5-18),0)+INDEX(Decrements!$E$6:$E$58,Census!$G76+AR$5-18)*IF((Census!$F76+AR$5)&gt;=Assumptions!$B$11,1,0))*MIN(15/26*Census!$D76*(1+Assumptions!$B$9)^AR$5*(INT((Census!$F76+AR$5))+IF((Census!$F76+AR$5)-INT((Census!$F76+AR$5))&gt;0.5,1,0)),Assumptions!$B$10))</f>
        <v>0</v>
      </c>
      <c r="AS76" s="30">
        <f>IF(AS$5&gt;$B76,0,INDEX(Decrements!$G$6:$G$58,Census!$G76+AS$5-18)/INDEX(Decrements!$G$6:$G$58,Census!$G76-17)*(INDEX(Decrements!$D$6:$D$58,Census!$G76+AS$5-18)+IF(AS$5=$B76,INDEX(Decrements!$F$6:$F$58,Census!$G76+AS$5-18),0)+INDEX(Decrements!$E$6:$E$58,Census!$G76+AS$5-18)*IF((Census!$F76+AS$5)&gt;=Assumptions!$B$11,1,0))*MIN(15/26*Census!$D76*(1+Assumptions!$B$9)^AS$5*(INT((Census!$F76+AS$5))+IF((Census!$F76+AS$5)-INT((Census!$F76+AS$5))&gt;0.5,1,0)),Assumptions!$B$10))</f>
        <v>0</v>
      </c>
      <c r="AT76" s="30">
        <f>IF(AT$5&gt;$B76,0,INDEX(Decrements!$G$6:$G$58,Census!$G76+AT$5-18)/INDEX(Decrements!$G$6:$G$58,Census!$G76-17)*(INDEX(Decrements!$D$6:$D$58,Census!$G76+AT$5-18)+IF(AT$5=$B76,INDEX(Decrements!$F$6:$F$58,Census!$G76+AT$5-18),0)+INDEX(Decrements!$E$6:$E$58,Census!$G76+AT$5-18)*IF((Census!$F76+AT$5)&gt;=Assumptions!$B$11,1,0))*MIN(15/26*Census!$D76*(1+Assumptions!$B$9)^AT$5*(INT((Census!$F76+AT$5))+IF((Census!$F76+AT$5)-INT((Census!$F76+AT$5))&gt;0.5,1,0)),Assumptions!$B$10))</f>
        <v>0</v>
      </c>
      <c r="AU76" s="30">
        <f>IF(AU$5&gt;$B76,0,INDEX(Decrements!$G$6:$G$58,Census!$G76+AU$5-18)/INDEX(Decrements!$G$6:$G$58,Census!$G76-17)*(INDEX(Decrements!$D$6:$D$58,Census!$G76+AU$5-18)+IF(AU$5=$B76,INDEX(Decrements!$F$6:$F$58,Census!$G76+AU$5-18),0)+INDEX(Decrements!$E$6:$E$58,Census!$G76+AU$5-18)*IF((Census!$F76+AU$5)&gt;=Assumptions!$B$11,1,0))*MIN(15/26*Census!$D76*(1+Assumptions!$B$9)^AU$5*(INT((Census!$F76+AU$5))+IF((Census!$F76+AU$5)-INT((Census!$F76+AU$5))&gt;0.5,1,0)),Assumptions!$B$10))</f>
        <v>0</v>
      </c>
    </row>
    <row r="77" spans="1:47" x14ac:dyDescent="0.3">
      <c r="A77" s="10" t="str">
        <f>Census!A77</f>
        <v>E072</v>
      </c>
      <c r="B77" s="29">
        <f>Census!H77</f>
        <v>6</v>
      </c>
      <c r="C77" s="30">
        <f>IF(C$5&gt;$B77,0,INDEX(Decrements!$G$6:$G$58,Census!$G77+C$5-18)/INDEX(Decrements!$G$6:$G$58,Census!$G77-17)*(INDEX(Decrements!$D$6:$D$58,Census!$G77+C$5-18)+IF(C$5=$B77,INDEX(Decrements!$F$6:$F$58,Census!$G77+C$5-18),0)+INDEX(Decrements!$E$6:$E$58,Census!$G77+C$5-18)*IF((Census!$F77+C$5)&gt;=Assumptions!$B$11,1,0))*MIN(15/26*Census!$D77*(1+Assumptions!$B$9)^C$5*(INT((Census!$F77+C$5))+IF((Census!$F77+C$5)-INT((Census!$F77+C$5))&gt;0.5,1,0)),Assumptions!$B$10))</f>
        <v>47837.188353481281</v>
      </c>
      <c r="D77" s="30">
        <f>IF(D$5&gt;$B77,0,INDEX(Decrements!$G$6:$G$58,Census!$G77+D$5-18)/INDEX(Decrements!$G$6:$G$58,Census!$G77-17)*(INDEX(Decrements!$D$6:$D$58,Census!$G77+D$5-18)+IF(D$5=$B77,INDEX(Decrements!$F$6:$F$58,Census!$G77+D$5-18),0)+INDEX(Decrements!$E$6:$E$58,Census!$G77+D$5-18)*IF((Census!$F77+D$5)&gt;=Assumptions!$B$11,1,0))*MIN(15/26*Census!$D77*(1+Assumptions!$B$9)^D$5*(INT((Census!$F77+D$5))+IF((Census!$F77+D$5)-INT((Census!$F77+D$5))&gt;0.5,1,0)),Assumptions!$B$10))</f>
        <v>27943.53090504419</v>
      </c>
      <c r="E77" s="30">
        <f>IF(E$5&gt;$B77,0,INDEX(Decrements!$G$6:$G$58,Census!$G77+E$5-18)/INDEX(Decrements!$G$6:$G$58,Census!$G77-17)*(INDEX(Decrements!$D$6:$D$58,Census!$G77+E$5-18)+IF(E$5=$B77,INDEX(Decrements!$F$6:$F$58,Census!$G77+E$5-18),0)+INDEX(Decrements!$E$6:$E$58,Census!$G77+E$5-18)*IF((Census!$F77+E$5)&gt;=Assumptions!$B$11,1,0))*MIN(15/26*Census!$D77*(1+Assumptions!$B$9)^E$5*(INT((Census!$F77+E$5))+IF((Census!$F77+E$5)-INT((Census!$F77+E$5))&gt;0.5,1,0)),Assumptions!$B$10))</f>
        <v>28295.850705602596</v>
      </c>
      <c r="F77" s="30">
        <f>IF(F$5&gt;$B77,0,INDEX(Decrements!$G$6:$G$58,Census!$G77+F$5-18)/INDEX(Decrements!$G$6:$G$58,Census!$G77-17)*(INDEX(Decrements!$D$6:$D$58,Census!$G77+F$5-18)+IF(F$5=$B77,INDEX(Decrements!$F$6:$F$58,Census!$G77+F$5-18),0)+INDEX(Decrements!$E$6:$E$58,Census!$G77+F$5-18)*IF((Census!$F77+F$5)&gt;=Assumptions!$B$11,1,0))*MIN(15/26*Census!$D77*(1+Assumptions!$B$9)^F$5*(INT((Census!$F77+F$5))+IF((Census!$F77+F$5)-INT((Census!$F77+F$5))&gt;0.5,1,0)),Assumptions!$B$10))</f>
        <v>28694.786715121227</v>
      </c>
      <c r="G77" s="30">
        <f>IF(G$5&gt;$B77,0,INDEX(Decrements!$G$6:$G$58,Census!$G77+G$5-18)/INDEX(Decrements!$G$6:$G$58,Census!$G77-17)*(INDEX(Decrements!$D$6:$D$58,Census!$G77+G$5-18)+IF(G$5=$B77,INDEX(Decrements!$F$6:$F$58,Census!$G77+G$5-18),0)+INDEX(Decrements!$E$6:$E$58,Census!$G77+G$5-18)*IF((Census!$F77+G$5)&gt;=Assumptions!$B$11,1,0))*MIN(15/26*Census!$D77*(1+Assumptions!$B$9)^G$5*(INT((Census!$F77+G$5))+IF((Census!$F77+G$5)-INT((Census!$F77+G$5))&gt;0.5,1,0)),Assumptions!$B$10))</f>
        <v>29143.050308583912</v>
      </c>
      <c r="H77" s="30">
        <f>IF(H$5&gt;$B77,0,INDEX(Decrements!$G$6:$G$58,Census!$G77+H$5-18)/INDEX(Decrements!$G$6:$G$58,Census!$G77-17)*(INDEX(Decrements!$D$6:$D$58,Census!$G77+H$5-18)+IF(H$5=$B77,INDEX(Decrements!$F$6:$F$58,Census!$G77+H$5-18),0)+INDEX(Decrements!$E$6:$E$58,Census!$G77+H$5-18)*IF((Census!$F77+H$5)&gt;=Assumptions!$B$11,1,0))*MIN(15/26*Census!$D77*(1+Assumptions!$B$9)^H$5*(INT((Census!$F77+H$5))+IF((Census!$F77+H$5)-INT((Census!$F77+H$5))&gt;0.5,1,0)),Assumptions!$B$10))</f>
        <v>1838085.5930121667</v>
      </c>
      <c r="I77" s="30">
        <f>IF(I$5&gt;$B77,0,INDEX(Decrements!$G$6:$G$58,Census!$G77+I$5-18)/INDEX(Decrements!$G$6:$G$58,Census!$G77-17)*(INDEX(Decrements!$D$6:$D$58,Census!$G77+I$5-18)+IF(I$5=$B77,INDEX(Decrements!$F$6:$F$58,Census!$G77+I$5-18),0)+INDEX(Decrements!$E$6:$E$58,Census!$G77+I$5-18)*IF((Census!$F77+I$5)&gt;=Assumptions!$B$11,1,0))*MIN(15/26*Census!$D77*(1+Assumptions!$B$9)^I$5*(INT((Census!$F77+I$5))+IF((Census!$F77+I$5)-INT((Census!$F77+I$5))&gt;0.5,1,0)),Assumptions!$B$10))</f>
        <v>0</v>
      </c>
      <c r="J77" s="30">
        <f>IF(J$5&gt;$B77,0,INDEX(Decrements!$G$6:$G$58,Census!$G77+J$5-18)/INDEX(Decrements!$G$6:$G$58,Census!$G77-17)*(INDEX(Decrements!$D$6:$D$58,Census!$G77+J$5-18)+IF(J$5=$B77,INDEX(Decrements!$F$6:$F$58,Census!$G77+J$5-18),0)+INDEX(Decrements!$E$6:$E$58,Census!$G77+J$5-18)*IF((Census!$F77+J$5)&gt;=Assumptions!$B$11,1,0))*MIN(15/26*Census!$D77*(1+Assumptions!$B$9)^J$5*(INT((Census!$F77+J$5))+IF((Census!$F77+J$5)-INT((Census!$F77+J$5))&gt;0.5,1,0)),Assumptions!$B$10))</f>
        <v>0</v>
      </c>
      <c r="K77" s="30">
        <f>IF(K$5&gt;$B77,0,INDEX(Decrements!$G$6:$G$58,Census!$G77+K$5-18)/INDEX(Decrements!$G$6:$G$58,Census!$G77-17)*(INDEX(Decrements!$D$6:$D$58,Census!$G77+K$5-18)+IF(K$5=$B77,INDEX(Decrements!$F$6:$F$58,Census!$G77+K$5-18),0)+INDEX(Decrements!$E$6:$E$58,Census!$G77+K$5-18)*IF((Census!$F77+K$5)&gt;=Assumptions!$B$11,1,0))*MIN(15/26*Census!$D77*(1+Assumptions!$B$9)^K$5*(INT((Census!$F77+K$5))+IF((Census!$F77+K$5)-INT((Census!$F77+K$5))&gt;0.5,1,0)),Assumptions!$B$10))</f>
        <v>0</v>
      </c>
      <c r="L77" s="30">
        <f>IF(L$5&gt;$B77,0,INDEX(Decrements!$G$6:$G$58,Census!$G77+L$5-18)/INDEX(Decrements!$G$6:$G$58,Census!$G77-17)*(INDEX(Decrements!$D$6:$D$58,Census!$G77+L$5-18)+IF(L$5=$B77,INDEX(Decrements!$F$6:$F$58,Census!$G77+L$5-18),0)+INDEX(Decrements!$E$6:$E$58,Census!$G77+L$5-18)*IF((Census!$F77+L$5)&gt;=Assumptions!$B$11,1,0))*MIN(15/26*Census!$D77*(1+Assumptions!$B$9)^L$5*(INT((Census!$F77+L$5))+IF((Census!$F77+L$5)-INT((Census!$F77+L$5))&gt;0.5,1,0)),Assumptions!$B$10))</f>
        <v>0</v>
      </c>
      <c r="M77" s="30">
        <f>IF(M$5&gt;$B77,0,INDEX(Decrements!$G$6:$G$58,Census!$G77+M$5-18)/INDEX(Decrements!$G$6:$G$58,Census!$G77-17)*(INDEX(Decrements!$D$6:$D$58,Census!$G77+M$5-18)+IF(M$5=$B77,INDEX(Decrements!$F$6:$F$58,Census!$G77+M$5-18),0)+INDEX(Decrements!$E$6:$E$58,Census!$G77+M$5-18)*IF((Census!$F77+M$5)&gt;=Assumptions!$B$11,1,0))*MIN(15/26*Census!$D77*(1+Assumptions!$B$9)^M$5*(INT((Census!$F77+M$5))+IF((Census!$F77+M$5)-INT((Census!$F77+M$5))&gt;0.5,1,0)),Assumptions!$B$10))</f>
        <v>0</v>
      </c>
      <c r="N77" s="30">
        <f>IF(N$5&gt;$B77,0,INDEX(Decrements!$G$6:$G$58,Census!$G77+N$5-18)/INDEX(Decrements!$G$6:$G$58,Census!$G77-17)*(INDEX(Decrements!$D$6:$D$58,Census!$G77+N$5-18)+IF(N$5=$B77,INDEX(Decrements!$F$6:$F$58,Census!$G77+N$5-18),0)+INDEX(Decrements!$E$6:$E$58,Census!$G77+N$5-18)*IF((Census!$F77+N$5)&gt;=Assumptions!$B$11,1,0))*MIN(15/26*Census!$D77*(1+Assumptions!$B$9)^N$5*(INT((Census!$F77+N$5))+IF((Census!$F77+N$5)-INT((Census!$F77+N$5))&gt;0.5,1,0)),Assumptions!$B$10))</f>
        <v>0</v>
      </c>
      <c r="O77" s="30">
        <f>IF(O$5&gt;$B77,0,INDEX(Decrements!$G$6:$G$58,Census!$G77+O$5-18)/INDEX(Decrements!$G$6:$G$58,Census!$G77-17)*(INDEX(Decrements!$D$6:$D$58,Census!$G77+O$5-18)+IF(O$5=$B77,INDEX(Decrements!$F$6:$F$58,Census!$G77+O$5-18),0)+INDEX(Decrements!$E$6:$E$58,Census!$G77+O$5-18)*IF((Census!$F77+O$5)&gt;=Assumptions!$B$11,1,0))*MIN(15/26*Census!$D77*(1+Assumptions!$B$9)^O$5*(INT((Census!$F77+O$5))+IF((Census!$F77+O$5)-INT((Census!$F77+O$5))&gt;0.5,1,0)),Assumptions!$B$10))</f>
        <v>0</v>
      </c>
      <c r="P77" s="30">
        <f>IF(P$5&gt;$B77,0,INDEX(Decrements!$G$6:$G$58,Census!$G77+P$5-18)/INDEX(Decrements!$G$6:$G$58,Census!$G77-17)*(INDEX(Decrements!$D$6:$D$58,Census!$G77+P$5-18)+IF(P$5=$B77,INDEX(Decrements!$F$6:$F$58,Census!$G77+P$5-18),0)+INDEX(Decrements!$E$6:$E$58,Census!$G77+P$5-18)*IF((Census!$F77+P$5)&gt;=Assumptions!$B$11,1,0))*MIN(15/26*Census!$D77*(1+Assumptions!$B$9)^P$5*(INT((Census!$F77+P$5))+IF((Census!$F77+P$5)-INT((Census!$F77+P$5))&gt;0.5,1,0)),Assumptions!$B$10))</f>
        <v>0</v>
      </c>
      <c r="Q77" s="30">
        <f>IF(Q$5&gt;$B77,0,INDEX(Decrements!$G$6:$G$58,Census!$G77+Q$5-18)/INDEX(Decrements!$G$6:$G$58,Census!$G77-17)*(INDEX(Decrements!$D$6:$D$58,Census!$G77+Q$5-18)+IF(Q$5=$B77,INDEX(Decrements!$F$6:$F$58,Census!$G77+Q$5-18),0)+INDEX(Decrements!$E$6:$E$58,Census!$G77+Q$5-18)*IF((Census!$F77+Q$5)&gt;=Assumptions!$B$11,1,0))*MIN(15/26*Census!$D77*(1+Assumptions!$B$9)^Q$5*(INT((Census!$F77+Q$5))+IF((Census!$F77+Q$5)-INT((Census!$F77+Q$5))&gt;0.5,1,0)),Assumptions!$B$10))</f>
        <v>0</v>
      </c>
      <c r="R77" s="30">
        <f>IF(R$5&gt;$B77,0,INDEX(Decrements!$G$6:$G$58,Census!$G77+R$5-18)/INDEX(Decrements!$G$6:$G$58,Census!$G77-17)*(INDEX(Decrements!$D$6:$D$58,Census!$G77+R$5-18)+IF(R$5=$B77,INDEX(Decrements!$F$6:$F$58,Census!$G77+R$5-18),0)+INDEX(Decrements!$E$6:$E$58,Census!$G77+R$5-18)*IF((Census!$F77+R$5)&gt;=Assumptions!$B$11,1,0))*MIN(15/26*Census!$D77*(1+Assumptions!$B$9)^R$5*(INT((Census!$F77+R$5))+IF((Census!$F77+R$5)-INT((Census!$F77+R$5))&gt;0.5,1,0)),Assumptions!$B$10))</f>
        <v>0</v>
      </c>
      <c r="S77" s="30">
        <f>IF(S$5&gt;$B77,0,INDEX(Decrements!$G$6:$G$58,Census!$G77+S$5-18)/INDEX(Decrements!$G$6:$G$58,Census!$G77-17)*(INDEX(Decrements!$D$6:$D$58,Census!$G77+S$5-18)+IF(S$5=$B77,INDEX(Decrements!$F$6:$F$58,Census!$G77+S$5-18),0)+INDEX(Decrements!$E$6:$E$58,Census!$G77+S$5-18)*IF((Census!$F77+S$5)&gt;=Assumptions!$B$11,1,0))*MIN(15/26*Census!$D77*(1+Assumptions!$B$9)^S$5*(INT((Census!$F77+S$5))+IF((Census!$F77+S$5)-INT((Census!$F77+S$5))&gt;0.5,1,0)),Assumptions!$B$10))</f>
        <v>0</v>
      </c>
      <c r="T77" s="30">
        <f>IF(T$5&gt;$B77,0,INDEX(Decrements!$G$6:$G$58,Census!$G77+T$5-18)/INDEX(Decrements!$G$6:$G$58,Census!$G77-17)*(INDEX(Decrements!$D$6:$D$58,Census!$G77+T$5-18)+IF(T$5=$B77,INDEX(Decrements!$F$6:$F$58,Census!$G77+T$5-18),0)+INDEX(Decrements!$E$6:$E$58,Census!$G77+T$5-18)*IF((Census!$F77+T$5)&gt;=Assumptions!$B$11,1,0))*MIN(15/26*Census!$D77*(1+Assumptions!$B$9)^T$5*(INT((Census!$F77+T$5))+IF((Census!$F77+T$5)-INT((Census!$F77+T$5))&gt;0.5,1,0)),Assumptions!$B$10))</f>
        <v>0</v>
      </c>
      <c r="U77" s="30">
        <f>IF(U$5&gt;$B77,0,INDEX(Decrements!$G$6:$G$58,Census!$G77+U$5-18)/INDEX(Decrements!$G$6:$G$58,Census!$G77-17)*(INDEX(Decrements!$D$6:$D$58,Census!$G77+U$5-18)+IF(U$5=$B77,INDEX(Decrements!$F$6:$F$58,Census!$G77+U$5-18),0)+INDEX(Decrements!$E$6:$E$58,Census!$G77+U$5-18)*IF((Census!$F77+U$5)&gt;=Assumptions!$B$11,1,0))*MIN(15/26*Census!$D77*(1+Assumptions!$B$9)^U$5*(INT((Census!$F77+U$5))+IF((Census!$F77+U$5)-INT((Census!$F77+U$5))&gt;0.5,1,0)),Assumptions!$B$10))</f>
        <v>0</v>
      </c>
      <c r="V77" s="30">
        <f>IF(V$5&gt;$B77,0,INDEX(Decrements!$G$6:$G$58,Census!$G77+V$5-18)/INDEX(Decrements!$G$6:$G$58,Census!$G77-17)*(INDEX(Decrements!$D$6:$D$58,Census!$G77+V$5-18)+IF(V$5=$B77,INDEX(Decrements!$F$6:$F$58,Census!$G77+V$5-18),0)+INDEX(Decrements!$E$6:$E$58,Census!$G77+V$5-18)*IF((Census!$F77+V$5)&gt;=Assumptions!$B$11,1,0))*MIN(15/26*Census!$D77*(1+Assumptions!$B$9)^V$5*(INT((Census!$F77+V$5))+IF((Census!$F77+V$5)-INT((Census!$F77+V$5))&gt;0.5,1,0)),Assumptions!$B$10))</f>
        <v>0</v>
      </c>
      <c r="W77" s="30">
        <f>IF(W$5&gt;$B77,0,INDEX(Decrements!$G$6:$G$58,Census!$G77+W$5-18)/INDEX(Decrements!$G$6:$G$58,Census!$G77-17)*(INDEX(Decrements!$D$6:$D$58,Census!$G77+W$5-18)+IF(W$5=$B77,INDEX(Decrements!$F$6:$F$58,Census!$G77+W$5-18),0)+INDEX(Decrements!$E$6:$E$58,Census!$G77+W$5-18)*IF((Census!$F77+W$5)&gt;=Assumptions!$B$11,1,0))*MIN(15/26*Census!$D77*(1+Assumptions!$B$9)^W$5*(INT((Census!$F77+W$5))+IF((Census!$F77+W$5)-INT((Census!$F77+W$5))&gt;0.5,1,0)),Assumptions!$B$10))</f>
        <v>0</v>
      </c>
      <c r="X77" s="30">
        <f>IF(X$5&gt;$B77,0,INDEX(Decrements!$G$6:$G$58,Census!$G77+X$5-18)/INDEX(Decrements!$G$6:$G$58,Census!$G77-17)*(INDEX(Decrements!$D$6:$D$58,Census!$G77+X$5-18)+IF(X$5=$B77,INDEX(Decrements!$F$6:$F$58,Census!$G77+X$5-18),0)+INDEX(Decrements!$E$6:$E$58,Census!$G77+X$5-18)*IF((Census!$F77+X$5)&gt;=Assumptions!$B$11,1,0))*MIN(15/26*Census!$D77*(1+Assumptions!$B$9)^X$5*(INT((Census!$F77+X$5))+IF((Census!$F77+X$5)-INT((Census!$F77+X$5))&gt;0.5,1,0)),Assumptions!$B$10))</f>
        <v>0</v>
      </c>
      <c r="Y77" s="30">
        <f>IF(Y$5&gt;$B77,0,INDEX(Decrements!$G$6:$G$58,Census!$G77+Y$5-18)/INDEX(Decrements!$G$6:$G$58,Census!$G77-17)*(INDEX(Decrements!$D$6:$D$58,Census!$G77+Y$5-18)+IF(Y$5=$B77,INDEX(Decrements!$F$6:$F$58,Census!$G77+Y$5-18),0)+INDEX(Decrements!$E$6:$E$58,Census!$G77+Y$5-18)*IF((Census!$F77+Y$5)&gt;=Assumptions!$B$11,1,0))*MIN(15/26*Census!$D77*(1+Assumptions!$B$9)^Y$5*(INT((Census!$F77+Y$5))+IF((Census!$F77+Y$5)-INT((Census!$F77+Y$5))&gt;0.5,1,0)),Assumptions!$B$10))</f>
        <v>0</v>
      </c>
      <c r="Z77" s="30">
        <f>IF(Z$5&gt;$B77,0,INDEX(Decrements!$G$6:$G$58,Census!$G77+Z$5-18)/INDEX(Decrements!$G$6:$G$58,Census!$G77-17)*(INDEX(Decrements!$D$6:$D$58,Census!$G77+Z$5-18)+IF(Z$5=$B77,INDEX(Decrements!$F$6:$F$58,Census!$G77+Z$5-18),0)+INDEX(Decrements!$E$6:$E$58,Census!$G77+Z$5-18)*IF((Census!$F77+Z$5)&gt;=Assumptions!$B$11,1,0))*MIN(15/26*Census!$D77*(1+Assumptions!$B$9)^Z$5*(INT((Census!$F77+Z$5))+IF((Census!$F77+Z$5)-INT((Census!$F77+Z$5))&gt;0.5,1,0)),Assumptions!$B$10))</f>
        <v>0</v>
      </c>
      <c r="AA77" s="30">
        <f>IF(AA$5&gt;$B77,0,INDEX(Decrements!$G$6:$G$58,Census!$G77+AA$5-18)/INDEX(Decrements!$G$6:$G$58,Census!$G77-17)*(INDEX(Decrements!$D$6:$D$58,Census!$G77+AA$5-18)+IF(AA$5=$B77,INDEX(Decrements!$F$6:$F$58,Census!$G77+AA$5-18),0)+INDEX(Decrements!$E$6:$E$58,Census!$G77+AA$5-18)*IF((Census!$F77+AA$5)&gt;=Assumptions!$B$11,1,0))*MIN(15/26*Census!$D77*(1+Assumptions!$B$9)^AA$5*(INT((Census!$F77+AA$5))+IF((Census!$F77+AA$5)-INT((Census!$F77+AA$5))&gt;0.5,1,0)),Assumptions!$B$10))</f>
        <v>0</v>
      </c>
      <c r="AB77" s="30">
        <f>IF(AB$5&gt;$B77,0,INDEX(Decrements!$G$6:$G$58,Census!$G77+AB$5-18)/INDEX(Decrements!$G$6:$G$58,Census!$G77-17)*(INDEX(Decrements!$D$6:$D$58,Census!$G77+AB$5-18)+IF(AB$5=$B77,INDEX(Decrements!$F$6:$F$58,Census!$G77+AB$5-18),0)+INDEX(Decrements!$E$6:$E$58,Census!$G77+AB$5-18)*IF((Census!$F77+AB$5)&gt;=Assumptions!$B$11,1,0))*MIN(15/26*Census!$D77*(1+Assumptions!$B$9)^AB$5*(INT((Census!$F77+AB$5))+IF((Census!$F77+AB$5)-INT((Census!$F77+AB$5))&gt;0.5,1,0)),Assumptions!$B$10))</f>
        <v>0</v>
      </c>
      <c r="AC77" s="30">
        <f>IF(AC$5&gt;$B77,0,INDEX(Decrements!$G$6:$G$58,Census!$G77+AC$5-18)/INDEX(Decrements!$G$6:$G$58,Census!$G77-17)*(INDEX(Decrements!$D$6:$D$58,Census!$G77+AC$5-18)+IF(AC$5=$B77,INDEX(Decrements!$F$6:$F$58,Census!$G77+AC$5-18),0)+INDEX(Decrements!$E$6:$E$58,Census!$G77+AC$5-18)*IF((Census!$F77+AC$5)&gt;=Assumptions!$B$11,1,0))*MIN(15/26*Census!$D77*(1+Assumptions!$B$9)^AC$5*(INT((Census!$F77+AC$5))+IF((Census!$F77+AC$5)-INT((Census!$F77+AC$5))&gt;0.5,1,0)),Assumptions!$B$10))</f>
        <v>0</v>
      </c>
      <c r="AD77" s="30">
        <f>IF(AD$5&gt;$B77,0,INDEX(Decrements!$G$6:$G$58,Census!$G77+AD$5-18)/INDEX(Decrements!$G$6:$G$58,Census!$G77-17)*(INDEX(Decrements!$D$6:$D$58,Census!$G77+AD$5-18)+IF(AD$5=$B77,INDEX(Decrements!$F$6:$F$58,Census!$G77+AD$5-18),0)+INDEX(Decrements!$E$6:$E$58,Census!$G77+AD$5-18)*IF((Census!$F77+AD$5)&gt;=Assumptions!$B$11,1,0))*MIN(15/26*Census!$D77*(1+Assumptions!$B$9)^AD$5*(INT((Census!$F77+AD$5))+IF((Census!$F77+AD$5)-INT((Census!$F77+AD$5))&gt;0.5,1,0)),Assumptions!$B$10))</f>
        <v>0</v>
      </c>
      <c r="AE77" s="30">
        <f>IF(AE$5&gt;$B77,0,INDEX(Decrements!$G$6:$G$58,Census!$G77+AE$5-18)/INDEX(Decrements!$G$6:$G$58,Census!$G77-17)*(INDEX(Decrements!$D$6:$D$58,Census!$G77+AE$5-18)+IF(AE$5=$B77,INDEX(Decrements!$F$6:$F$58,Census!$G77+AE$5-18),0)+INDEX(Decrements!$E$6:$E$58,Census!$G77+AE$5-18)*IF((Census!$F77+AE$5)&gt;=Assumptions!$B$11,1,0))*MIN(15/26*Census!$D77*(1+Assumptions!$B$9)^AE$5*(INT((Census!$F77+AE$5))+IF((Census!$F77+AE$5)-INT((Census!$F77+AE$5))&gt;0.5,1,0)),Assumptions!$B$10))</f>
        <v>0</v>
      </c>
      <c r="AF77" s="30">
        <f>IF(AF$5&gt;$B77,0,INDEX(Decrements!$G$6:$G$58,Census!$G77+AF$5-18)/INDEX(Decrements!$G$6:$G$58,Census!$G77-17)*(INDEX(Decrements!$D$6:$D$58,Census!$G77+AF$5-18)+IF(AF$5=$B77,INDEX(Decrements!$F$6:$F$58,Census!$G77+AF$5-18),0)+INDEX(Decrements!$E$6:$E$58,Census!$G77+AF$5-18)*IF((Census!$F77+AF$5)&gt;=Assumptions!$B$11,1,0))*MIN(15/26*Census!$D77*(1+Assumptions!$B$9)^AF$5*(INT((Census!$F77+AF$5))+IF((Census!$F77+AF$5)-INT((Census!$F77+AF$5))&gt;0.5,1,0)),Assumptions!$B$10))</f>
        <v>0</v>
      </c>
      <c r="AG77" s="30">
        <f>IF(AG$5&gt;$B77,0,INDEX(Decrements!$G$6:$G$58,Census!$G77+AG$5-18)/INDEX(Decrements!$G$6:$G$58,Census!$G77-17)*(INDEX(Decrements!$D$6:$D$58,Census!$G77+AG$5-18)+IF(AG$5=$B77,INDEX(Decrements!$F$6:$F$58,Census!$G77+AG$5-18),0)+INDEX(Decrements!$E$6:$E$58,Census!$G77+AG$5-18)*IF((Census!$F77+AG$5)&gt;=Assumptions!$B$11,1,0))*MIN(15/26*Census!$D77*(1+Assumptions!$B$9)^AG$5*(INT((Census!$F77+AG$5))+IF((Census!$F77+AG$5)-INT((Census!$F77+AG$5))&gt;0.5,1,0)),Assumptions!$B$10))</f>
        <v>0</v>
      </c>
      <c r="AH77" s="30">
        <f>IF(AH$5&gt;$B77,0,INDEX(Decrements!$G$6:$G$58,Census!$G77+AH$5-18)/INDEX(Decrements!$G$6:$G$58,Census!$G77-17)*(INDEX(Decrements!$D$6:$D$58,Census!$G77+AH$5-18)+IF(AH$5=$B77,INDEX(Decrements!$F$6:$F$58,Census!$G77+AH$5-18),0)+INDEX(Decrements!$E$6:$E$58,Census!$G77+AH$5-18)*IF((Census!$F77+AH$5)&gt;=Assumptions!$B$11,1,0))*MIN(15/26*Census!$D77*(1+Assumptions!$B$9)^AH$5*(INT((Census!$F77+AH$5))+IF((Census!$F77+AH$5)-INT((Census!$F77+AH$5))&gt;0.5,1,0)),Assumptions!$B$10))</f>
        <v>0</v>
      </c>
      <c r="AI77" s="30">
        <f>IF(AI$5&gt;$B77,0,INDEX(Decrements!$G$6:$G$58,Census!$G77+AI$5-18)/INDEX(Decrements!$G$6:$G$58,Census!$G77-17)*(INDEX(Decrements!$D$6:$D$58,Census!$G77+AI$5-18)+IF(AI$5=$B77,INDEX(Decrements!$F$6:$F$58,Census!$G77+AI$5-18),0)+INDEX(Decrements!$E$6:$E$58,Census!$G77+AI$5-18)*IF((Census!$F77+AI$5)&gt;=Assumptions!$B$11,1,0))*MIN(15/26*Census!$D77*(1+Assumptions!$B$9)^AI$5*(INT((Census!$F77+AI$5))+IF((Census!$F77+AI$5)-INT((Census!$F77+AI$5))&gt;0.5,1,0)),Assumptions!$B$10))</f>
        <v>0</v>
      </c>
      <c r="AJ77" s="30">
        <f>IF(AJ$5&gt;$B77,0,INDEX(Decrements!$G$6:$G$58,Census!$G77+AJ$5-18)/INDEX(Decrements!$G$6:$G$58,Census!$G77-17)*(INDEX(Decrements!$D$6:$D$58,Census!$G77+AJ$5-18)+IF(AJ$5=$B77,INDEX(Decrements!$F$6:$F$58,Census!$G77+AJ$5-18),0)+INDEX(Decrements!$E$6:$E$58,Census!$G77+AJ$5-18)*IF((Census!$F77+AJ$5)&gt;=Assumptions!$B$11,1,0))*MIN(15/26*Census!$D77*(1+Assumptions!$B$9)^AJ$5*(INT((Census!$F77+AJ$5))+IF((Census!$F77+AJ$5)-INT((Census!$F77+AJ$5))&gt;0.5,1,0)),Assumptions!$B$10))</f>
        <v>0</v>
      </c>
      <c r="AK77" s="30">
        <f>IF(AK$5&gt;$B77,0,INDEX(Decrements!$G$6:$G$58,Census!$G77+AK$5-18)/INDEX(Decrements!$G$6:$G$58,Census!$G77-17)*(INDEX(Decrements!$D$6:$D$58,Census!$G77+AK$5-18)+IF(AK$5=$B77,INDEX(Decrements!$F$6:$F$58,Census!$G77+AK$5-18),0)+INDEX(Decrements!$E$6:$E$58,Census!$G77+AK$5-18)*IF((Census!$F77+AK$5)&gt;=Assumptions!$B$11,1,0))*MIN(15/26*Census!$D77*(1+Assumptions!$B$9)^AK$5*(INT((Census!$F77+AK$5))+IF((Census!$F77+AK$5)-INT((Census!$F77+AK$5))&gt;0.5,1,0)),Assumptions!$B$10))</f>
        <v>0</v>
      </c>
      <c r="AL77" s="30">
        <f>IF(AL$5&gt;$B77,0,INDEX(Decrements!$G$6:$G$58,Census!$G77+AL$5-18)/INDEX(Decrements!$G$6:$G$58,Census!$G77-17)*(INDEX(Decrements!$D$6:$D$58,Census!$G77+AL$5-18)+IF(AL$5=$B77,INDEX(Decrements!$F$6:$F$58,Census!$G77+AL$5-18),0)+INDEX(Decrements!$E$6:$E$58,Census!$G77+AL$5-18)*IF((Census!$F77+AL$5)&gt;=Assumptions!$B$11,1,0))*MIN(15/26*Census!$D77*(1+Assumptions!$B$9)^AL$5*(INT((Census!$F77+AL$5))+IF((Census!$F77+AL$5)-INT((Census!$F77+AL$5))&gt;0.5,1,0)),Assumptions!$B$10))</f>
        <v>0</v>
      </c>
      <c r="AM77" s="30">
        <f>IF(AM$5&gt;$B77,0,INDEX(Decrements!$G$6:$G$58,Census!$G77+AM$5-18)/INDEX(Decrements!$G$6:$G$58,Census!$G77-17)*(INDEX(Decrements!$D$6:$D$58,Census!$G77+AM$5-18)+IF(AM$5=$B77,INDEX(Decrements!$F$6:$F$58,Census!$G77+AM$5-18),0)+INDEX(Decrements!$E$6:$E$58,Census!$G77+AM$5-18)*IF((Census!$F77+AM$5)&gt;=Assumptions!$B$11,1,0))*MIN(15/26*Census!$D77*(1+Assumptions!$B$9)^AM$5*(INT((Census!$F77+AM$5))+IF((Census!$F77+AM$5)-INT((Census!$F77+AM$5))&gt;0.5,1,0)),Assumptions!$B$10))</f>
        <v>0</v>
      </c>
      <c r="AN77" s="30">
        <f>IF(AN$5&gt;$B77,0,INDEX(Decrements!$G$6:$G$58,Census!$G77+AN$5-18)/INDEX(Decrements!$G$6:$G$58,Census!$G77-17)*(INDEX(Decrements!$D$6:$D$58,Census!$G77+AN$5-18)+IF(AN$5=$B77,INDEX(Decrements!$F$6:$F$58,Census!$G77+AN$5-18),0)+INDEX(Decrements!$E$6:$E$58,Census!$G77+AN$5-18)*IF((Census!$F77+AN$5)&gt;=Assumptions!$B$11,1,0))*MIN(15/26*Census!$D77*(1+Assumptions!$B$9)^AN$5*(INT((Census!$F77+AN$5))+IF((Census!$F77+AN$5)-INT((Census!$F77+AN$5))&gt;0.5,1,0)),Assumptions!$B$10))</f>
        <v>0</v>
      </c>
      <c r="AO77" s="30">
        <f>IF(AO$5&gt;$B77,0,INDEX(Decrements!$G$6:$G$58,Census!$G77+AO$5-18)/INDEX(Decrements!$G$6:$G$58,Census!$G77-17)*(INDEX(Decrements!$D$6:$D$58,Census!$G77+AO$5-18)+IF(AO$5=$B77,INDEX(Decrements!$F$6:$F$58,Census!$G77+AO$5-18),0)+INDEX(Decrements!$E$6:$E$58,Census!$G77+AO$5-18)*IF((Census!$F77+AO$5)&gt;=Assumptions!$B$11,1,0))*MIN(15/26*Census!$D77*(1+Assumptions!$B$9)^AO$5*(INT((Census!$F77+AO$5))+IF((Census!$F77+AO$5)-INT((Census!$F77+AO$5))&gt;0.5,1,0)),Assumptions!$B$10))</f>
        <v>0</v>
      </c>
      <c r="AP77" s="30">
        <f>IF(AP$5&gt;$B77,0,INDEX(Decrements!$G$6:$G$58,Census!$G77+AP$5-18)/INDEX(Decrements!$G$6:$G$58,Census!$G77-17)*(INDEX(Decrements!$D$6:$D$58,Census!$G77+AP$5-18)+IF(AP$5=$B77,INDEX(Decrements!$F$6:$F$58,Census!$G77+AP$5-18),0)+INDEX(Decrements!$E$6:$E$58,Census!$G77+AP$5-18)*IF((Census!$F77+AP$5)&gt;=Assumptions!$B$11,1,0))*MIN(15/26*Census!$D77*(1+Assumptions!$B$9)^AP$5*(INT((Census!$F77+AP$5))+IF((Census!$F77+AP$5)-INT((Census!$F77+AP$5))&gt;0.5,1,0)),Assumptions!$B$10))</f>
        <v>0</v>
      </c>
      <c r="AQ77" s="30">
        <f>IF(AQ$5&gt;$B77,0,INDEX(Decrements!$G$6:$G$58,Census!$G77+AQ$5-18)/INDEX(Decrements!$G$6:$G$58,Census!$G77-17)*(INDEX(Decrements!$D$6:$D$58,Census!$G77+AQ$5-18)+IF(AQ$5=$B77,INDEX(Decrements!$F$6:$F$58,Census!$G77+AQ$5-18),0)+INDEX(Decrements!$E$6:$E$58,Census!$G77+AQ$5-18)*IF((Census!$F77+AQ$5)&gt;=Assumptions!$B$11,1,0))*MIN(15/26*Census!$D77*(1+Assumptions!$B$9)^AQ$5*(INT((Census!$F77+AQ$5))+IF((Census!$F77+AQ$5)-INT((Census!$F77+AQ$5))&gt;0.5,1,0)),Assumptions!$B$10))</f>
        <v>0</v>
      </c>
      <c r="AR77" s="30">
        <f>IF(AR$5&gt;$B77,0,INDEX(Decrements!$G$6:$G$58,Census!$G77+AR$5-18)/INDEX(Decrements!$G$6:$G$58,Census!$G77-17)*(INDEX(Decrements!$D$6:$D$58,Census!$G77+AR$5-18)+IF(AR$5=$B77,INDEX(Decrements!$F$6:$F$58,Census!$G77+AR$5-18),0)+INDEX(Decrements!$E$6:$E$58,Census!$G77+AR$5-18)*IF((Census!$F77+AR$5)&gt;=Assumptions!$B$11,1,0))*MIN(15/26*Census!$D77*(1+Assumptions!$B$9)^AR$5*(INT((Census!$F77+AR$5))+IF((Census!$F77+AR$5)-INT((Census!$F77+AR$5))&gt;0.5,1,0)),Assumptions!$B$10))</f>
        <v>0</v>
      </c>
      <c r="AS77" s="30">
        <f>IF(AS$5&gt;$B77,0,INDEX(Decrements!$G$6:$G$58,Census!$G77+AS$5-18)/INDEX(Decrements!$G$6:$G$58,Census!$G77-17)*(INDEX(Decrements!$D$6:$D$58,Census!$G77+AS$5-18)+IF(AS$5=$B77,INDEX(Decrements!$F$6:$F$58,Census!$G77+AS$5-18),0)+INDEX(Decrements!$E$6:$E$58,Census!$G77+AS$5-18)*IF((Census!$F77+AS$5)&gt;=Assumptions!$B$11,1,0))*MIN(15/26*Census!$D77*(1+Assumptions!$B$9)^AS$5*(INT((Census!$F77+AS$5))+IF((Census!$F77+AS$5)-INT((Census!$F77+AS$5))&gt;0.5,1,0)),Assumptions!$B$10))</f>
        <v>0</v>
      </c>
      <c r="AT77" s="30">
        <f>IF(AT$5&gt;$B77,0,INDEX(Decrements!$G$6:$G$58,Census!$G77+AT$5-18)/INDEX(Decrements!$G$6:$G$58,Census!$G77-17)*(INDEX(Decrements!$D$6:$D$58,Census!$G77+AT$5-18)+IF(AT$5=$B77,INDEX(Decrements!$F$6:$F$58,Census!$G77+AT$5-18),0)+INDEX(Decrements!$E$6:$E$58,Census!$G77+AT$5-18)*IF((Census!$F77+AT$5)&gt;=Assumptions!$B$11,1,0))*MIN(15/26*Census!$D77*(1+Assumptions!$B$9)^AT$5*(INT((Census!$F77+AT$5))+IF((Census!$F77+AT$5)-INT((Census!$F77+AT$5))&gt;0.5,1,0)),Assumptions!$B$10))</f>
        <v>0</v>
      </c>
      <c r="AU77" s="30">
        <f>IF(AU$5&gt;$B77,0,INDEX(Decrements!$G$6:$G$58,Census!$G77+AU$5-18)/INDEX(Decrements!$G$6:$G$58,Census!$G77-17)*(INDEX(Decrements!$D$6:$D$58,Census!$G77+AU$5-18)+IF(AU$5=$B77,INDEX(Decrements!$F$6:$F$58,Census!$G77+AU$5-18),0)+INDEX(Decrements!$E$6:$E$58,Census!$G77+AU$5-18)*IF((Census!$F77+AU$5)&gt;=Assumptions!$B$11,1,0))*MIN(15/26*Census!$D77*(1+Assumptions!$B$9)^AU$5*(INT((Census!$F77+AU$5))+IF((Census!$F77+AU$5)-INT((Census!$F77+AU$5))&gt;0.5,1,0)),Assumptions!$B$10))</f>
        <v>0</v>
      </c>
    </row>
    <row r="78" spans="1:47" x14ac:dyDescent="0.3">
      <c r="A78" s="10" t="str">
        <f>Census!A78</f>
        <v>E073</v>
      </c>
      <c r="B78" s="29">
        <f>Census!H78</f>
        <v>27</v>
      </c>
      <c r="C78" s="30">
        <f>IF(C$5&gt;$B78,0,INDEX(Decrements!$G$6:$G$58,Census!$G78+C$5-18)/INDEX(Decrements!$G$6:$G$58,Census!$G78-17)*(INDEX(Decrements!$D$6:$D$58,Census!$G78+C$5-18)+IF(C$5=$B78,INDEX(Decrements!$F$6:$F$58,Census!$G78+C$5-18),0)+INDEX(Decrements!$E$6:$E$58,Census!$G78+C$5-18)*IF((Census!$F78+C$5)&gt;=Assumptions!$B$11,1,0))*MIN(15/26*Census!$D78*(1+Assumptions!$B$9)^C$5*(INT((Census!$F78+C$5))+IF((Census!$F78+C$5)-INT((Census!$F78+C$5))&gt;0.5,1,0)),Assumptions!$B$10))</f>
        <v>41.571280992769054</v>
      </c>
      <c r="D78" s="30">
        <f>IF(D$5&gt;$B78,0,INDEX(Decrements!$G$6:$G$58,Census!$G78+D$5-18)/INDEX(Decrements!$G$6:$G$58,Census!$G78-17)*(INDEX(Decrements!$D$6:$D$58,Census!$G78+D$5-18)+IF(D$5=$B78,INDEX(Decrements!$F$6:$F$58,Census!$G78+D$5-18),0)+INDEX(Decrements!$E$6:$E$58,Census!$G78+D$5-18)*IF((Census!$F78+D$5)&gt;=Assumptions!$B$11,1,0))*MIN(15/26*Census!$D78*(1+Assumptions!$B$9)^D$5*(INT((Census!$F78+D$5))+IF((Census!$F78+D$5)-INT((Census!$F78+D$5))&gt;0.5,1,0)),Assumptions!$B$10))</f>
        <v>63.171763411091518</v>
      </c>
      <c r="E78" s="30">
        <f>IF(E$5&gt;$B78,0,INDEX(Decrements!$G$6:$G$58,Census!$G78+E$5-18)/INDEX(Decrements!$G$6:$G$58,Census!$G78-17)*(INDEX(Decrements!$D$6:$D$58,Census!$G78+E$5-18)+IF(E$5=$B78,INDEX(Decrements!$F$6:$F$58,Census!$G78+E$5-18),0)+INDEX(Decrements!$E$6:$E$58,Census!$G78+E$5-18)*IF((Census!$F78+E$5)&gt;=Assumptions!$B$11,1,0))*MIN(15/26*Census!$D78*(1+Assumptions!$B$9)^E$5*(INT((Census!$F78+E$5))+IF((Census!$F78+E$5)-INT((Census!$F78+E$5))&gt;0.5,1,0)),Assumptions!$B$10))</f>
        <v>86.872509698571676</v>
      </c>
      <c r="F78" s="30">
        <f>IF(F$5&gt;$B78,0,INDEX(Decrements!$G$6:$G$58,Census!$G78+F$5-18)/INDEX(Decrements!$G$6:$G$58,Census!$G78-17)*(INDEX(Decrements!$D$6:$D$58,Census!$G78+F$5-18)+IF(F$5=$B78,INDEX(Decrements!$F$6:$F$58,Census!$G78+F$5-18),0)+INDEX(Decrements!$E$6:$E$58,Census!$G78+F$5-18)*IF((Census!$F78+F$5)&gt;=Assumptions!$B$11,1,0))*MIN(15/26*Census!$D78*(1+Assumptions!$B$9)^F$5*(INT((Census!$F78+F$5))+IF((Census!$F78+F$5)-INT((Census!$F78+F$5))&gt;0.5,1,0)),Assumptions!$B$10))</f>
        <v>9189.7891049528153</v>
      </c>
      <c r="G78" s="30">
        <f>IF(G$5&gt;$B78,0,INDEX(Decrements!$G$6:$G$58,Census!$G78+G$5-18)/INDEX(Decrements!$G$6:$G$58,Census!$G78-17)*(INDEX(Decrements!$D$6:$D$58,Census!$G78+G$5-18)+IF(G$5=$B78,INDEX(Decrements!$F$6:$F$58,Census!$G78+G$5-18),0)+INDEX(Decrements!$E$6:$E$58,Census!$G78+G$5-18)*IF((Census!$F78+G$5)&gt;=Assumptions!$B$11,1,0))*MIN(15/26*Census!$D78*(1+Assumptions!$B$9)^G$5*(INT((Census!$F78+G$5))+IF((Census!$F78+G$5)-INT((Census!$F78+G$5))&gt;0.5,1,0)),Assumptions!$B$10))</f>
        <v>10953.744115736954</v>
      </c>
      <c r="H78" s="30">
        <f>IF(H$5&gt;$B78,0,INDEX(Decrements!$G$6:$G$58,Census!$G78+H$5-18)/INDEX(Decrements!$G$6:$G$58,Census!$G78-17)*(INDEX(Decrements!$D$6:$D$58,Census!$G78+H$5-18)+IF(H$5=$B78,INDEX(Decrements!$F$6:$F$58,Census!$G78+H$5-18),0)+INDEX(Decrements!$E$6:$E$58,Census!$G78+H$5-18)*IF((Census!$F78+H$5)&gt;=Assumptions!$B$11,1,0))*MIN(15/26*Census!$D78*(1+Assumptions!$B$9)^H$5*(INT((Census!$F78+H$5))+IF((Census!$F78+H$5)-INT((Census!$F78+H$5))&gt;0.5,1,0)),Assumptions!$B$10))</f>
        <v>12693.713136735589</v>
      </c>
      <c r="I78" s="30">
        <f>IF(I$5&gt;$B78,0,INDEX(Decrements!$G$6:$G$58,Census!$G78+I$5-18)/INDEX(Decrements!$G$6:$G$58,Census!$G78-17)*(INDEX(Decrements!$D$6:$D$58,Census!$G78+I$5-18)+IF(I$5=$B78,INDEX(Decrements!$F$6:$F$58,Census!$G78+I$5-18),0)+INDEX(Decrements!$E$6:$E$58,Census!$G78+I$5-18)*IF((Census!$F78+I$5)&gt;=Assumptions!$B$11,1,0))*MIN(15/26*Census!$D78*(1+Assumptions!$B$9)^I$5*(INT((Census!$F78+I$5))+IF((Census!$F78+I$5)-INT((Census!$F78+I$5))&gt;0.5,1,0)),Assumptions!$B$10))</f>
        <v>14409.991063355044</v>
      </c>
      <c r="J78" s="30">
        <f>IF(J$5&gt;$B78,0,INDEX(Decrements!$G$6:$G$58,Census!$G78+J$5-18)/INDEX(Decrements!$G$6:$G$58,Census!$G78-17)*(INDEX(Decrements!$D$6:$D$58,Census!$G78+J$5-18)+IF(J$5=$B78,INDEX(Decrements!$F$6:$F$58,Census!$G78+J$5-18),0)+INDEX(Decrements!$E$6:$E$58,Census!$G78+J$5-18)*IF((Census!$F78+J$5)&gt;=Assumptions!$B$11,1,0))*MIN(15/26*Census!$D78*(1+Assumptions!$B$9)^J$5*(INT((Census!$F78+J$5))+IF((Census!$F78+J$5)-INT((Census!$F78+J$5))&gt;0.5,1,0)),Assumptions!$B$10))</f>
        <v>10164.553046798834</v>
      </c>
      <c r="K78" s="30">
        <f>IF(K$5&gt;$B78,0,INDEX(Decrements!$G$6:$G$58,Census!$G78+K$5-18)/INDEX(Decrements!$G$6:$G$58,Census!$G78-17)*(INDEX(Decrements!$D$6:$D$58,Census!$G78+K$5-18)+IF(K$5=$B78,INDEX(Decrements!$F$6:$F$58,Census!$G78+K$5-18),0)+INDEX(Decrements!$E$6:$E$58,Census!$G78+K$5-18)*IF((Census!$F78+K$5)&gt;=Assumptions!$B$11,1,0))*MIN(15/26*Census!$D78*(1+Assumptions!$B$9)^K$5*(INT((Census!$F78+K$5))+IF((Census!$F78+K$5)-INT((Census!$F78+K$5))&gt;0.5,1,0)),Assumptions!$B$10))</f>
        <v>11592.292119758762</v>
      </c>
      <c r="L78" s="30">
        <f>IF(L$5&gt;$B78,0,INDEX(Decrements!$G$6:$G$58,Census!$G78+L$5-18)/INDEX(Decrements!$G$6:$G$58,Census!$G78-17)*(INDEX(Decrements!$D$6:$D$58,Census!$G78+L$5-18)+IF(L$5=$B78,INDEX(Decrements!$F$6:$F$58,Census!$G78+L$5-18),0)+INDEX(Decrements!$E$6:$E$58,Census!$G78+L$5-18)*IF((Census!$F78+L$5)&gt;=Assumptions!$B$11,1,0))*MIN(15/26*Census!$D78*(1+Assumptions!$B$9)^L$5*(INT((Census!$F78+L$5))+IF((Census!$F78+L$5)-INT((Census!$F78+L$5))&gt;0.5,1,0)),Assumptions!$B$10))</f>
        <v>13089.37483397578</v>
      </c>
      <c r="M78" s="30">
        <f>IF(M$5&gt;$B78,0,INDEX(Decrements!$G$6:$G$58,Census!$G78+M$5-18)/INDEX(Decrements!$G$6:$G$58,Census!$G78-17)*(INDEX(Decrements!$D$6:$D$58,Census!$G78+M$5-18)+IF(M$5=$B78,INDEX(Decrements!$F$6:$F$58,Census!$G78+M$5-18),0)+INDEX(Decrements!$E$6:$E$58,Census!$G78+M$5-18)*IF((Census!$F78+M$5)&gt;=Assumptions!$B$11,1,0))*MIN(15/26*Census!$D78*(1+Assumptions!$B$9)^M$5*(INT((Census!$F78+M$5))+IF((Census!$F78+M$5)-INT((Census!$F78+M$5))&gt;0.5,1,0)),Assumptions!$B$10))</f>
        <v>14658.878134528686</v>
      </c>
      <c r="N78" s="30">
        <f>IF(N$5&gt;$B78,0,INDEX(Decrements!$G$6:$G$58,Census!$G78+N$5-18)/INDEX(Decrements!$G$6:$G$58,Census!$G78-17)*(INDEX(Decrements!$D$6:$D$58,Census!$G78+N$5-18)+IF(N$5=$B78,INDEX(Decrements!$F$6:$F$58,Census!$G78+N$5-18),0)+INDEX(Decrements!$E$6:$E$58,Census!$G78+N$5-18)*IF((Census!$F78+N$5)&gt;=Assumptions!$B$11,1,0))*MIN(15/26*Census!$D78*(1+Assumptions!$B$9)^N$5*(INT((Census!$F78+N$5))+IF((Census!$F78+N$5)-INT((Census!$F78+N$5))&gt;0.5,1,0)),Assumptions!$B$10))</f>
        <v>16304.057978613842</v>
      </c>
      <c r="O78" s="30">
        <f>IF(O$5&gt;$B78,0,INDEX(Decrements!$G$6:$G$58,Census!$G78+O$5-18)/INDEX(Decrements!$G$6:$G$58,Census!$G78-17)*(INDEX(Decrements!$D$6:$D$58,Census!$G78+O$5-18)+IF(O$5=$B78,INDEX(Decrements!$F$6:$F$58,Census!$G78+O$5-18),0)+INDEX(Decrements!$E$6:$E$58,Census!$G78+O$5-18)*IF((Census!$F78+O$5)&gt;=Assumptions!$B$11,1,0))*MIN(15/26*Census!$D78*(1+Assumptions!$B$9)^O$5*(INT((Census!$F78+O$5))+IF((Census!$F78+O$5)-INT((Census!$F78+O$5))&gt;0.5,1,0)),Assumptions!$B$10))</f>
        <v>11085.219602434903</v>
      </c>
      <c r="P78" s="30">
        <f>IF(P$5&gt;$B78,0,INDEX(Decrements!$G$6:$G$58,Census!$G78+P$5-18)/INDEX(Decrements!$G$6:$G$58,Census!$G78-17)*(INDEX(Decrements!$D$6:$D$58,Census!$G78+P$5-18)+IF(P$5=$B78,INDEX(Decrements!$F$6:$F$58,Census!$G78+P$5-18),0)+INDEX(Decrements!$E$6:$E$58,Census!$G78+P$5-18)*IF((Census!$F78+P$5)&gt;=Assumptions!$B$11,1,0))*MIN(15/26*Census!$D78*(1+Assumptions!$B$9)^P$5*(INT((Census!$F78+P$5))+IF((Census!$F78+P$5)-INT((Census!$F78+P$5))&gt;0.5,1,0)),Assumptions!$B$10))</f>
        <v>12476.078452975644</v>
      </c>
      <c r="Q78" s="30">
        <f>IF(Q$5&gt;$B78,0,INDEX(Decrements!$G$6:$G$58,Census!$G78+Q$5-18)/INDEX(Decrements!$G$6:$G$58,Census!$G78-17)*(INDEX(Decrements!$D$6:$D$58,Census!$G78+Q$5-18)+IF(Q$5=$B78,INDEX(Decrements!$F$6:$F$58,Census!$G78+Q$5-18),0)+INDEX(Decrements!$E$6:$E$58,Census!$G78+Q$5-18)*IF((Census!$F78+Q$5)&gt;=Assumptions!$B$11,1,0))*MIN(15/26*Census!$D78*(1+Assumptions!$B$9)^Q$5*(INT((Census!$F78+Q$5))+IF((Census!$F78+Q$5)-INT((Census!$F78+Q$5))&gt;0.5,1,0)),Assumptions!$B$10))</f>
        <v>13983.026988362326</v>
      </c>
      <c r="R78" s="30">
        <f>IF(R$5&gt;$B78,0,INDEX(Decrements!$G$6:$G$58,Census!$G78+R$5-18)/INDEX(Decrements!$G$6:$G$58,Census!$G78-17)*(INDEX(Decrements!$D$6:$D$58,Census!$G78+R$5-18)+IF(R$5=$B78,INDEX(Decrements!$F$6:$F$58,Census!$G78+R$5-18),0)+INDEX(Decrements!$E$6:$E$58,Census!$G78+R$5-18)*IF((Census!$F78+R$5)&gt;=Assumptions!$B$11,1,0))*MIN(15/26*Census!$D78*(1+Assumptions!$B$9)^R$5*(INT((Census!$F78+R$5))+IF((Census!$F78+R$5)-INT((Census!$F78+R$5))&gt;0.5,1,0)),Assumptions!$B$10))</f>
        <v>15615.593833770232</v>
      </c>
      <c r="S78" s="30">
        <f>IF(S$5&gt;$B78,0,INDEX(Decrements!$G$6:$G$58,Census!$G78+S$5-18)/INDEX(Decrements!$G$6:$G$58,Census!$G78-17)*(INDEX(Decrements!$D$6:$D$58,Census!$G78+S$5-18)+IF(S$5=$B78,INDEX(Decrements!$F$6:$F$58,Census!$G78+S$5-18),0)+INDEX(Decrements!$E$6:$E$58,Census!$G78+S$5-18)*IF((Census!$F78+S$5)&gt;=Assumptions!$B$11,1,0))*MIN(15/26*Census!$D78*(1+Assumptions!$B$9)^S$5*(INT((Census!$F78+S$5))+IF((Census!$F78+S$5)-INT((Census!$F78+S$5))&gt;0.5,1,0)),Assumptions!$B$10))</f>
        <v>17384.22148690746</v>
      </c>
      <c r="T78" s="30">
        <f>IF(T$5&gt;$B78,0,INDEX(Decrements!$G$6:$G$58,Census!$G78+T$5-18)/INDEX(Decrements!$G$6:$G$58,Census!$G78-17)*(INDEX(Decrements!$D$6:$D$58,Census!$G78+T$5-18)+IF(T$5=$B78,INDEX(Decrements!$F$6:$F$58,Census!$G78+T$5-18),0)+INDEX(Decrements!$E$6:$E$58,Census!$G78+T$5-18)*IF((Census!$F78+T$5)&gt;=Assumptions!$B$11,1,0))*MIN(15/26*Census!$D78*(1+Assumptions!$B$9)^T$5*(INT((Census!$F78+T$5))+IF((Census!$F78+T$5)-INT((Census!$F78+T$5))&gt;0.5,1,0)),Assumptions!$B$10))</f>
        <v>13428.186982715224</v>
      </c>
      <c r="U78" s="30">
        <f>IF(U$5&gt;$B78,0,INDEX(Decrements!$G$6:$G$58,Census!$G78+U$5-18)/INDEX(Decrements!$G$6:$G$58,Census!$G78-17)*(INDEX(Decrements!$D$6:$D$58,Census!$G78+U$5-18)+IF(U$5=$B78,INDEX(Decrements!$F$6:$F$58,Census!$G78+U$5-18),0)+INDEX(Decrements!$E$6:$E$58,Census!$G78+U$5-18)*IF((Census!$F78+U$5)&gt;=Assumptions!$B$11,1,0))*MIN(15/26*Census!$D78*(1+Assumptions!$B$9)^U$5*(INT((Census!$F78+U$5))+IF((Census!$F78+U$5)-INT((Census!$F78+U$5))&gt;0.5,1,0)),Assumptions!$B$10))</f>
        <v>15075.101775930338</v>
      </c>
      <c r="V78" s="30">
        <f>IF(V$5&gt;$B78,0,INDEX(Decrements!$G$6:$G$58,Census!$G78+V$5-18)/INDEX(Decrements!$G$6:$G$58,Census!$G78-17)*(INDEX(Decrements!$D$6:$D$58,Census!$G78+V$5-18)+IF(V$5=$B78,INDEX(Decrements!$F$6:$F$58,Census!$G78+V$5-18),0)+INDEX(Decrements!$E$6:$E$58,Census!$G78+V$5-18)*IF((Census!$F78+V$5)&gt;=Assumptions!$B$11,1,0))*MIN(15/26*Census!$D78*(1+Assumptions!$B$9)^V$5*(INT((Census!$F78+V$5))+IF((Census!$F78+V$5)-INT((Census!$F78+V$5))&gt;0.5,1,0)),Assumptions!$B$10))</f>
        <v>15032.932451691437</v>
      </c>
      <c r="W78" s="30">
        <f>IF(W$5&gt;$B78,0,INDEX(Decrements!$G$6:$G$58,Census!$G78+W$5-18)/INDEX(Decrements!$G$6:$G$58,Census!$G78-17)*(INDEX(Decrements!$D$6:$D$58,Census!$G78+W$5-18)+IF(W$5=$B78,INDEX(Decrements!$F$6:$F$58,Census!$G78+W$5-18),0)+INDEX(Decrements!$E$6:$E$58,Census!$G78+W$5-18)*IF((Census!$F78+W$5)&gt;=Assumptions!$B$11,1,0))*MIN(15/26*Census!$D78*(1+Assumptions!$B$9)^W$5*(INT((Census!$F78+W$5))+IF((Census!$F78+W$5)-INT((Census!$F78+W$5))&gt;0.5,1,0)),Assumptions!$B$10))</f>
        <v>14865.915799244571</v>
      </c>
      <c r="X78" s="30">
        <f>IF(X$5&gt;$B78,0,INDEX(Decrements!$G$6:$G$58,Census!$G78+X$5-18)/INDEX(Decrements!$G$6:$G$58,Census!$G78-17)*(INDEX(Decrements!$D$6:$D$58,Census!$G78+X$5-18)+IF(X$5=$B78,INDEX(Decrements!$F$6:$F$58,Census!$G78+X$5-18),0)+INDEX(Decrements!$E$6:$E$58,Census!$G78+X$5-18)*IF((Census!$F78+X$5)&gt;=Assumptions!$B$11,1,0))*MIN(15/26*Census!$D78*(1+Assumptions!$B$9)^X$5*(INT((Census!$F78+X$5))+IF((Census!$F78+X$5)-INT((Census!$F78+X$5))&gt;0.5,1,0)),Assumptions!$B$10))</f>
        <v>14711.979628656447</v>
      </c>
      <c r="Y78" s="30">
        <f>IF(Y$5&gt;$B78,0,INDEX(Decrements!$G$6:$G$58,Census!$G78+Y$5-18)/INDEX(Decrements!$G$6:$G$58,Census!$G78-17)*(INDEX(Decrements!$D$6:$D$58,Census!$G78+Y$5-18)+IF(Y$5=$B78,INDEX(Decrements!$F$6:$F$58,Census!$G78+Y$5-18),0)+INDEX(Decrements!$E$6:$E$58,Census!$G78+Y$5-18)*IF((Census!$F78+Y$5)&gt;=Assumptions!$B$11,1,0))*MIN(15/26*Census!$D78*(1+Assumptions!$B$9)^Y$5*(INT((Census!$F78+Y$5))+IF((Census!$F78+Y$5)-INT((Census!$F78+Y$5))&gt;0.5,1,0)),Assumptions!$B$10))</f>
        <v>8593.8298545053258</v>
      </c>
      <c r="Z78" s="30">
        <f>IF(Z$5&gt;$B78,0,INDEX(Decrements!$G$6:$G$58,Census!$G78+Z$5-18)/INDEX(Decrements!$G$6:$G$58,Census!$G78-17)*(INDEX(Decrements!$D$6:$D$58,Census!$G78+Z$5-18)+IF(Z$5=$B78,INDEX(Decrements!$F$6:$F$58,Census!$G78+Z$5-18),0)+INDEX(Decrements!$E$6:$E$58,Census!$G78+Z$5-18)*IF((Census!$F78+Z$5)&gt;=Assumptions!$B$11,1,0))*MIN(15/26*Census!$D78*(1+Assumptions!$B$9)^Z$5*(INT((Census!$F78+Z$5))+IF((Census!$F78+Z$5)-INT((Census!$F78+Z$5))&gt;0.5,1,0)),Assumptions!$B$10))</f>
        <v>8702.1832487367501</v>
      </c>
      <c r="AA78" s="30">
        <f>IF(AA$5&gt;$B78,0,INDEX(Decrements!$G$6:$G$58,Census!$G78+AA$5-18)/INDEX(Decrements!$G$6:$G$58,Census!$G78-17)*(INDEX(Decrements!$D$6:$D$58,Census!$G78+AA$5-18)+IF(AA$5=$B78,INDEX(Decrements!$F$6:$F$58,Census!$G78+AA$5-18),0)+INDEX(Decrements!$E$6:$E$58,Census!$G78+AA$5-18)*IF((Census!$F78+AA$5)&gt;=Assumptions!$B$11,1,0))*MIN(15/26*Census!$D78*(1+Assumptions!$B$9)^AA$5*(INT((Census!$F78+AA$5))+IF((Census!$F78+AA$5)-INT((Census!$F78+AA$5))&gt;0.5,1,0)),Assumptions!$B$10))</f>
        <v>8824.8731192577143</v>
      </c>
      <c r="AB78" s="30">
        <f>IF(AB$5&gt;$B78,0,INDEX(Decrements!$G$6:$G$58,Census!$G78+AB$5-18)/INDEX(Decrements!$G$6:$G$58,Census!$G78-17)*(INDEX(Decrements!$D$6:$D$58,Census!$G78+AB$5-18)+IF(AB$5=$B78,INDEX(Decrements!$F$6:$F$58,Census!$G78+AB$5-18),0)+INDEX(Decrements!$E$6:$E$58,Census!$G78+AB$5-18)*IF((Census!$F78+AB$5)&gt;=Assumptions!$B$11,1,0))*MIN(15/26*Census!$D78*(1+Assumptions!$B$9)^AB$5*(INT((Census!$F78+AB$5))+IF((Census!$F78+AB$5)-INT((Census!$F78+AB$5))&gt;0.5,1,0)),Assumptions!$B$10))</f>
        <v>8962.7333297399946</v>
      </c>
      <c r="AC78" s="30">
        <f>IF(AC$5&gt;$B78,0,INDEX(Decrements!$G$6:$G$58,Census!$G78+AC$5-18)/INDEX(Decrements!$G$6:$G$58,Census!$G78-17)*(INDEX(Decrements!$D$6:$D$58,Census!$G78+AC$5-18)+IF(AC$5=$B78,INDEX(Decrements!$F$6:$F$58,Census!$G78+AC$5-18),0)+INDEX(Decrements!$E$6:$E$58,Census!$G78+AC$5-18)*IF((Census!$F78+AC$5)&gt;=Assumptions!$B$11,1,0))*MIN(15/26*Census!$D78*(1+Assumptions!$B$9)^AC$5*(INT((Census!$F78+AC$5))+IF((Census!$F78+AC$5)-INT((Census!$F78+AC$5))&gt;0.5,1,0)),Assumptions!$B$10))</f>
        <v>565289.86612470855</v>
      </c>
      <c r="AD78" s="30">
        <f>IF(AD$5&gt;$B78,0,INDEX(Decrements!$G$6:$G$58,Census!$G78+AD$5-18)/INDEX(Decrements!$G$6:$G$58,Census!$G78-17)*(INDEX(Decrements!$D$6:$D$58,Census!$G78+AD$5-18)+IF(AD$5=$B78,INDEX(Decrements!$F$6:$F$58,Census!$G78+AD$5-18),0)+INDEX(Decrements!$E$6:$E$58,Census!$G78+AD$5-18)*IF((Census!$F78+AD$5)&gt;=Assumptions!$B$11,1,0))*MIN(15/26*Census!$D78*(1+Assumptions!$B$9)^AD$5*(INT((Census!$F78+AD$5))+IF((Census!$F78+AD$5)-INT((Census!$F78+AD$5))&gt;0.5,1,0)),Assumptions!$B$10))</f>
        <v>0</v>
      </c>
      <c r="AE78" s="30">
        <f>IF(AE$5&gt;$B78,0,INDEX(Decrements!$G$6:$G$58,Census!$G78+AE$5-18)/INDEX(Decrements!$G$6:$G$58,Census!$G78-17)*(INDEX(Decrements!$D$6:$D$58,Census!$G78+AE$5-18)+IF(AE$5=$B78,INDEX(Decrements!$F$6:$F$58,Census!$G78+AE$5-18),0)+INDEX(Decrements!$E$6:$E$58,Census!$G78+AE$5-18)*IF((Census!$F78+AE$5)&gt;=Assumptions!$B$11,1,0))*MIN(15/26*Census!$D78*(1+Assumptions!$B$9)^AE$5*(INT((Census!$F78+AE$5))+IF((Census!$F78+AE$5)-INT((Census!$F78+AE$5))&gt;0.5,1,0)),Assumptions!$B$10))</f>
        <v>0</v>
      </c>
      <c r="AF78" s="30">
        <f>IF(AF$5&gt;$B78,0,INDEX(Decrements!$G$6:$G$58,Census!$G78+AF$5-18)/INDEX(Decrements!$G$6:$G$58,Census!$G78-17)*(INDEX(Decrements!$D$6:$D$58,Census!$G78+AF$5-18)+IF(AF$5=$B78,INDEX(Decrements!$F$6:$F$58,Census!$G78+AF$5-18),0)+INDEX(Decrements!$E$6:$E$58,Census!$G78+AF$5-18)*IF((Census!$F78+AF$5)&gt;=Assumptions!$B$11,1,0))*MIN(15/26*Census!$D78*(1+Assumptions!$B$9)^AF$5*(INT((Census!$F78+AF$5))+IF((Census!$F78+AF$5)-INT((Census!$F78+AF$5))&gt;0.5,1,0)),Assumptions!$B$10))</f>
        <v>0</v>
      </c>
      <c r="AG78" s="30">
        <f>IF(AG$5&gt;$B78,0,INDEX(Decrements!$G$6:$G$58,Census!$G78+AG$5-18)/INDEX(Decrements!$G$6:$G$58,Census!$G78-17)*(INDEX(Decrements!$D$6:$D$58,Census!$G78+AG$5-18)+IF(AG$5=$B78,INDEX(Decrements!$F$6:$F$58,Census!$G78+AG$5-18),0)+INDEX(Decrements!$E$6:$E$58,Census!$G78+AG$5-18)*IF((Census!$F78+AG$5)&gt;=Assumptions!$B$11,1,0))*MIN(15/26*Census!$D78*(1+Assumptions!$B$9)^AG$5*(INT((Census!$F78+AG$5))+IF((Census!$F78+AG$5)-INT((Census!$F78+AG$5))&gt;0.5,1,0)),Assumptions!$B$10))</f>
        <v>0</v>
      </c>
      <c r="AH78" s="30">
        <f>IF(AH$5&gt;$B78,0,INDEX(Decrements!$G$6:$G$58,Census!$G78+AH$5-18)/INDEX(Decrements!$G$6:$G$58,Census!$G78-17)*(INDEX(Decrements!$D$6:$D$58,Census!$G78+AH$5-18)+IF(AH$5=$B78,INDEX(Decrements!$F$6:$F$58,Census!$G78+AH$5-18),0)+INDEX(Decrements!$E$6:$E$58,Census!$G78+AH$5-18)*IF((Census!$F78+AH$5)&gt;=Assumptions!$B$11,1,0))*MIN(15/26*Census!$D78*(1+Assumptions!$B$9)^AH$5*(INT((Census!$F78+AH$5))+IF((Census!$F78+AH$5)-INT((Census!$F78+AH$5))&gt;0.5,1,0)),Assumptions!$B$10))</f>
        <v>0</v>
      </c>
      <c r="AI78" s="30">
        <f>IF(AI$5&gt;$B78,0,INDEX(Decrements!$G$6:$G$58,Census!$G78+AI$5-18)/INDEX(Decrements!$G$6:$G$58,Census!$G78-17)*(INDEX(Decrements!$D$6:$D$58,Census!$G78+AI$5-18)+IF(AI$5=$B78,INDEX(Decrements!$F$6:$F$58,Census!$G78+AI$5-18),0)+INDEX(Decrements!$E$6:$E$58,Census!$G78+AI$5-18)*IF((Census!$F78+AI$5)&gt;=Assumptions!$B$11,1,0))*MIN(15/26*Census!$D78*(1+Assumptions!$B$9)^AI$5*(INT((Census!$F78+AI$5))+IF((Census!$F78+AI$5)-INT((Census!$F78+AI$5))&gt;0.5,1,0)),Assumptions!$B$10))</f>
        <v>0</v>
      </c>
      <c r="AJ78" s="30">
        <f>IF(AJ$5&gt;$B78,0,INDEX(Decrements!$G$6:$G$58,Census!$G78+AJ$5-18)/INDEX(Decrements!$G$6:$G$58,Census!$G78-17)*(INDEX(Decrements!$D$6:$D$58,Census!$G78+AJ$5-18)+IF(AJ$5=$B78,INDEX(Decrements!$F$6:$F$58,Census!$G78+AJ$5-18),0)+INDEX(Decrements!$E$6:$E$58,Census!$G78+AJ$5-18)*IF((Census!$F78+AJ$5)&gt;=Assumptions!$B$11,1,0))*MIN(15/26*Census!$D78*(1+Assumptions!$B$9)^AJ$5*(INT((Census!$F78+AJ$5))+IF((Census!$F78+AJ$5)-INT((Census!$F78+AJ$5))&gt;0.5,1,0)),Assumptions!$B$10))</f>
        <v>0</v>
      </c>
      <c r="AK78" s="30">
        <f>IF(AK$5&gt;$B78,0,INDEX(Decrements!$G$6:$G$58,Census!$G78+AK$5-18)/INDEX(Decrements!$G$6:$G$58,Census!$G78-17)*(INDEX(Decrements!$D$6:$D$58,Census!$G78+AK$5-18)+IF(AK$5=$B78,INDEX(Decrements!$F$6:$F$58,Census!$G78+AK$5-18),0)+INDEX(Decrements!$E$6:$E$58,Census!$G78+AK$5-18)*IF((Census!$F78+AK$5)&gt;=Assumptions!$B$11,1,0))*MIN(15/26*Census!$D78*(1+Assumptions!$B$9)^AK$5*(INT((Census!$F78+AK$5))+IF((Census!$F78+AK$5)-INT((Census!$F78+AK$5))&gt;0.5,1,0)),Assumptions!$B$10))</f>
        <v>0</v>
      </c>
      <c r="AL78" s="30">
        <f>IF(AL$5&gt;$B78,0,INDEX(Decrements!$G$6:$G$58,Census!$G78+AL$5-18)/INDEX(Decrements!$G$6:$G$58,Census!$G78-17)*(INDEX(Decrements!$D$6:$D$58,Census!$G78+AL$5-18)+IF(AL$5=$B78,INDEX(Decrements!$F$6:$F$58,Census!$G78+AL$5-18),0)+INDEX(Decrements!$E$6:$E$58,Census!$G78+AL$5-18)*IF((Census!$F78+AL$5)&gt;=Assumptions!$B$11,1,0))*MIN(15/26*Census!$D78*(1+Assumptions!$B$9)^AL$5*(INT((Census!$F78+AL$5))+IF((Census!$F78+AL$5)-INT((Census!$F78+AL$5))&gt;0.5,1,0)),Assumptions!$B$10))</f>
        <v>0</v>
      </c>
      <c r="AM78" s="30">
        <f>IF(AM$5&gt;$B78,0,INDEX(Decrements!$G$6:$G$58,Census!$G78+AM$5-18)/INDEX(Decrements!$G$6:$G$58,Census!$G78-17)*(INDEX(Decrements!$D$6:$D$58,Census!$G78+AM$5-18)+IF(AM$5=$B78,INDEX(Decrements!$F$6:$F$58,Census!$G78+AM$5-18),0)+INDEX(Decrements!$E$6:$E$58,Census!$G78+AM$5-18)*IF((Census!$F78+AM$5)&gt;=Assumptions!$B$11,1,0))*MIN(15/26*Census!$D78*(1+Assumptions!$B$9)^AM$5*(INT((Census!$F78+AM$5))+IF((Census!$F78+AM$5)-INT((Census!$F78+AM$5))&gt;0.5,1,0)),Assumptions!$B$10))</f>
        <v>0</v>
      </c>
      <c r="AN78" s="30">
        <f>IF(AN$5&gt;$B78,0,INDEX(Decrements!$G$6:$G$58,Census!$G78+AN$5-18)/INDEX(Decrements!$G$6:$G$58,Census!$G78-17)*(INDEX(Decrements!$D$6:$D$58,Census!$G78+AN$5-18)+IF(AN$5=$B78,INDEX(Decrements!$F$6:$F$58,Census!$G78+AN$5-18),0)+INDEX(Decrements!$E$6:$E$58,Census!$G78+AN$5-18)*IF((Census!$F78+AN$5)&gt;=Assumptions!$B$11,1,0))*MIN(15/26*Census!$D78*(1+Assumptions!$B$9)^AN$5*(INT((Census!$F78+AN$5))+IF((Census!$F78+AN$5)-INT((Census!$F78+AN$5))&gt;0.5,1,0)),Assumptions!$B$10))</f>
        <v>0</v>
      </c>
      <c r="AO78" s="30">
        <f>IF(AO$5&gt;$B78,0,INDEX(Decrements!$G$6:$G$58,Census!$G78+AO$5-18)/INDEX(Decrements!$G$6:$G$58,Census!$G78-17)*(INDEX(Decrements!$D$6:$D$58,Census!$G78+AO$5-18)+IF(AO$5=$B78,INDEX(Decrements!$F$6:$F$58,Census!$G78+AO$5-18),0)+INDEX(Decrements!$E$6:$E$58,Census!$G78+AO$5-18)*IF((Census!$F78+AO$5)&gt;=Assumptions!$B$11,1,0))*MIN(15/26*Census!$D78*(1+Assumptions!$B$9)^AO$5*(INT((Census!$F78+AO$5))+IF((Census!$F78+AO$5)-INT((Census!$F78+AO$5))&gt;0.5,1,0)),Assumptions!$B$10))</f>
        <v>0</v>
      </c>
      <c r="AP78" s="30">
        <f>IF(AP$5&gt;$B78,0,INDEX(Decrements!$G$6:$G$58,Census!$G78+AP$5-18)/INDEX(Decrements!$G$6:$G$58,Census!$G78-17)*(INDEX(Decrements!$D$6:$D$58,Census!$G78+AP$5-18)+IF(AP$5=$B78,INDEX(Decrements!$F$6:$F$58,Census!$G78+AP$5-18),0)+INDEX(Decrements!$E$6:$E$58,Census!$G78+AP$5-18)*IF((Census!$F78+AP$5)&gt;=Assumptions!$B$11,1,0))*MIN(15/26*Census!$D78*(1+Assumptions!$B$9)^AP$5*(INT((Census!$F78+AP$5))+IF((Census!$F78+AP$5)-INT((Census!$F78+AP$5))&gt;0.5,1,0)),Assumptions!$B$10))</f>
        <v>0</v>
      </c>
      <c r="AQ78" s="30">
        <f>IF(AQ$5&gt;$B78,0,INDEX(Decrements!$G$6:$G$58,Census!$G78+AQ$5-18)/INDEX(Decrements!$G$6:$G$58,Census!$G78-17)*(INDEX(Decrements!$D$6:$D$58,Census!$G78+AQ$5-18)+IF(AQ$5=$B78,INDEX(Decrements!$F$6:$F$58,Census!$G78+AQ$5-18),0)+INDEX(Decrements!$E$6:$E$58,Census!$G78+AQ$5-18)*IF((Census!$F78+AQ$5)&gt;=Assumptions!$B$11,1,0))*MIN(15/26*Census!$D78*(1+Assumptions!$B$9)^AQ$5*(INT((Census!$F78+AQ$5))+IF((Census!$F78+AQ$5)-INT((Census!$F78+AQ$5))&gt;0.5,1,0)),Assumptions!$B$10))</f>
        <v>0</v>
      </c>
      <c r="AR78" s="30">
        <f>IF(AR$5&gt;$B78,0,INDEX(Decrements!$G$6:$G$58,Census!$G78+AR$5-18)/INDEX(Decrements!$G$6:$G$58,Census!$G78-17)*(INDEX(Decrements!$D$6:$D$58,Census!$G78+AR$5-18)+IF(AR$5=$B78,INDEX(Decrements!$F$6:$F$58,Census!$G78+AR$5-18),0)+INDEX(Decrements!$E$6:$E$58,Census!$G78+AR$5-18)*IF((Census!$F78+AR$5)&gt;=Assumptions!$B$11,1,0))*MIN(15/26*Census!$D78*(1+Assumptions!$B$9)^AR$5*(INT((Census!$F78+AR$5))+IF((Census!$F78+AR$5)-INT((Census!$F78+AR$5))&gt;0.5,1,0)),Assumptions!$B$10))</f>
        <v>0</v>
      </c>
      <c r="AS78" s="30">
        <f>IF(AS$5&gt;$B78,0,INDEX(Decrements!$G$6:$G$58,Census!$G78+AS$5-18)/INDEX(Decrements!$G$6:$G$58,Census!$G78-17)*(INDEX(Decrements!$D$6:$D$58,Census!$G78+AS$5-18)+IF(AS$5=$B78,INDEX(Decrements!$F$6:$F$58,Census!$G78+AS$5-18),0)+INDEX(Decrements!$E$6:$E$58,Census!$G78+AS$5-18)*IF((Census!$F78+AS$5)&gt;=Assumptions!$B$11,1,0))*MIN(15/26*Census!$D78*(1+Assumptions!$B$9)^AS$5*(INT((Census!$F78+AS$5))+IF((Census!$F78+AS$5)-INT((Census!$F78+AS$5))&gt;0.5,1,0)),Assumptions!$B$10))</f>
        <v>0</v>
      </c>
      <c r="AT78" s="30">
        <f>IF(AT$5&gt;$B78,0,INDEX(Decrements!$G$6:$G$58,Census!$G78+AT$5-18)/INDEX(Decrements!$G$6:$G$58,Census!$G78-17)*(INDEX(Decrements!$D$6:$D$58,Census!$G78+AT$5-18)+IF(AT$5=$B78,INDEX(Decrements!$F$6:$F$58,Census!$G78+AT$5-18),0)+INDEX(Decrements!$E$6:$E$58,Census!$G78+AT$5-18)*IF((Census!$F78+AT$5)&gt;=Assumptions!$B$11,1,0))*MIN(15/26*Census!$D78*(1+Assumptions!$B$9)^AT$5*(INT((Census!$F78+AT$5))+IF((Census!$F78+AT$5)-INT((Census!$F78+AT$5))&gt;0.5,1,0)),Assumptions!$B$10))</f>
        <v>0</v>
      </c>
      <c r="AU78" s="30">
        <f>IF(AU$5&gt;$B78,0,INDEX(Decrements!$G$6:$G$58,Census!$G78+AU$5-18)/INDEX(Decrements!$G$6:$G$58,Census!$G78-17)*(INDEX(Decrements!$D$6:$D$58,Census!$G78+AU$5-18)+IF(AU$5=$B78,INDEX(Decrements!$F$6:$F$58,Census!$G78+AU$5-18),0)+INDEX(Decrements!$E$6:$E$58,Census!$G78+AU$5-18)*IF((Census!$F78+AU$5)&gt;=Assumptions!$B$11,1,0))*MIN(15/26*Census!$D78*(1+Assumptions!$B$9)^AU$5*(INT((Census!$F78+AU$5))+IF((Census!$F78+AU$5)-INT((Census!$F78+AU$5))&gt;0.5,1,0)),Assumptions!$B$10))</f>
        <v>0</v>
      </c>
    </row>
    <row r="79" spans="1:47" x14ac:dyDescent="0.3">
      <c r="A79" s="10" t="str">
        <f>Census!A79</f>
        <v>E074</v>
      </c>
      <c r="B79" s="29">
        <f>Census!H79</f>
        <v>24</v>
      </c>
      <c r="C79" s="30">
        <f>IF(C$5&gt;$B79,0,INDEX(Decrements!$G$6:$G$58,Census!$G79+C$5-18)/INDEX(Decrements!$G$6:$G$58,Census!$G79-17)*(INDEX(Decrements!$D$6:$D$58,Census!$G79+C$5-18)+IF(C$5=$B79,INDEX(Decrements!$F$6:$F$58,Census!$G79+C$5-18),0)+INDEX(Decrements!$E$6:$E$58,Census!$G79+C$5-18)*IF((Census!$F79+C$5)&gt;=Assumptions!$B$11,1,0))*MIN(15/26*Census!$D79*(1+Assumptions!$B$9)^C$5*(INT((Census!$F79+C$5))+IF((Census!$F79+C$5)-INT((Census!$F79+C$5))&gt;0.5,1,0)),Assumptions!$B$10))</f>
        <v>58720.275079869221</v>
      </c>
      <c r="D79" s="30">
        <f>IF(D$5&gt;$B79,0,INDEX(Decrements!$G$6:$G$58,Census!$G79+D$5-18)/INDEX(Decrements!$G$6:$G$58,Census!$G79-17)*(INDEX(Decrements!$D$6:$D$58,Census!$G79+D$5-18)+IF(D$5=$B79,INDEX(Decrements!$F$6:$F$58,Census!$G79+D$5-18),0)+INDEX(Decrements!$E$6:$E$58,Census!$G79+D$5-18)*IF((Census!$F79+D$5)&gt;=Assumptions!$B$11,1,0))*MIN(15/26*Census!$D79*(1+Assumptions!$B$9)^D$5*(INT((Census!$F79+D$5))+IF((Census!$F79+D$5)-INT((Census!$F79+D$5))&gt;0.5,1,0)),Assumptions!$B$10))</f>
        <v>62214.641855677073</v>
      </c>
      <c r="E79" s="30">
        <f>IF(E$5&gt;$B79,0,INDEX(Decrements!$G$6:$G$58,Census!$G79+E$5-18)/INDEX(Decrements!$G$6:$G$58,Census!$G79-17)*(INDEX(Decrements!$D$6:$D$58,Census!$G79+E$5-18)+IF(E$5=$B79,INDEX(Decrements!$F$6:$F$58,Census!$G79+E$5-18),0)+INDEX(Decrements!$E$6:$E$58,Census!$G79+E$5-18)*IF((Census!$F79+E$5)&gt;=Assumptions!$B$11,1,0))*MIN(15/26*Census!$D79*(1+Assumptions!$B$9)^E$5*(INT((Census!$F79+E$5))+IF((Census!$F79+E$5)-INT((Census!$F79+E$5))&gt;0.5,1,0)),Assumptions!$B$10))</f>
        <v>65659.994593916257</v>
      </c>
      <c r="F79" s="30">
        <f>IF(F$5&gt;$B79,0,INDEX(Decrements!$G$6:$G$58,Census!$G79+F$5-18)/INDEX(Decrements!$G$6:$G$58,Census!$G79-17)*(INDEX(Decrements!$D$6:$D$58,Census!$G79+F$5-18)+IF(F$5=$B79,INDEX(Decrements!$F$6:$F$58,Census!$G79+F$5-18),0)+INDEX(Decrements!$E$6:$E$58,Census!$G79+F$5-18)*IF((Census!$F79+F$5)&gt;=Assumptions!$B$11,1,0))*MIN(15/26*Census!$D79*(1+Assumptions!$B$9)^F$5*(INT((Census!$F79+F$5))+IF((Census!$F79+F$5)-INT((Census!$F79+F$5))&gt;0.5,1,0)),Assumptions!$B$10))</f>
        <v>69056.968784188153</v>
      </c>
      <c r="G79" s="30">
        <f>IF(G$5&gt;$B79,0,INDEX(Decrements!$G$6:$G$58,Census!$G79+G$5-18)/INDEX(Decrements!$G$6:$G$58,Census!$G79-17)*(INDEX(Decrements!$D$6:$D$58,Census!$G79+G$5-18)+IF(G$5=$B79,INDEX(Decrements!$F$6:$F$58,Census!$G79+G$5-18),0)+INDEX(Decrements!$E$6:$E$58,Census!$G79+G$5-18)*IF((Census!$F79+G$5)&gt;=Assumptions!$B$11,1,0))*MIN(15/26*Census!$D79*(1+Assumptions!$B$9)^G$5*(INT((Census!$F79+G$5))+IF((Census!$F79+G$5)-INT((Census!$F79+G$5))&gt;0.5,1,0)),Assumptions!$B$10))</f>
        <v>45704.678670482819</v>
      </c>
      <c r="H79" s="30">
        <f>IF(H$5&gt;$B79,0,INDEX(Decrements!$G$6:$G$58,Census!$G79+H$5-18)/INDEX(Decrements!$G$6:$G$58,Census!$G79-17)*(INDEX(Decrements!$D$6:$D$58,Census!$G79+H$5-18)+IF(H$5=$B79,INDEX(Decrements!$F$6:$F$58,Census!$G79+H$5-18),0)+INDEX(Decrements!$E$6:$E$58,Census!$G79+H$5-18)*IF((Census!$F79+H$5)&gt;=Assumptions!$B$11,1,0))*MIN(15/26*Census!$D79*(1+Assumptions!$B$9)^H$5*(INT((Census!$F79+H$5))+IF((Census!$F79+H$5)-INT((Census!$F79+H$5))&gt;0.5,1,0)),Assumptions!$B$10))</f>
        <v>49381.081132868203</v>
      </c>
      <c r="I79" s="30">
        <f>IF(I$5&gt;$B79,0,INDEX(Decrements!$G$6:$G$58,Census!$G79+I$5-18)/INDEX(Decrements!$G$6:$G$58,Census!$G79-17)*(INDEX(Decrements!$D$6:$D$58,Census!$G79+I$5-18)+IF(I$5=$B79,INDEX(Decrements!$F$6:$F$58,Census!$G79+I$5-18),0)+INDEX(Decrements!$E$6:$E$58,Census!$G79+I$5-18)*IF((Census!$F79+I$5)&gt;=Assumptions!$B$11,1,0))*MIN(15/26*Census!$D79*(1+Assumptions!$B$9)^I$5*(INT((Census!$F79+I$5))+IF((Census!$F79+I$5)-INT((Census!$F79+I$5))&gt;0.5,1,0)),Assumptions!$B$10))</f>
        <v>53223.912428299351</v>
      </c>
      <c r="J79" s="30">
        <f>IF(J$5&gt;$B79,0,INDEX(Decrements!$G$6:$G$58,Census!$G79+J$5-18)/INDEX(Decrements!$G$6:$G$58,Census!$G79-17)*(INDEX(Decrements!$D$6:$D$58,Census!$G79+J$5-18)+IF(J$5=$B79,INDEX(Decrements!$F$6:$F$58,Census!$G79+J$5-18),0)+INDEX(Decrements!$E$6:$E$58,Census!$G79+J$5-18)*IF((Census!$F79+J$5)&gt;=Assumptions!$B$11,1,0))*MIN(15/26*Census!$D79*(1+Assumptions!$B$9)^J$5*(INT((Census!$F79+J$5))+IF((Census!$F79+J$5)-INT((Census!$F79+J$5))&gt;0.5,1,0)),Assumptions!$B$10))</f>
        <v>57240.504243374635</v>
      </c>
      <c r="K79" s="30">
        <f>IF(K$5&gt;$B79,0,INDEX(Decrements!$G$6:$G$58,Census!$G79+K$5-18)/INDEX(Decrements!$G$6:$G$58,Census!$G79-17)*(INDEX(Decrements!$D$6:$D$58,Census!$G79+K$5-18)+IF(K$5=$B79,INDEX(Decrements!$F$6:$F$58,Census!$G79+K$5-18),0)+INDEX(Decrements!$E$6:$E$58,Census!$G79+K$5-18)*IF((Census!$F79+K$5)&gt;=Assumptions!$B$11,1,0))*MIN(15/26*Census!$D79*(1+Assumptions!$B$9)^K$5*(INT((Census!$F79+K$5))+IF((Census!$F79+K$5)-INT((Census!$F79+K$5))&gt;0.5,1,0)),Assumptions!$B$10))</f>
        <v>59696.683530416485</v>
      </c>
      <c r="L79" s="30">
        <f>IF(L$5&gt;$B79,0,INDEX(Decrements!$G$6:$G$58,Census!$G79+L$5-18)/INDEX(Decrements!$G$6:$G$58,Census!$G79-17)*(INDEX(Decrements!$D$6:$D$58,Census!$G79+L$5-18)+IF(L$5=$B79,INDEX(Decrements!$F$6:$F$58,Census!$G79+L$5-18),0)+INDEX(Decrements!$E$6:$E$58,Census!$G79+L$5-18)*IF((Census!$F79+L$5)&gt;=Assumptions!$B$11,1,0))*MIN(15/26*Census!$D79*(1+Assumptions!$B$9)^L$5*(INT((Census!$F79+L$5))+IF((Census!$F79+L$5)-INT((Census!$F79+L$5))&gt;0.5,1,0)),Assumptions!$B$10))</f>
        <v>34897.181770501571</v>
      </c>
      <c r="M79" s="30">
        <f>IF(M$5&gt;$B79,0,INDEX(Decrements!$G$6:$G$58,Census!$G79+M$5-18)/INDEX(Decrements!$G$6:$G$58,Census!$G79-17)*(INDEX(Decrements!$D$6:$D$58,Census!$G79+M$5-18)+IF(M$5=$B79,INDEX(Decrements!$F$6:$F$58,Census!$G79+M$5-18),0)+INDEX(Decrements!$E$6:$E$58,Census!$G79+M$5-18)*IF((Census!$F79+M$5)&gt;=Assumptions!$B$11,1,0))*MIN(15/26*Census!$D79*(1+Assumptions!$B$9)^M$5*(INT((Census!$F79+M$5))+IF((Census!$F79+M$5)-INT((Census!$F79+M$5))&gt;0.5,1,0)),Assumptions!$B$10))</f>
        <v>33941.97995946031</v>
      </c>
      <c r="N79" s="30">
        <f>IF(N$5&gt;$B79,0,INDEX(Decrements!$G$6:$G$58,Census!$G79+N$5-18)/INDEX(Decrements!$G$6:$G$58,Census!$G79-17)*(INDEX(Decrements!$D$6:$D$58,Census!$G79+N$5-18)+IF(N$5=$B79,INDEX(Decrements!$F$6:$F$58,Census!$G79+N$5-18),0)+INDEX(Decrements!$E$6:$E$58,Census!$G79+N$5-18)*IF((Census!$F79+N$5)&gt;=Assumptions!$B$11,1,0))*MIN(15/26*Census!$D79*(1+Assumptions!$B$9)^N$5*(INT((Census!$F79+N$5))+IF((Census!$F79+N$5)-INT((Census!$F79+N$5))&gt;0.5,1,0)),Assumptions!$B$10))</f>
        <v>33022.336032723288</v>
      </c>
      <c r="O79" s="30">
        <f>IF(O$5&gt;$B79,0,INDEX(Decrements!$G$6:$G$58,Census!$G79+O$5-18)/INDEX(Decrements!$G$6:$G$58,Census!$G79-17)*(INDEX(Decrements!$D$6:$D$58,Census!$G79+O$5-18)+IF(O$5=$B79,INDEX(Decrements!$F$6:$F$58,Census!$G79+O$5-18),0)+INDEX(Decrements!$E$6:$E$58,Census!$G79+O$5-18)*IF((Census!$F79+O$5)&gt;=Assumptions!$B$11,1,0))*MIN(15/26*Census!$D79*(1+Assumptions!$B$9)^O$5*(INT((Census!$F79+O$5))+IF((Census!$F79+O$5)-INT((Census!$F79+O$5))&gt;0.5,1,0)),Assumptions!$B$10))</f>
        <v>32137.523460724788</v>
      </c>
      <c r="P79" s="30">
        <f>IF(P$5&gt;$B79,0,INDEX(Decrements!$G$6:$G$58,Census!$G79+P$5-18)/INDEX(Decrements!$G$6:$G$58,Census!$G79-17)*(INDEX(Decrements!$D$6:$D$58,Census!$G79+P$5-18)+IF(P$5=$B79,INDEX(Decrements!$F$6:$F$58,Census!$G79+P$5-18),0)+INDEX(Decrements!$E$6:$E$58,Census!$G79+P$5-18)*IF((Census!$F79+P$5)&gt;=Assumptions!$B$11,1,0))*MIN(15/26*Census!$D79*(1+Assumptions!$B$9)^P$5*(INT((Census!$F79+P$5))+IF((Census!$F79+P$5)-INT((Census!$F79+P$5))&gt;0.5,1,0)),Assumptions!$B$10))</f>
        <v>31286.847815034173</v>
      </c>
      <c r="Q79" s="30">
        <f>IF(Q$5&gt;$B79,0,INDEX(Decrements!$G$6:$G$58,Census!$G79+Q$5-18)/INDEX(Decrements!$G$6:$G$58,Census!$G79-17)*(INDEX(Decrements!$D$6:$D$58,Census!$G79+Q$5-18)+IF(Q$5=$B79,INDEX(Decrements!$F$6:$F$58,Census!$G79+Q$5-18),0)+INDEX(Decrements!$E$6:$E$58,Census!$G79+Q$5-18)*IF((Census!$F79+Q$5)&gt;=Assumptions!$B$11,1,0))*MIN(15/26*Census!$D79*(1+Assumptions!$B$9)^Q$5*(INT((Census!$F79+Q$5))+IF((Census!$F79+Q$5)-INT((Census!$F79+Q$5))&gt;0.5,1,0)),Assumptions!$B$10))</f>
        <v>21199.181434790728</v>
      </c>
      <c r="R79" s="30">
        <f>IF(R$5&gt;$B79,0,INDEX(Decrements!$G$6:$G$58,Census!$G79+R$5-18)/INDEX(Decrements!$G$6:$G$58,Census!$G79-17)*(INDEX(Decrements!$D$6:$D$58,Census!$G79+R$5-18)+IF(R$5=$B79,INDEX(Decrements!$F$6:$F$58,Census!$G79+R$5-18),0)+INDEX(Decrements!$E$6:$E$58,Census!$G79+R$5-18)*IF((Census!$F79+R$5)&gt;=Assumptions!$B$11,1,0))*MIN(15/26*Census!$D79*(1+Assumptions!$B$9)^R$5*(INT((Census!$F79+R$5))+IF((Census!$F79+R$5)-INT((Census!$F79+R$5))&gt;0.5,1,0)),Assumptions!$B$10))</f>
        <v>20934.462488404555</v>
      </c>
      <c r="S79" s="30">
        <f>IF(S$5&gt;$B79,0,INDEX(Decrements!$G$6:$G$58,Census!$G79+S$5-18)/INDEX(Decrements!$G$6:$G$58,Census!$G79-17)*(INDEX(Decrements!$D$6:$D$58,Census!$G79+S$5-18)+IF(S$5=$B79,INDEX(Decrements!$F$6:$F$58,Census!$G79+S$5-18),0)+INDEX(Decrements!$E$6:$E$58,Census!$G79+S$5-18)*IF((Census!$F79+S$5)&gt;=Assumptions!$B$11,1,0))*MIN(15/26*Census!$D79*(1+Assumptions!$B$9)^S$5*(INT((Census!$F79+S$5))+IF((Census!$F79+S$5)-INT((Census!$F79+S$5))&gt;0.5,1,0)),Assumptions!$B$10))</f>
        <v>20687.004315167062</v>
      </c>
      <c r="T79" s="30">
        <f>IF(T$5&gt;$B79,0,INDEX(Decrements!$G$6:$G$58,Census!$G79+T$5-18)/INDEX(Decrements!$G$6:$G$58,Census!$G79-17)*(INDEX(Decrements!$D$6:$D$58,Census!$G79+T$5-18)+IF(T$5=$B79,INDEX(Decrements!$F$6:$F$58,Census!$G79+T$5-18),0)+INDEX(Decrements!$E$6:$E$58,Census!$G79+T$5-18)*IF((Census!$F79+T$5)&gt;=Assumptions!$B$11,1,0))*MIN(15/26*Census!$D79*(1+Assumptions!$B$9)^T$5*(INT((Census!$F79+T$5))+IF((Census!$F79+T$5)-INT((Census!$F79+T$5))&gt;0.5,1,0)),Assumptions!$B$10))</f>
        <v>20457.170633616504</v>
      </c>
      <c r="U79" s="30">
        <f>IF(U$5&gt;$B79,0,INDEX(Decrements!$G$6:$G$58,Census!$G79+U$5-18)/INDEX(Decrements!$G$6:$G$58,Census!$G79-17)*(INDEX(Decrements!$D$6:$D$58,Census!$G79+U$5-18)+IF(U$5=$B79,INDEX(Decrements!$F$6:$F$58,Census!$G79+U$5-18),0)+INDEX(Decrements!$E$6:$E$58,Census!$G79+U$5-18)*IF((Census!$F79+U$5)&gt;=Assumptions!$B$11,1,0))*MIN(15/26*Census!$D79*(1+Assumptions!$B$9)^U$5*(INT((Census!$F79+U$5))+IF((Census!$F79+U$5)-INT((Census!$F79+U$5))&gt;0.5,1,0)),Assumptions!$B$10))</f>
        <v>20245.33716496691</v>
      </c>
      <c r="V79" s="30">
        <f>IF(V$5&gt;$B79,0,INDEX(Decrements!$G$6:$G$58,Census!$G79+V$5-18)/INDEX(Decrements!$G$6:$G$58,Census!$G79-17)*(INDEX(Decrements!$D$6:$D$58,Census!$G79+V$5-18)+IF(V$5=$B79,INDEX(Decrements!$F$6:$F$58,Census!$G79+V$5-18),0)+INDEX(Decrements!$E$6:$E$58,Census!$G79+V$5-18)*IF((Census!$F79+V$5)&gt;=Assumptions!$B$11,1,0))*MIN(15/26*Census!$D79*(1+Assumptions!$B$9)^V$5*(INT((Census!$F79+V$5))+IF((Census!$F79+V$5)-INT((Census!$F79+V$5))&gt;0.5,1,0)),Assumptions!$B$10))</f>
        <v>11826.075574759876</v>
      </c>
      <c r="W79" s="30">
        <f>IF(W$5&gt;$B79,0,INDEX(Decrements!$G$6:$G$58,Census!$G79+W$5-18)/INDEX(Decrements!$G$6:$G$58,Census!$G79-17)*(INDEX(Decrements!$D$6:$D$58,Census!$G79+W$5-18)+IF(W$5=$B79,INDEX(Decrements!$F$6:$F$58,Census!$G79+W$5-18),0)+INDEX(Decrements!$E$6:$E$58,Census!$G79+W$5-18)*IF((Census!$F79+W$5)&gt;=Assumptions!$B$11,1,0))*MIN(15/26*Census!$D79*(1+Assumptions!$B$9)^W$5*(INT((Census!$F79+W$5))+IF((Census!$F79+W$5)-INT((Census!$F79+W$5))&gt;0.5,1,0)),Assumptions!$B$10))</f>
        <v>11975.182020972652</v>
      </c>
      <c r="X79" s="30">
        <f>IF(X$5&gt;$B79,0,INDEX(Decrements!$G$6:$G$58,Census!$G79+X$5-18)/INDEX(Decrements!$G$6:$G$58,Census!$G79-17)*(INDEX(Decrements!$D$6:$D$58,Census!$G79+X$5-18)+IF(X$5=$B79,INDEX(Decrements!$F$6:$F$58,Census!$G79+X$5-18),0)+INDEX(Decrements!$E$6:$E$58,Census!$G79+X$5-18)*IF((Census!$F79+X$5)&gt;=Assumptions!$B$11,1,0))*MIN(15/26*Census!$D79*(1+Assumptions!$B$9)^X$5*(INT((Census!$F79+X$5))+IF((Census!$F79+X$5)-INT((Census!$F79+X$5))&gt;0.5,1,0)),Assumptions!$B$10))</f>
        <v>12144.017069560188</v>
      </c>
      <c r="Y79" s="30">
        <f>IF(Y$5&gt;$B79,0,INDEX(Decrements!$G$6:$G$58,Census!$G79+Y$5-18)/INDEX(Decrements!$G$6:$G$58,Census!$G79-17)*(INDEX(Decrements!$D$6:$D$58,Census!$G79+Y$5-18)+IF(Y$5=$B79,INDEX(Decrements!$F$6:$F$58,Census!$G79+Y$5-18),0)+INDEX(Decrements!$E$6:$E$58,Census!$G79+Y$5-18)*IF((Census!$F79+Y$5)&gt;=Assumptions!$B$11,1,0))*MIN(15/26*Census!$D79*(1+Assumptions!$B$9)^Y$5*(INT((Census!$F79+Y$5))+IF((Census!$F79+Y$5)-INT((Census!$F79+Y$5))&gt;0.5,1,0)),Assumptions!$B$10))</f>
        <v>12333.728210636717</v>
      </c>
      <c r="Z79" s="30">
        <f>IF(Z$5&gt;$B79,0,INDEX(Decrements!$G$6:$G$58,Census!$G79+Z$5-18)/INDEX(Decrements!$G$6:$G$58,Census!$G79-17)*(INDEX(Decrements!$D$6:$D$58,Census!$G79+Z$5-18)+IF(Z$5=$B79,INDEX(Decrements!$F$6:$F$58,Census!$G79+Z$5-18),0)+INDEX(Decrements!$E$6:$E$58,Census!$G79+Z$5-18)*IF((Census!$F79+Z$5)&gt;=Assumptions!$B$11,1,0))*MIN(15/26*Census!$D79*(1+Assumptions!$B$9)^Z$5*(INT((Census!$F79+Z$5))+IF((Census!$F79+Z$5)-INT((Census!$F79+Z$5))&gt;0.5,1,0)),Assumptions!$B$10))</f>
        <v>777902.377824247</v>
      </c>
      <c r="AA79" s="30">
        <f>IF(AA$5&gt;$B79,0,INDEX(Decrements!$G$6:$G$58,Census!$G79+AA$5-18)/INDEX(Decrements!$G$6:$G$58,Census!$G79-17)*(INDEX(Decrements!$D$6:$D$58,Census!$G79+AA$5-18)+IF(AA$5=$B79,INDEX(Decrements!$F$6:$F$58,Census!$G79+AA$5-18),0)+INDEX(Decrements!$E$6:$E$58,Census!$G79+AA$5-18)*IF((Census!$F79+AA$5)&gt;=Assumptions!$B$11,1,0))*MIN(15/26*Census!$D79*(1+Assumptions!$B$9)^AA$5*(INT((Census!$F79+AA$5))+IF((Census!$F79+AA$5)-INT((Census!$F79+AA$5))&gt;0.5,1,0)),Assumptions!$B$10))</f>
        <v>0</v>
      </c>
      <c r="AB79" s="30">
        <f>IF(AB$5&gt;$B79,0,INDEX(Decrements!$G$6:$G$58,Census!$G79+AB$5-18)/INDEX(Decrements!$G$6:$G$58,Census!$G79-17)*(INDEX(Decrements!$D$6:$D$58,Census!$G79+AB$5-18)+IF(AB$5=$B79,INDEX(Decrements!$F$6:$F$58,Census!$G79+AB$5-18),0)+INDEX(Decrements!$E$6:$E$58,Census!$G79+AB$5-18)*IF((Census!$F79+AB$5)&gt;=Assumptions!$B$11,1,0))*MIN(15/26*Census!$D79*(1+Assumptions!$B$9)^AB$5*(INT((Census!$F79+AB$5))+IF((Census!$F79+AB$5)-INT((Census!$F79+AB$5))&gt;0.5,1,0)),Assumptions!$B$10))</f>
        <v>0</v>
      </c>
      <c r="AC79" s="30">
        <f>IF(AC$5&gt;$B79,0,INDEX(Decrements!$G$6:$G$58,Census!$G79+AC$5-18)/INDEX(Decrements!$G$6:$G$58,Census!$G79-17)*(INDEX(Decrements!$D$6:$D$58,Census!$G79+AC$5-18)+IF(AC$5=$B79,INDEX(Decrements!$F$6:$F$58,Census!$G79+AC$5-18),0)+INDEX(Decrements!$E$6:$E$58,Census!$G79+AC$5-18)*IF((Census!$F79+AC$5)&gt;=Assumptions!$B$11,1,0))*MIN(15/26*Census!$D79*(1+Assumptions!$B$9)^AC$5*(INT((Census!$F79+AC$5))+IF((Census!$F79+AC$5)-INT((Census!$F79+AC$5))&gt;0.5,1,0)),Assumptions!$B$10))</f>
        <v>0</v>
      </c>
      <c r="AD79" s="30">
        <f>IF(AD$5&gt;$B79,0,INDEX(Decrements!$G$6:$G$58,Census!$G79+AD$5-18)/INDEX(Decrements!$G$6:$G$58,Census!$G79-17)*(INDEX(Decrements!$D$6:$D$58,Census!$G79+AD$5-18)+IF(AD$5=$B79,INDEX(Decrements!$F$6:$F$58,Census!$G79+AD$5-18),0)+INDEX(Decrements!$E$6:$E$58,Census!$G79+AD$5-18)*IF((Census!$F79+AD$5)&gt;=Assumptions!$B$11,1,0))*MIN(15/26*Census!$D79*(1+Assumptions!$B$9)^AD$5*(INT((Census!$F79+AD$5))+IF((Census!$F79+AD$5)-INT((Census!$F79+AD$5))&gt;0.5,1,0)),Assumptions!$B$10))</f>
        <v>0</v>
      </c>
      <c r="AE79" s="30">
        <f>IF(AE$5&gt;$B79,0,INDEX(Decrements!$G$6:$G$58,Census!$G79+AE$5-18)/INDEX(Decrements!$G$6:$G$58,Census!$G79-17)*(INDEX(Decrements!$D$6:$D$58,Census!$G79+AE$5-18)+IF(AE$5=$B79,INDEX(Decrements!$F$6:$F$58,Census!$G79+AE$5-18),0)+INDEX(Decrements!$E$6:$E$58,Census!$G79+AE$5-18)*IF((Census!$F79+AE$5)&gt;=Assumptions!$B$11,1,0))*MIN(15/26*Census!$D79*(1+Assumptions!$B$9)^AE$5*(INT((Census!$F79+AE$5))+IF((Census!$F79+AE$5)-INT((Census!$F79+AE$5))&gt;0.5,1,0)),Assumptions!$B$10))</f>
        <v>0</v>
      </c>
      <c r="AF79" s="30">
        <f>IF(AF$5&gt;$B79,0,INDEX(Decrements!$G$6:$G$58,Census!$G79+AF$5-18)/INDEX(Decrements!$G$6:$G$58,Census!$G79-17)*(INDEX(Decrements!$D$6:$D$58,Census!$G79+AF$5-18)+IF(AF$5=$B79,INDEX(Decrements!$F$6:$F$58,Census!$G79+AF$5-18),0)+INDEX(Decrements!$E$6:$E$58,Census!$G79+AF$5-18)*IF((Census!$F79+AF$5)&gt;=Assumptions!$B$11,1,0))*MIN(15/26*Census!$D79*(1+Assumptions!$B$9)^AF$5*(INT((Census!$F79+AF$5))+IF((Census!$F79+AF$5)-INT((Census!$F79+AF$5))&gt;0.5,1,0)),Assumptions!$B$10))</f>
        <v>0</v>
      </c>
      <c r="AG79" s="30">
        <f>IF(AG$5&gt;$B79,0,INDEX(Decrements!$G$6:$G$58,Census!$G79+AG$5-18)/INDEX(Decrements!$G$6:$G$58,Census!$G79-17)*(INDEX(Decrements!$D$6:$D$58,Census!$G79+AG$5-18)+IF(AG$5=$B79,INDEX(Decrements!$F$6:$F$58,Census!$G79+AG$5-18),0)+INDEX(Decrements!$E$6:$E$58,Census!$G79+AG$5-18)*IF((Census!$F79+AG$5)&gt;=Assumptions!$B$11,1,0))*MIN(15/26*Census!$D79*(1+Assumptions!$B$9)^AG$5*(INT((Census!$F79+AG$5))+IF((Census!$F79+AG$5)-INT((Census!$F79+AG$5))&gt;0.5,1,0)),Assumptions!$B$10))</f>
        <v>0</v>
      </c>
      <c r="AH79" s="30">
        <f>IF(AH$5&gt;$B79,0,INDEX(Decrements!$G$6:$G$58,Census!$G79+AH$5-18)/INDEX(Decrements!$G$6:$G$58,Census!$G79-17)*(INDEX(Decrements!$D$6:$D$58,Census!$G79+AH$5-18)+IF(AH$5=$B79,INDEX(Decrements!$F$6:$F$58,Census!$G79+AH$5-18),0)+INDEX(Decrements!$E$6:$E$58,Census!$G79+AH$5-18)*IF((Census!$F79+AH$5)&gt;=Assumptions!$B$11,1,0))*MIN(15/26*Census!$D79*(1+Assumptions!$B$9)^AH$5*(INT((Census!$F79+AH$5))+IF((Census!$F79+AH$5)-INT((Census!$F79+AH$5))&gt;0.5,1,0)),Assumptions!$B$10))</f>
        <v>0</v>
      </c>
      <c r="AI79" s="30">
        <f>IF(AI$5&gt;$B79,0,INDEX(Decrements!$G$6:$G$58,Census!$G79+AI$5-18)/INDEX(Decrements!$G$6:$G$58,Census!$G79-17)*(INDEX(Decrements!$D$6:$D$58,Census!$G79+AI$5-18)+IF(AI$5=$B79,INDEX(Decrements!$F$6:$F$58,Census!$G79+AI$5-18),0)+INDEX(Decrements!$E$6:$E$58,Census!$G79+AI$5-18)*IF((Census!$F79+AI$5)&gt;=Assumptions!$B$11,1,0))*MIN(15/26*Census!$D79*(1+Assumptions!$B$9)^AI$5*(INT((Census!$F79+AI$5))+IF((Census!$F79+AI$5)-INT((Census!$F79+AI$5))&gt;0.5,1,0)),Assumptions!$B$10))</f>
        <v>0</v>
      </c>
      <c r="AJ79" s="30">
        <f>IF(AJ$5&gt;$B79,0,INDEX(Decrements!$G$6:$G$58,Census!$G79+AJ$5-18)/INDEX(Decrements!$G$6:$G$58,Census!$G79-17)*(INDEX(Decrements!$D$6:$D$58,Census!$G79+AJ$5-18)+IF(AJ$5=$B79,INDEX(Decrements!$F$6:$F$58,Census!$G79+AJ$5-18),0)+INDEX(Decrements!$E$6:$E$58,Census!$G79+AJ$5-18)*IF((Census!$F79+AJ$5)&gt;=Assumptions!$B$11,1,0))*MIN(15/26*Census!$D79*(1+Assumptions!$B$9)^AJ$5*(INT((Census!$F79+AJ$5))+IF((Census!$F79+AJ$5)-INT((Census!$F79+AJ$5))&gt;0.5,1,0)),Assumptions!$B$10))</f>
        <v>0</v>
      </c>
      <c r="AK79" s="30">
        <f>IF(AK$5&gt;$B79,0,INDEX(Decrements!$G$6:$G$58,Census!$G79+AK$5-18)/INDEX(Decrements!$G$6:$G$58,Census!$G79-17)*(INDEX(Decrements!$D$6:$D$58,Census!$G79+AK$5-18)+IF(AK$5=$B79,INDEX(Decrements!$F$6:$F$58,Census!$G79+AK$5-18),0)+INDEX(Decrements!$E$6:$E$58,Census!$G79+AK$5-18)*IF((Census!$F79+AK$5)&gt;=Assumptions!$B$11,1,0))*MIN(15/26*Census!$D79*(1+Assumptions!$B$9)^AK$5*(INT((Census!$F79+AK$5))+IF((Census!$F79+AK$5)-INT((Census!$F79+AK$5))&gt;0.5,1,0)),Assumptions!$B$10))</f>
        <v>0</v>
      </c>
      <c r="AL79" s="30">
        <f>IF(AL$5&gt;$B79,0,INDEX(Decrements!$G$6:$G$58,Census!$G79+AL$5-18)/INDEX(Decrements!$G$6:$G$58,Census!$G79-17)*(INDEX(Decrements!$D$6:$D$58,Census!$G79+AL$5-18)+IF(AL$5=$B79,INDEX(Decrements!$F$6:$F$58,Census!$G79+AL$5-18),0)+INDEX(Decrements!$E$6:$E$58,Census!$G79+AL$5-18)*IF((Census!$F79+AL$5)&gt;=Assumptions!$B$11,1,0))*MIN(15/26*Census!$D79*(1+Assumptions!$B$9)^AL$5*(INT((Census!$F79+AL$5))+IF((Census!$F79+AL$5)-INT((Census!$F79+AL$5))&gt;0.5,1,0)),Assumptions!$B$10))</f>
        <v>0</v>
      </c>
      <c r="AM79" s="30">
        <f>IF(AM$5&gt;$B79,0,INDEX(Decrements!$G$6:$G$58,Census!$G79+AM$5-18)/INDEX(Decrements!$G$6:$G$58,Census!$G79-17)*(INDEX(Decrements!$D$6:$D$58,Census!$G79+AM$5-18)+IF(AM$5=$B79,INDEX(Decrements!$F$6:$F$58,Census!$G79+AM$5-18),0)+INDEX(Decrements!$E$6:$E$58,Census!$G79+AM$5-18)*IF((Census!$F79+AM$5)&gt;=Assumptions!$B$11,1,0))*MIN(15/26*Census!$D79*(1+Assumptions!$B$9)^AM$5*(INT((Census!$F79+AM$5))+IF((Census!$F79+AM$5)-INT((Census!$F79+AM$5))&gt;0.5,1,0)),Assumptions!$B$10))</f>
        <v>0</v>
      </c>
      <c r="AN79" s="30">
        <f>IF(AN$5&gt;$B79,0,INDEX(Decrements!$G$6:$G$58,Census!$G79+AN$5-18)/INDEX(Decrements!$G$6:$G$58,Census!$G79-17)*(INDEX(Decrements!$D$6:$D$58,Census!$G79+AN$5-18)+IF(AN$5=$B79,INDEX(Decrements!$F$6:$F$58,Census!$G79+AN$5-18),0)+INDEX(Decrements!$E$6:$E$58,Census!$G79+AN$5-18)*IF((Census!$F79+AN$5)&gt;=Assumptions!$B$11,1,0))*MIN(15/26*Census!$D79*(1+Assumptions!$B$9)^AN$5*(INT((Census!$F79+AN$5))+IF((Census!$F79+AN$5)-INT((Census!$F79+AN$5))&gt;0.5,1,0)),Assumptions!$B$10))</f>
        <v>0</v>
      </c>
      <c r="AO79" s="30">
        <f>IF(AO$5&gt;$B79,0,INDEX(Decrements!$G$6:$G$58,Census!$G79+AO$5-18)/INDEX(Decrements!$G$6:$G$58,Census!$G79-17)*(INDEX(Decrements!$D$6:$D$58,Census!$G79+AO$5-18)+IF(AO$5=$B79,INDEX(Decrements!$F$6:$F$58,Census!$G79+AO$5-18),0)+INDEX(Decrements!$E$6:$E$58,Census!$G79+AO$5-18)*IF((Census!$F79+AO$5)&gt;=Assumptions!$B$11,1,0))*MIN(15/26*Census!$D79*(1+Assumptions!$B$9)^AO$5*(INT((Census!$F79+AO$5))+IF((Census!$F79+AO$5)-INT((Census!$F79+AO$5))&gt;0.5,1,0)),Assumptions!$B$10))</f>
        <v>0</v>
      </c>
      <c r="AP79" s="30">
        <f>IF(AP$5&gt;$B79,0,INDEX(Decrements!$G$6:$G$58,Census!$G79+AP$5-18)/INDEX(Decrements!$G$6:$G$58,Census!$G79-17)*(INDEX(Decrements!$D$6:$D$58,Census!$G79+AP$5-18)+IF(AP$5=$B79,INDEX(Decrements!$F$6:$F$58,Census!$G79+AP$5-18),0)+INDEX(Decrements!$E$6:$E$58,Census!$G79+AP$5-18)*IF((Census!$F79+AP$5)&gt;=Assumptions!$B$11,1,0))*MIN(15/26*Census!$D79*(1+Assumptions!$B$9)^AP$5*(INT((Census!$F79+AP$5))+IF((Census!$F79+AP$5)-INT((Census!$F79+AP$5))&gt;0.5,1,0)),Assumptions!$B$10))</f>
        <v>0</v>
      </c>
      <c r="AQ79" s="30">
        <f>IF(AQ$5&gt;$B79,0,INDEX(Decrements!$G$6:$G$58,Census!$G79+AQ$5-18)/INDEX(Decrements!$G$6:$G$58,Census!$G79-17)*(INDEX(Decrements!$D$6:$D$58,Census!$G79+AQ$5-18)+IF(AQ$5=$B79,INDEX(Decrements!$F$6:$F$58,Census!$G79+AQ$5-18),0)+INDEX(Decrements!$E$6:$E$58,Census!$G79+AQ$5-18)*IF((Census!$F79+AQ$5)&gt;=Assumptions!$B$11,1,0))*MIN(15/26*Census!$D79*(1+Assumptions!$B$9)^AQ$5*(INT((Census!$F79+AQ$5))+IF((Census!$F79+AQ$5)-INT((Census!$F79+AQ$5))&gt;0.5,1,0)),Assumptions!$B$10))</f>
        <v>0</v>
      </c>
      <c r="AR79" s="30">
        <f>IF(AR$5&gt;$B79,0,INDEX(Decrements!$G$6:$G$58,Census!$G79+AR$5-18)/INDEX(Decrements!$G$6:$G$58,Census!$G79-17)*(INDEX(Decrements!$D$6:$D$58,Census!$G79+AR$5-18)+IF(AR$5=$B79,INDEX(Decrements!$F$6:$F$58,Census!$G79+AR$5-18),0)+INDEX(Decrements!$E$6:$E$58,Census!$G79+AR$5-18)*IF((Census!$F79+AR$5)&gt;=Assumptions!$B$11,1,0))*MIN(15/26*Census!$D79*(1+Assumptions!$B$9)^AR$5*(INT((Census!$F79+AR$5))+IF((Census!$F79+AR$5)-INT((Census!$F79+AR$5))&gt;0.5,1,0)),Assumptions!$B$10))</f>
        <v>0</v>
      </c>
      <c r="AS79" s="30">
        <f>IF(AS$5&gt;$B79,0,INDEX(Decrements!$G$6:$G$58,Census!$G79+AS$5-18)/INDEX(Decrements!$G$6:$G$58,Census!$G79-17)*(INDEX(Decrements!$D$6:$D$58,Census!$G79+AS$5-18)+IF(AS$5=$B79,INDEX(Decrements!$F$6:$F$58,Census!$G79+AS$5-18),0)+INDEX(Decrements!$E$6:$E$58,Census!$G79+AS$5-18)*IF((Census!$F79+AS$5)&gt;=Assumptions!$B$11,1,0))*MIN(15/26*Census!$D79*(1+Assumptions!$B$9)^AS$5*(INT((Census!$F79+AS$5))+IF((Census!$F79+AS$5)-INT((Census!$F79+AS$5))&gt;0.5,1,0)),Assumptions!$B$10))</f>
        <v>0</v>
      </c>
      <c r="AT79" s="30">
        <f>IF(AT$5&gt;$B79,0,INDEX(Decrements!$G$6:$G$58,Census!$G79+AT$5-18)/INDEX(Decrements!$G$6:$G$58,Census!$G79-17)*(INDEX(Decrements!$D$6:$D$58,Census!$G79+AT$5-18)+IF(AT$5=$B79,INDEX(Decrements!$F$6:$F$58,Census!$G79+AT$5-18),0)+INDEX(Decrements!$E$6:$E$58,Census!$G79+AT$5-18)*IF((Census!$F79+AT$5)&gt;=Assumptions!$B$11,1,0))*MIN(15/26*Census!$D79*(1+Assumptions!$B$9)^AT$5*(INT((Census!$F79+AT$5))+IF((Census!$F79+AT$5)-INT((Census!$F79+AT$5))&gt;0.5,1,0)),Assumptions!$B$10))</f>
        <v>0</v>
      </c>
      <c r="AU79" s="30">
        <f>IF(AU$5&gt;$B79,0,INDEX(Decrements!$G$6:$G$58,Census!$G79+AU$5-18)/INDEX(Decrements!$G$6:$G$58,Census!$G79-17)*(INDEX(Decrements!$D$6:$D$58,Census!$G79+AU$5-18)+IF(AU$5=$B79,INDEX(Decrements!$F$6:$F$58,Census!$G79+AU$5-18),0)+INDEX(Decrements!$E$6:$E$58,Census!$G79+AU$5-18)*IF((Census!$F79+AU$5)&gt;=Assumptions!$B$11,1,0))*MIN(15/26*Census!$D79*(1+Assumptions!$B$9)^AU$5*(INT((Census!$F79+AU$5))+IF((Census!$F79+AU$5)-INT((Census!$F79+AU$5))&gt;0.5,1,0)),Assumptions!$B$10))</f>
        <v>0</v>
      </c>
    </row>
    <row r="80" spans="1:47" x14ac:dyDescent="0.3">
      <c r="A80" s="10" t="str">
        <f>Census!A80</f>
        <v>E075</v>
      </c>
      <c r="B80" s="29">
        <f>Census!H80</f>
        <v>19</v>
      </c>
      <c r="C80" s="30">
        <f>IF(C$5&gt;$B80,0,INDEX(Decrements!$G$6:$G$58,Census!$G80+C$5-18)/INDEX(Decrements!$G$6:$G$58,Census!$G80-17)*(INDEX(Decrements!$D$6:$D$58,Census!$G80+C$5-18)+IF(C$5=$B80,INDEX(Decrements!$F$6:$F$58,Census!$G80+C$5-18),0)+INDEX(Decrements!$E$6:$E$58,Census!$G80+C$5-18)*IF((Census!$F80+C$5)&gt;=Assumptions!$B$11,1,0))*MIN(15/26*Census!$D80*(1+Assumptions!$B$9)^C$5*(INT((Census!$F80+C$5))+IF((Census!$F80+C$5)-INT((Census!$F80+C$5))&gt;0.5,1,0)),Assumptions!$B$10))</f>
        <v>19963.625900954758</v>
      </c>
      <c r="D80" s="30">
        <f>IF(D$5&gt;$B80,0,INDEX(Decrements!$G$6:$G$58,Census!$G80+D$5-18)/INDEX(Decrements!$G$6:$G$58,Census!$G80-17)*(INDEX(Decrements!$D$6:$D$58,Census!$G80+D$5-18)+IF(D$5=$B80,INDEX(Decrements!$F$6:$F$58,Census!$G80+D$5-18),0)+INDEX(Decrements!$E$6:$E$58,Census!$G80+D$5-18)*IF((Census!$F80+D$5)&gt;=Assumptions!$B$11,1,0))*MIN(15/26*Census!$D80*(1+Assumptions!$B$9)^D$5*(INT((Census!$F80+D$5))+IF((Census!$F80+D$5)-INT((Census!$F80+D$5))&gt;0.5,1,0)),Assumptions!$B$10))</f>
        <v>22769.516903972177</v>
      </c>
      <c r="E80" s="30">
        <f>IF(E$5&gt;$B80,0,INDEX(Decrements!$G$6:$G$58,Census!$G80+E$5-18)/INDEX(Decrements!$G$6:$G$58,Census!$G80-17)*(INDEX(Decrements!$D$6:$D$58,Census!$G80+E$5-18)+IF(E$5=$B80,INDEX(Decrements!$F$6:$F$58,Census!$G80+E$5-18),0)+INDEX(Decrements!$E$6:$E$58,Census!$G80+E$5-18)*IF((Census!$F80+E$5)&gt;=Assumptions!$B$11,1,0))*MIN(15/26*Census!$D80*(1+Assumptions!$B$9)^E$5*(INT((Census!$F80+E$5))+IF((Census!$F80+E$5)-INT((Census!$F80+E$5))&gt;0.5,1,0)),Assumptions!$B$10))</f>
        <v>25712.231551054505</v>
      </c>
      <c r="F80" s="30">
        <f>IF(F$5&gt;$B80,0,INDEX(Decrements!$G$6:$G$58,Census!$G80+F$5-18)/INDEX(Decrements!$G$6:$G$58,Census!$G80-17)*(INDEX(Decrements!$D$6:$D$58,Census!$G80+F$5-18)+IF(F$5=$B80,INDEX(Decrements!$F$6:$F$58,Census!$G80+F$5-18),0)+INDEX(Decrements!$E$6:$E$58,Census!$G80+F$5-18)*IF((Census!$F80+F$5)&gt;=Assumptions!$B$11,1,0))*MIN(15/26*Census!$D80*(1+Assumptions!$B$9)^F$5*(INT((Census!$F80+F$5))+IF((Census!$F80+F$5)-INT((Census!$F80+F$5))&gt;0.5,1,0)),Assumptions!$B$10))</f>
        <v>28797.925361486185</v>
      </c>
      <c r="G80" s="30">
        <f>IF(G$5&gt;$B80,0,INDEX(Decrements!$G$6:$G$58,Census!$G80+G$5-18)/INDEX(Decrements!$G$6:$G$58,Census!$G80-17)*(INDEX(Decrements!$D$6:$D$58,Census!$G80+G$5-18)+IF(G$5=$B80,INDEX(Decrements!$F$6:$F$58,Census!$G80+G$5-18),0)+INDEX(Decrements!$E$6:$E$58,Census!$G80+G$5-18)*IF((Census!$F80+G$5)&gt;=Assumptions!$B$11,1,0))*MIN(15/26*Census!$D80*(1+Assumptions!$B$9)^G$5*(INT((Census!$F80+G$5))+IF((Census!$F80+G$5)-INT((Census!$F80+G$5))&gt;0.5,1,0)),Assumptions!$B$10))</f>
        <v>19696.41629197132</v>
      </c>
      <c r="H80" s="30">
        <f>IF(H$5&gt;$B80,0,INDEX(Decrements!$G$6:$G$58,Census!$G80+H$5-18)/INDEX(Decrements!$G$6:$G$58,Census!$G80-17)*(INDEX(Decrements!$D$6:$D$58,Census!$G80+H$5-18)+IF(H$5=$B80,INDEX(Decrements!$F$6:$F$58,Census!$G80+H$5-18),0)+INDEX(Decrements!$E$6:$E$58,Census!$G80+H$5-18)*IF((Census!$F80+H$5)&gt;=Assumptions!$B$11,1,0))*MIN(15/26*Census!$D80*(1+Assumptions!$B$9)^H$5*(INT((Census!$F80+H$5))+IF((Census!$F80+H$5)-INT((Census!$F80+H$5))&gt;0.5,1,0)),Assumptions!$B$10))</f>
        <v>22281.399764493894</v>
      </c>
      <c r="I80" s="30">
        <f>IF(I$5&gt;$B80,0,INDEX(Decrements!$G$6:$G$58,Census!$G80+I$5-18)/INDEX(Decrements!$G$6:$G$58,Census!$G80-17)*(INDEX(Decrements!$D$6:$D$58,Census!$G80+I$5-18)+IF(I$5=$B80,INDEX(Decrements!$F$6:$F$58,Census!$G80+I$5-18),0)+INDEX(Decrements!$E$6:$E$58,Census!$G80+I$5-18)*IF((Census!$F80+I$5)&gt;=Assumptions!$B$11,1,0))*MIN(15/26*Census!$D80*(1+Assumptions!$B$9)^I$5*(INT((Census!$F80+I$5))+IF((Census!$F80+I$5)-INT((Census!$F80+I$5))&gt;0.5,1,0)),Assumptions!$B$10))</f>
        <v>25084.189282370611</v>
      </c>
      <c r="J80" s="30">
        <f>IF(J$5&gt;$B80,0,INDEX(Decrements!$G$6:$G$58,Census!$G80+J$5-18)/INDEX(Decrements!$G$6:$G$58,Census!$G80-17)*(INDEX(Decrements!$D$6:$D$58,Census!$G80+J$5-18)+IF(J$5=$B80,INDEX(Decrements!$F$6:$F$58,Census!$G80+J$5-18),0)+INDEX(Decrements!$E$6:$E$58,Census!$G80+J$5-18)*IF((Census!$F80+J$5)&gt;=Assumptions!$B$11,1,0))*MIN(15/26*Census!$D80*(1+Assumptions!$B$9)^J$5*(INT((Census!$F80+J$5))+IF((Census!$F80+J$5)-INT((Census!$F80+J$5))&gt;0.5,1,0)),Assumptions!$B$10))</f>
        <v>28122.709620288741</v>
      </c>
      <c r="K80" s="30">
        <f>IF(K$5&gt;$B80,0,INDEX(Decrements!$G$6:$G$58,Census!$G80+K$5-18)/INDEX(Decrements!$G$6:$G$58,Census!$G80-17)*(INDEX(Decrements!$D$6:$D$58,Census!$G80+K$5-18)+IF(K$5=$B80,INDEX(Decrements!$F$6:$F$58,Census!$G80+K$5-18),0)+INDEX(Decrements!$E$6:$E$58,Census!$G80+K$5-18)*IF((Census!$F80+K$5)&gt;=Assumptions!$B$11,1,0))*MIN(15/26*Census!$D80*(1+Assumptions!$B$9)^K$5*(INT((Census!$F80+K$5))+IF((Census!$F80+K$5)-INT((Census!$F80+K$5))&gt;0.5,1,0)),Assumptions!$B$10))</f>
        <v>31416.605586787988</v>
      </c>
      <c r="L80" s="30">
        <f>IF(L$5&gt;$B80,0,INDEX(Decrements!$G$6:$G$58,Census!$G80+L$5-18)/INDEX(Decrements!$G$6:$G$58,Census!$G80-17)*(INDEX(Decrements!$D$6:$D$58,Census!$G80+L$5-18)+IF(L$5=$B80,INDEX(Decrements!$F$6:$F$58,Census!$G80+L$5-18),0)+INDEX(Decrements!$E$6:$E$58,Census!$G80+L$5-18)*IF((Census!$F80+L$5)&gt;=Assumptions!$B$11,1,0))*MIN(15/26*Census!$D80*(1+Assumptions!$B$9)^L$5*(INT((Census!$F80+L$5))+IF((Census!$F80+L$5)-INT((Census!$F80+L$5))&gt;0.5,1,0)),Assumptions!$B$10))</f>
        <v>24342.427272185341</v>
      </c>
      <c r="M80" s="30">
        <f>IF(M$5&gt;$B80,0,INDEX(Decrements!$G$6:$G$58,Census!$G80+M$5-18)/INDEX(Decrements!$G$6:$G$58,Census!$G80-17)*(INDEX(Decrements!$D$6:$D$58,Census!$G80+M$5-18)+IF(M$5=$B80,INDEX(Decrements!$F$6:$F$58,Census!$G80+M$5-18),0)+INDEX(Decrements!$E$6:$E$58,Census!$G80+M$5-18)*IF((Census!$F80+M$5)&gt;=Assumptions!$B$11,1,0))*MIN(15/26*Census!$D80*(1+Assumptions!$B$9)^M$5*(INT((Census!$F80+M$5))+IF((Census!$F80+M$5)-INT((Census!$F80+M$5))&gt;0.5,1,0)),Assumptions!$B$10))</f>
        <v>27403.84201522799</v>
      </c>
      <c r="N80" s="30">
        <f>IF(N$5&gt;$B80,0,INDEX(Decrements!$G$6:$G$58,Census!$G80+N$5-18)/INDEX(Decrements!$G$6:$G$58,Census!$G80-17)*(INDEX(Decrements!$D$6:$D$58,Census!$G80+N$5-18)+IF(N$5=$B80,INDEX(Decrements!$F$6:$F$58,Census!$G80+N$5-18),0)+INDEX(Decrements!$E$6:$E$58,Census!$G80+N$5-18)*IF((Census!$F80+N$5)&gt;=Assumptions!$B$11,1,0))*MIN(15/26*Census!$D80*(1+Assumptions!$B$9)^N$5*(INT((Census!$F80+N$5))+IF((Census!$F80+N$5)-INT((Census!$F80+N$5))&gt;0.5,1,0)),Assumptions!$B$10))</f>
        <v>30578.148423989474</v>
      </c>
      <c r="O80" s="30">
        <f>IF(O$5&gt;$B80,0,INDEX(Decrements!$G$6:$G$58,Census!$G80+O$5-18)/INDEX(Decrements!$G$6:$G$58,Census!$G80-17)*(INDEX(Decrements!$D$6:$D$58,Census!$G80+O$5-18)+IF(O$5=$B80,INDEX(Decrements!$F$6:$F$58,Census!$G80+O$5-18),0)+INDEX(Decrements!$E$6:$E$58,Census!$G80+O$5-18)*IF((Census!$F80+O$5)&gt;=Assumptions!$B$11,1,0))*MIN(15/26*Census!$D80*(1+Assumptions!$B$9)^O$5*(INT((Census!$F80+O$5))+IF((Census!$F80+O$5)-INT((Census!$F80+O$5))&gt;0.5,1,0)),Assumptions!$B$10))</f>
        <v>30238.423622843071</v>
      </c>
      <c r="P80" s="30">
        <f>IF(P$5&gt;$B80,0,INDEX(Decrements!$G$6:$G$58,Census!$G80+P$5-18)/INDEX(Decrements!$G$6:$G$58,Census!$G80-17)*(INDEX(Decrements!$D$6:$D$58,Census!$G80+P$5-18)+IF(P$5=$B80,INDEX(Decrements!$F$6:$F$58,Census!$G80+P$5-18),0)+INDEX(Decrements!$E$6:$E$58,Census!$G80+P$5-18)*IF((Census!$F80+P$5)&gt;=Assumptions!$B$11,1,0))*MIN(15/26*Census!$D80*(1+Assumptions!$B$9)^P$5*(INT((Census!$F80+P$5))+IF((Census!$F80+P$5)-INT((Census!$F80+P$5))&gt;0.5,1,0)),Assumptions!$B$10))</f>
        <v>29925.305534460083</v>
      </c>
      <c r="Q80" s="30">
        <f>IF(Q$5&gt;$B80,0,INDEX(Decrements!$G$6:$G$58,Census!$G80+Q$5-18)/INDEX(Decrements!$G$6:$G$58,Census!$G80-17)*(INDEX(Decrements!$D$6:$D$58,Census!$G80+Q$5-18)+IF(Q$5=$B80,INDEX(Decrements!$F$6:$F$58,Census!$G80+Q$5-18),0)+INDEX(Decrements!$E$6:$E$58,Census!$G80+Q$5-18)*IF((Census!$F80+Q$5)&gt;=Assumptions!$B$11,1,0))*MIN(15/26*Census!$D80*(1+Assumptions!$B$9)^Q$5*(INT((Census!$F80+Q$5))+IF((Census!$F80+Q$5)-INT((Census!$F80+Q$5))&gt;0.5,1,0)),Assumptions!$B$10))</f>
        <v>17480.515239859844</v>
      </c>
      <c r="R80" s="30">
        <f>IF(R$5&gt;$B80,0,INDEX(Decrements!$G$6:$G$58,Census!$G80+R$5-18)/INDEX(Decrements!$G$6:$G$58,Census!$G80-17)*(INDEX(Decrements!$D$6:$D$58,Census!$G80+R$5-18)+IF(R$5=$B80,INDEX(Decrements!$F$6:$F$58,Census!$G80+R$5-18),0)+INDEX(Decrements!$E$6:$E$58,Census!$G80+R$5-18)*IF((Census!$F80+R$5)&gt;=Assumptions!$B$11,1,0))*MIN(15/26*Census!$D80*(1+Assumptions!$B$9)^R$5*(INT((Census!$F80+R$5))+IF((Census!$F80+R$5)-INT((Census!$F80+R$5))&gt;0.5,1,0)),Assumptions!$B$10))</f>
        <v>17700.91443221294</v>
      </c>
      <c r="S80" s="30">
        <f>IF(S$5&gt;$B80,0,INDEX(Decrements!$G$6:$G$58,Census!$G80+S$5-18)/INDEX(Decrements!$G$6:$G$58,Census!$G80-17)*(INDEX(Decrements!$D$6:$D$58,Census!$G80+S$5-18)+IF(S$5=$B80,INDEX(Decrements!$F$6:$F$58,Census!$G80+S$5-18),0)+INDEX(Decrements!$E$6:$E$58,Census!$G80+S$5-18)*IF((Census!$F80+S$5)&gt;=Assumptions!$B$11,1,0))*MIN(15/26*Census!$D80*(1+Assumptions!$B$9)^S$5*(INT((Census!$F80+S$5))+IF((Census!$F80+S$5)-INT((Census!$F80+S$5))&gt;0.5,1,0)),Assumptions!$B$10))</f>
        <v>17950.475127238078</v>
      </c>
      <c r="T80" s="30">
        <f>IF(T$5&gt;$B80,0,INDEX(Decrements!$G$6:$G$58,Census!$G80+T$5-18)/INDEX(Decrements!$G$6:$G$58,Census!$G80-17)*(INDEX(Decrements!$D$6:$D$58,Census!$G80+T$5-18)+IF(T$5=$B80,INDEX(Decrements!$F$6:$F$58,Census!$G80+T$5-18),0)+INDEX(Decrements!$E$6:$E$58,Census!$G80+T$5-18)*IF((Census!$F80+T$5)&gt;=Assumptions!$B$11,1,0))*MIN(15/26*Census!$D80*(1+Assumptions!$B$9)^T$5*(INT((Census!$F80+T$5))+IF((Census!$F80+T$5)-INT((Census!$F80+T$5))&gt;0.5,1,0)),Assumptions!$B$10))</f>
        <v>18230.893468199578</v>
      </c>
      <c r="U80" s="30">
        <f>IF(U$5&gt;$B80,0,INDEX(Decrements!$G$6:$G$58,Census!$G80+U$5-18)/INDEX(Decrements!$G$6:$G$58,Census!$G80-17)*(INDEX(Decrements!$D$6:$D$58,Census!$G80+U$5-18)+IF(U$5=$B80,INDEX(Decrements!$F$6:$F$58,Census!$G80+U$5-18),0)+INDEX(Decrements!$E$6:$E$58,Census!$G80+U$5-18)*IF((Census!$F80+U$5)&gt;=Assumptions!$B$11,1,0))*MIN(15/26*Census!$D80*(1+Assumptions!$B$9)^U$5*(INT((Census!$F80+U$5))+IF((Census!$F80+U$5)-INT((Census!$F80+U$5))&gt;0.5,1,0)),Assumptions!$B$10))</f>
        <v>1149843.3512214439</v>
      </c>
      <c r="V80" s="30">
        <f>IF(V$5&gt;$B80,0,INDEX(Decrements!$G$6:$G$58,Census!$G80+V$5-18)/INDEX(Decrements!$G$6:$G$58,Census!$G80-17)*(INDEX(Decrements!$D$6:$D$58,Census!$G80+V$5-18)+IF(V$5=$B80,INDEX(Decrements!$F$6:$F$58,Census!$G80+V$5-18),0)+INDEX(Decrements!$E$6:$E$58,Census!$G80+V$5-18)*IF((Census!$F80+V$5)&gt;=Assumptions!$B$11,1,0))*MIN(15/26*Census!$D80*(1+Assumptions!$B$9)^V$5*(INT((Census!$F80+V$5))+IF((Census!$F80+V$5)-INT((Census!$F80+V$5))&gt;0.5,1,0)),Assumptions!$B$10))</f>
        <v>0</v>
      </c>
      <c r="W80" s="30">
        <f>IF(W$5&gt;$B80,0,INDEX(Decrements!$G$6:$G$58,Census!$G80+W$5-18)/INDEX(Decrements!$G$6:$G$58,Census!$G80-17)*(INDEX(Decrements!$D$6:$D$58,Census!$G80+W$5-18)+IF(W$5=$B80,INDEX(Decrements!$F$6:$F$58,Census!$G80+W$5-18),0)+INDEX(Decrements!$E$6:$E$58,Census!$G80+W$5-18)*IF((Census!$F80+W$5)&gt;=Assumptions!$B$11,1,0))*MIN(15/26*Census!$D80*(1+Assumptions!$B$9)^W$5*(INT((Census!$F80+W$5))+IF((Census!$F80+W$5)-INT((Census!$F80+W$5))&gt;0.5,1,0)),Assumptions!$B$10))</f>
        <v>0</v>
      </c>
      <c r="X80" s="30">
        <f>IF(X$5&gt;$B80,0,INDEX(Decrements!$G$6:$G$58,Census!$G80+X$5-18)/INDEX(Decrements!$G$6:$G$58,Census!$G80-17)*(INDEX(Decrements!$D$6:$D$58,Census!$G80+X$5-18)+IF(X$5=$B80,INDEX(Decrements!$F$6:$F$58,Census!$G80+X$5-18),0)+INDEX(Decrements!$E$6:$E$58,Census!$G80+X$5-18)*IF((Census!$F80+X$5)&gt;=Assumptions!$B$11,1,0))*MIN(15/26*Census!$D80*(1+Assumptions!$B$9)^X$5*(INT((Census!$F80+X$5))+IF((Census!$F80+X$5)-INT((Census!$F80+X$5))&gt;0.5,1,0)),Assumptions!$B$10))</f>
        <v>0</v>
      </c>
      <c r="Y80" s="30">
        <f>IF(Y$5&gt;$B80,0,INDEX(Decrements!$G$6:$G$58,Census!$G80+Y$5-18)/INDEX(Decrements!$G$6:$G$58,Census!$G80-17)*(INDEX(Decrements!$D$6:$D$58,Census!$G80+Y$5-18)+IF(Y$5=$B80,INDEX(Decrements!$F$6:$F$58,Census!$G80+Y$5-18),0)+INDEX(Decrements!$E$6:$E$58,Census!$G80+Y$5-18)*IF((Census!$F80+Y$5)&gt;=Assumptions!$B$11,1,0))*MIN(15/26*Census!$D80*(1+Assumptions!$B$9)^Y$5*(INT((Census!$F80+Y$5))+IF((Census!$F80+Y$5)-INT((Census!$F80+Y$5))&gt;0.5,1,0)),Assumptions!$B$10))</f>
        <v>0</v>
      </c>
      <c r="Z80" s="30">
        <f>IF(Z$5&gt;$B80,0,INDEX(Decrements!$G$6:$G$58,Census!$G80+Z$5-18)/INDEX(Decrements!$G$6:$G$58,Census!$G80-17)*(INDEX(Decrements!$D$6:$D$58,Census!$G80+Z$5-18)+IF(Z$5=$B80,INDEX(Decrements!$F$6:$F$58,Census!$G80+Z$5-18),0)+INDEX(Decrements!$E$6:$E$58,Census!$G80+Z$5-18)*IF((Census!$F80+Z$5)&gt;=Assumptions!$B$11,1,0))*MIN(15/26*Census!$D80*(1+Assumptions!$B$9)^Z$5*(INT((Census!$F80+Z$5))+IF((Census!$F80+Z$5)-INT((Census!$F80+Z$5))&gt;0.5,1,0)),Assumptions!$B$10))</f>
        <v>0</v>
      </c>
      <c r="AA80" s="30">
        <f>IF(AA$5&gt;$B80,0,INDEX(Decrements!$G$6:$G$58,Census!$G80+AA$5-18)/INDEX(Decrements!$G$6:$G$58,Census!$G80-17)*(INDEX(Decrements!$D$6:$D$58,Census!$G80+AA$5-18)+IF(AA$5=$B80,INDEX(Decrements!$F$6:$F$58,Census!$G80+AA$5-18),0)+INDEX(Decrements!$E$6:$E$58,Census!$G80+AA$5-18)*IF((Census!$F80+AA$5)&gt;=Assumptions!$B$11,1,0))*MIN(15/26*Census!$D80*(1+Assumptions!$B$9)^AA$5*(INT((Census!$F80+AA$5))+IF((Census!$F80+AA$5)-INT((Census!$F80+AA$5))&gt;0.5,1,0)),Assumptions!$B$10))</f>
        <v>0</v>
      </c>
      <c r="AB80" s="30">
        <f>IF(AB$5&gt;$B80,0,INDEX(Decrements!$G$6:$G$58,Census!$G80+AB$5-18)/INDEX(Decrements!$G$6:$G$58,Census!$G80-17)*(INDEX(Decrements!$D$6:$D$58,Census!$G80+AB$5-18)+IF(AB$5=$B80,INDEX(Decrements!$F$6:$F$58,Census!$G80+AB$5-18),0)+INDEX(Decrements!$E$6:$E$58,Census!$G80+AB$5-18)*IF((Census!$F80+AB$5)&gt;=Assumptions!$B$11,1,0))*MIN(15/26*Census!$D80*(1+Assumptions!$B$9)^AB$5*(INT((Census!$F80+AB$5))+IF((Census!$F80+AB$5)-INT((Census!$F80+AB$5))&gt;0.5,1,0)),Assumptions!$B$10))</f>
        <v>0</v>
      </c>
      <c r="AC80" s="30">
        <f>IF(AC$5&gt;$B80,0,INDEX(Decrements!$G$6:$G$58,Census!$G80+AC$5-18)/INDEX(Decrements!$G$6:$G$58,Census!$G80-17)*(INDEX(Decrements!$D$6:$D$58,Census!$G80+AC$5-18)+IF(AC$5=$B80,INDEX(Decrements!$F$6:$F$58,Census!$G80+AC$5-18),0)+INDEX(Decrements!$E$6:$E$58,Census!$G80+AC$5-18)*IF((Census!$F80+AC$5)&gt;=Assumptions!$B$11,1,0))*MIN(15/26*Census!$D80*(1+Assumptions!$B$9)^AC$5*(INT((Census!$F80+AC$5))+IF((Census!$F80+AC$5)-INT((Census!$F80+AC$5))&gt;0.5,1,0)),Assumptions!$B$10))</f>
        <v>0</v>
      </c>
      <c r="AD80" s="30">
        <f>IF(AD$5&gt;$B80,0,INDEX(Decrements!$G$6:$G$58,Census!$G80+AD$5-18)/INDEX(Decrements!$G$6:$G$58,Census!$G80-17)*(INDEX(Decrements!$D$6:$D$58,Census!$G80+AD$5-18)+IF(AD$5=$B80,INDEX(Decrements!$F$6:$F$58,Census!$G80+AD$5-18),0)+INDEX(Decrements!$E$6:$E$58,Census!$G80+AD$5-18)*IF((Census!$F80+AD$5)&gt;=Assumptions!$B$11,1,0))*MIN(15/26*Census!$D80*(1+Assumptions!$B$9)^AD$5*(INT((Census!$F80+AD$5))+IF((Census!$F80+AD$5)-INT((Census!$F80+AD$5))&gt;0.5,1,0)),Assumptions!$B$10))</f>
        <v>0</v>
      </c>
      <c r="AE80" s="30">
        <f>IF(AE$5&gt;$B80,0,INDEX(Decrements!$G$6:$G$58,Census!$G80+AE$5-18)/INDEX(Decrements!$G$6:$G$58,Census!$G80-17)*(INDEX(Decrements!$D$6:$D$58,Census!$G80+AE$5-18)+IF(AE$5=$B80,INDEX(Decrements!$F$6:$F$58,Census!$G80+AE$5-18),0)+INDEX(Decrements!$E$6:$E$58,Census!$G80+AE$5-18)*IF((Census!$F80+AE$5)&gt;=Assumptions!$B$11,1,0))*MIN(15/26*Census!$D80*(1+Assumptions!$B$9)^AE$5*(INT((Census!$F80+AE$5))+IF((Census!$F80+AE$5)-INT((Census!$F80+AE$5))&gt;0.5,1,0)),Assumptions!$B$10))</f>
        <v>0</v>
      </c>
      <c r="AF80" s="30">
        <f>IF(AF$5&gt;$B80,0,INDEX(Decrements!$G$6:$G$58,Census!$G80+AF$5-18)/INDEX(Decrements!$G$6:$G$58,Census!$G80-17)*(INDEX(Decrements!$D$6:$D$58,Census!$G80+AF$5-18)+IF(AF$5=$B80,INDEX(Decrements!$F$6:$F$58,Census!$G80+AF$5-18),0)+INDEX(Decrements!$E$6:$E$58,Census!$G80+AF$5-18)*IF((Census!$F80+AF$5)&gt;=Assumptions!$B$11,1,0))*MIN(15/26*Census!$D80*(1+Assumptions!$B$9)^AF$5*(INT((Census!$F80+AF$5))+IF((Census!$F80+AF$5)-INT((Census!$F80+AF$5))&gt;0.5,1,0)),Assumptions!$B$10))</f>
        <v>0</v>
      </c>
      <c r="AG80" s="30">
        <f>IF(AG$5&gt;$B80,0,INDEX(Decrements!$G$6:$G$58,Census!$G80+AG$5-18)/INDEX(Decrements!$G$6:$G$58,Census!$G80-17)*(INDEX(Decrements!$D$6:$D$58,Census!$G80+AG$5-18)+IF(AG$5=$B80,INDEX(Decrements!$F$6:$F$58,Census!$G80+AG$5-18),0)+INDEX(Decrements!$E$6:$E$58,Census!$G80+AG$5-18)*IF((Census!$F80+AG$5)&gt;=Assumptions!$B$11,1,0))*MIN(15/26*Census!$D80*(1+Assumptions!$B$9)^AG$5*(INT((Census!$F80+AG$5))+IF((Census!$F80+AG$5)-INT((Census!$F80+AG$5))&gt;0.5,1,0)),Assumptions!$B$10))</f>
        <v>0</v>
      </c>
      <c r="AH80" s="30">
        <f>IF(AH$5&gt;$B80,0,INDEX(Decrements!$G$6:$G$58,Census!$G80+AH$5-18)/INDEX(Decrements!$G$6:$G$58,Census!$G80-17)*(INDEX(Decrements!$D$6:$D$58,Census!$G80+AH$5-18)+IF(AH$5=$B80,INDEX(Decrements!$F$6:$F$58,Census!$G80+AH$5-18),0)+INDEX(Decrements!$E$6:$E$58,Census!$G80+AH$5-18)*IF((Census!$F80+AH$5)&gt;=Assumptions!$B$11,1,0))*MIN(15/26*Census!$D80*(1+Assumptions!$B$9)^AH$5*(INT((Census!$F80+AH$5))+IF((Census!$F80+AH$5)-INT((Census!$F80+AH$5))&gt;0.5,1,0)),Assumptions!$B$10))</f>
        <v>0</v>
      </c>
      <c r="AI80" s="30">
        <f>IF(AI$5&gt;$B80,0,INDEX(Decrements!$G$6:$G$58,Census!$G80+AI$5-18)/INDEX(Decrements!$G$6:$G$58,Census!$G80-17)*(INDEX(Decrements!$D$6:$D$58,Census!$G80+AI$5-18)+IF(AI$5=$B80,INDEX(Decrements!$F$6:$F$58,Census!$G80+AI$5-18),0)+INDEX(Decrements!$E$6:$E$58,Census!$G80+AI$5-18)*IF((Census!$F80+AI$5)&gt;=Assumptions!$B$11,1,0))*MIN(15/26*Census!$D80*(1+Assumptions!$B$9)^AI$5*(INT((Census!$F80+AI$5))+IF((Census!$F80+AI$5)-INT((Census!$F80+AI$5))&gt;0.5,1,0)),Assumptions!$B$10))</f>
        <v>0</v>
      </c>
      <c r="AJ80" s="30">
        <f>IF(AJ$5&gt;$B80,0,INDEX(Decrements!$G$6:$G$58,Census!$G80+AJ$5-18)/INDEX(Decrements!$G$6:$G$58,Census!$G80-17)*(INDEX(Decrements!$D$6:$D$58,Census!$G80+AJ$5-18)+IF(AJ$5=$B80,INDEX(Decrements!$F$6:$F$58,Census!$G80+AJ$5-18),0)+INDEX(Decrements!$E$6:$E$58,Census!$G80+AJ$5-18)*IF((Census!$F80+AJ$5)&gt;=Assumptions!$B$11,1,0))*MIN(15/26*Census!$D80*(1+Assumptions!$B$9)^AJ$5*(INT((Census!$F80+AJ$5))+IF((Census!$F80+AJ$5)-INT((Census!$F80+AJ$5))&gt;0.5,1,0)),Assumptions!$B$10))</f>
        <v>0</v>
      </c>
      <c r="AK80" s="30">
        <f>IF(AK$5&gt;$B80,0,INDEX(Decrements!$G$6:$G$58,Census!$G80+AK$5-18)/INDEX(Decrements!$G$6:$G$58,Census!$G80-17)*(INDEX(Decrements!$D$6:$D$58,Census!$G80+AK$5-18)+IF(AK$5=$B80,INDEX(Decrements!$F$6:$F$58,Census!$G80+AK$5-18),0)+INDEX(Decrements!$E$6:$E$58,Census!$G80+AK$5-18)*IF((Census!$F80+AK$5)&gt;=Assumptions!$B$11,1,0))*MIN(15/26*Census!$D80*(1+Assumptions!$B$9)^AK$5*(INT((Census!$F80+AK$5))+IF((Census!$F80+AK$5)-INT((Census!$F80+AK$5))&gt;0.5,1,0)),Assumptions!$B$10))</f>
        <v>0</v>
      </c>
      <c r="AL80" s="30">
        <f>IF(AL$5&gt;$B80,0,INDEX(Decrements!$G$6:$G$58,Census!$G80+AL$5-18)/INDEX(Decrements!$G$6:$G$58,Census!$G80-17)*(INDEX(Decrements!$D$6:$D$58,Census!$G80+AL$5-18)+IF(AL$5=$B80,INDEX(Decrements!$F$6:$F$58,Census!$G80+AL$5-18),0)+INDEX(Decrements!$E$6:$E$58,Census!$G80+AL$5-18)*IF((Census!$F80+AL$5)&gt;=Assumptions!$B$11,1,0))*MIN(15/26*Census!$D80*(1+Assumptions!$B$9)^AL$5*(INT((Census!$F80+AL$5))+IF((Census!$F80+AL$5)-INT((Census!$F80+AL$5))&gt;0.5,1,0)),Assumptions!$B$10))</f>
        <v>0</v>
      </c>
      <c r="AM80" s="30">
        <f>IF(AM$5&gt;$B80,0,INDEX(Decrements!$G$6:$G$58,Census!$G80+AM$5-18)/INDEX(Decrements!$G$6:$G$58,Census!$G80-17)*(INDEX(Decrements!$D$6:$D$58,Census!$G80+AM$5-18)+IF(AM$5=$B80,INDEX(Decrements!$F$6:$F$58,Census!$G80+AM$5-18),0)+INDEX(Decrements!$E$6:$E$58,Census!$G80+AM$5-18)*IF((Census!$F80+AM$5)&gt;=Assumptions!$B$11,1,0))*MIN(15/26*Census!$D80*(1+Assumptions!$B$9)^AM$5*(INT((Census!$F80+AM$5))+IF((Census!$F80+AM$5)-INT((Census!$F80+AM$5))&gt;0.5,1,0)),Assumptions!$B$10))</f>
        <v>0</v>
      </c>
      <c r="AN80" s="30">
        <f>IF(AN$5&gt;$B80,0,INDEX(Decrements!$G$6:$G$58,Census!$G80+AN$5-18)/INDEX(Decrements!$G$6:$G$58,Census!$G80-17)*(INDEX(Decrements!$D$6:$D$58,Census!$G80+AN$5-18)+IF(AN$5=$B80,INDEX(Decrements!$F$6:$F$58,Census!$G80+AN$5-18),0)+INDEX(Decrements!$E$6:$E$58,Census!$G80+AN$5-18)*IF((Census!$F80+AN$5)&gt;=Assumptions!$B$11,1,0))*MIN(15/26*Census!$D80*(1+Assumptions!$B$9)^AN$5*(INT((Census!$F80+AN$5))+IF((Census!$F80+AN$5)-INT((Census!$F80+AN$5))&gt;0.5,1,0)),Assumptions!$B$10))</f>
        <v>0</v>
      </c>
      <c r="AO80" s="30">
        <f>IF(AO$5&gt;$B80,0,INDEX(Decrements!$G$6:$G$58,Census!$G80+AO$5-18)/INDEX(Decrements!$G$6:$G$58,Census!$G80-17)*(INDEX(Decrements!$D$6:$D$58,Census!$G80+AO$5-18)+IF(AO$5=$B80,INDEX(Decrements!$F$6:$F$58,Census!$G80+AO$5-18),0)+INDEX(Decrements!$E$6:$E$58,Census!$G80+AO$5-18)*IF((Census!$F80+AO$5)&gt;=Assumptions!$B$11,1,0))*MIN(15/26*Census!$D80*(1+Assumptions!$B$9)^AO$5*(INT((Census!$F80+AO$5))+IF((Census!$F80+AO$5)-INT((Census!$F80+AO$5))&gt;0.5,1,0)),Assumptions!$B$10))</f>
        <v>0</v>
      </c>
      <c r="AP80" s="30">
        <f>IF(AP$5&gt;$B80,0,INDEX(Decrements!$G$6:$G$58,Census!$G80+AP$5-18)/INDEX(Decrements!$G$6:$G$58,Census!$G80-17)*(INDEX(Decrements!$D$6:$D$58,Census!$G80+AP$5-18)+IF(AP$5=$B80,INDEX(Decrements!$F$6:$F$58,Census!$G80+AP$5-18),0)+INDEX(Decrements!$E$6:$E$58,Census!$G80+AP$5-18)*IF((Census!$F80+AP$5)&gt;=Assumptions!$B$11,1,0))*MIN(15/26*Census!$D80*(1+Assumptions!$B$9)^AP$5*(INT((Census!$F80+AP$5))+IF((Census!$F80+AP$5)-INT((Census!$F80+AP$5))&gt;0.5,1,0)),Assumptions!$B$10))</f>
        <v>0</v>
      </c>
      <c r="AQ80" s="30">
        <f>IF(AQ$5&gt;$B80,0,INDEX(Decrements!$G$6:$G$58,Census!$G80+AQ$5-18)/INDEX(Decrements!$G$6:$G$58,Census!$G80-17)*(INDEX(Decrements!$D$6:$D$58,Census!$G80+AQ$5-18)+IF(AQ$5=$B80,INDEX(Decrements!$F$6:$F$58,Census!$G80+AQ$5-18),0)+INDEX(Decrements!$E$6:$E$58,Census!$G80+AQ$5-18)*IF((Census!$F80+AQ$5)&gt;=Assumptions!$B$11,1,0))*MIN(15/26*Census!$D80*(1+Assumptions!$B$9)^AQ$5*(INT((Census!$F80+AQ$5))+IF((Census!$F80+AQ$5)-INT((Census!$F80+AQ$5))&gt;0.5,1,0)),Assumptions!$B$10))</f>
        <v>0</v>
      </c>
      <c r="AR80" s="30">
        <f>IF(AR$5&gt;$B80,0,INDEX(Decrements!$G$6:$G$58,Census!$G80+AR$5-18)/INDEX(Decrements!$G$6:$G$58,Census!$G80-17)*(INDEX(Decrements!$D$6:$D$58,Census!$G80+AR$5-18)+IF(AR$5=$B80,INDEX(Decrements!$F$6:$F$58,Census!$G80+AR$5-18),0)+INDEX(Decrements!$E$6:$E$58,Census!$G80+AR$5-18)*IF((Census!$F80+AR$5)&gt;=Assumptions!$B$11,1,0))*MIN(15/26*Census!$D80*(1+Assumptions!$B$9)^AR$5*(INT((Census!$F80+AR$5))+IF((Census!$F80+AR$5)-INT((Census!$F80+AR$5))&gt;0.5,1,0)),Assumptions!$B$10))</f>
        <v>0</v>
      </c>
      <c r="AS80" s="30">
        <f>IF(AS$5&gt;$B80,0,INDEX(Decrements!$G$6:$G$58,Census!$G80+AS$5-18)/INDEX(Decrements!$G$6:$G$58,Census!$G80-17)*(INDEX(Decrements!$D$6:$D$58,Census!$G80+AS$5-18)+IF(AS$5=$B80,INDEX(Decrements!$F$6:$F$58,Census!$G80+AS$5-18),0)+INDEX(Decrements!$E$6:$E$58,Census!$G80+AS$5-18)*IF((Census!$F80+AS$5)&gt;=Assumptions!$B$11,1,0))*MIN(15/26*Census!$D80*(1+Assumptions!$B$9)^AS$5*(INT((Census!$F80+AS$5))+IF((Census!$F80+AS$5)-INT((Census!$F80+AS$5))&gt;0.5,1,0)),Assumptions!$B$10))</f>
        <v>0</v>
      </c>
      <c r="AT80" s="30">
        <f>IF(AT$5&gt;$B80,0,INDEX(Decrements!$G$6:$G$58,Census!$G80+AT$5-18)/INDEX(Decrements!$G$6:$G$58,Census!$G80-17)*(INDEX(Decrements!$D$6:$D$58,Census!$G80+AT$5-18)+IF(AT$5=$B80,INDEX(Decrements!$F$6:$F$58,Census!$G80+AT$5-18),0)+INDEX(Decrements!$E$6:$E$58,Census!$G80+AT$5-18)*IF((Census!$F80+AT$5)&gt;=Assumptions!$B$11,1,0))*MIN(15/26*Census!$D80*(1+Assumptions!$B$9)^AT$5*(INT((Census!$F80+AT$5))+IF((Census!$F80+AT$5)-INT((Census!$F80+AT$5))&gt;0.5,1,0)),Assumptions!$B$10))</f>
        <v>0</v>
      </c>
      <c r="AU80" s="30">
        <f>IF(AU$5&gt;$B80,0,INDEX(Decrements!$G$6:$G$58,Census!$G80+AU$5-18)/INDEX(Decrements!$G$6:$G$58,Census!$G80-17)*(INDEX(Decrements!$D$6:$D$58,Census!$G80+AU$5-18)+IF(AU$5=$B80,INDEX(Decrements!$F$6:$F$58,Census!$G80+AU$5-18),0)+INDEX(Decrements!$E$6:$E$58,Census!$G80+AU$5-18)*IF((Census!$F80+AU$5)&gt;=Assumptions!$B$11,1,0))*MIN(15/26*Census!$D80*(1+Assumptions!$B$9)^AU$5*(INT((Census!$F80+AU$5))+IF((Census!$F80+AU$5)-INT((Census!$F80+AU$5))&gt;0.5,1,0)),Assumptions!$B$10))</f>
        <v>0</v>
      </c>
    </row>
    <row r="81" spans="1:47" x14ac:dyDescent="0.3">
      <c r="A81" s="10" t="str">
        <f>Census!A81</f>
        <v>E076</v>
      </c>
      <c r="B81" s="29">
        <f>Census!H81</f>
        <v>23</v>
      </c>
      <c r="C81" s="30">
        <f>IF(C$5&gt;$B81,0,INDEX(Decrements!$G$6:$G$58,Census!$G81+C$5-18)/INDEX(Decrements!$G$6:$G$58,Census!$G81-17)*(INDEX(Decrements!$D$6:$D$58,Census!$G81+C$5-18)+IF(C$5=$B81,INDEX(Decrements!$F$6:$F$58,Census!$G81+C$5-18),0)+INDEX(Decrements!$E$6:$E$58,Census!$G81+C$5-18)*IF((Census!$F81+C$5)&gt;=Assumptions!$B$11,1,0))*MIN(15/26*Census!$D81*(1+Assumptions!$B$9)^C$5*(INT((Census!$F81+C$5))+IF((Census!$F81+C$5)-INT((Census!$F81+C$5))&gt;0.5,1,0)),Assumptions!$B$10))</f>
        <v>55764.754097144185</v>
      </c>
      <c r="D81" s="30">
        <f>IF(D$5&gt;$B81,0,INDEX(Decrements!$G$6:$G$58,Census!$G81+D$5-18)/INDEX(Decrements!$G$6:$G$58,Census!$G81-17)*(INDEX(Decrements!$D$6:$D$58,Census!$G81+D$5-18)+IF(D$5=$B81,INDEX(Decrements!$F$6:$F$58,Census!$G81+D$5-18),0)+INDEX(Decrements!$E$6:$E$58,Census!$G81+D$5-18)*IF((Census!$F81+D$5)&gt;=Assumptions!$B$11,1,0))*MIN(15/26*Census!$D81*(1+Assumptions!$B$9)^D$5*(INT((Census!$F81+D$5))+IF((Census!$F81+D$5)-INT((Census!$F81+D$5))&gt;0.5,1,0)),Assumptions!$B$10))</f>
        <v>59347.484177831</v>
      </c>
      <c r="E81" s="30">
        <f>IF(E$5&gt;$B81,0,INDEX(Decrements!$G$6:$G$58,Census!$G81+E$5-18)/INDEX(Decrements!$G$6:$G$58,Census!$G81-17)*(INDEX(Decrements!$D$6:$D$58,Census!$G81+E$5-18)+IF(E$5=$B81,INDEX(Decrements!$F$6:$F$58,Census!$G81+E$5-18),0)+INDEX(Decrements!$E$6:$E$58,Census!$G81+E$5-18)*IF((Census!$F81+E$5)&gt;=Assumptions!$B$11,1,0))*MIN(15/26*Census!$D81*(1+Assumptions!$B$9)^E$5*(INT((Census!$F81+E$5))+IF((Census!$F81+E$5)-INT((Census!$F81+E$5))&gt;0.5,1,0)),Assumptions!$B$10))</f>
        <v>62880.230047334517</v>
      </c>
      <c r="F81" s="30">
        <f>IF(F$5&gt;$B81,0,INDEX(Decrements!$G$6:$G$58,Census!$G81+F$5-18)/INDEX(Decrements!$G$6:$G$58,Census!$G81-17)*(INDEX(Decrements!$D$6:$D$58,Census!$G81+F$5-18)+IF(F$5=$B81,INDEX(Decrements!$F$6:$F$58,Census!$G81+F$5-18),0)+INDEX(Decrements!$E$6:$E$58,Census!$G81+F$5-18)*IF((Census!$F81+F$5)&gt;=Assumptions!$B$11,1,0))*MIN(15/26*Census!$D81*(1+Assumptions!$B$9)^F$5*(INT((Census!$F81+F$5))+IF((Census!$F81+F$5)-INT((Census!$F81+F$5))&gt;0.5,1,0)),Assumptions!$B$10))</f>
        <v>41890.458458518602</v>
      </c>
      <c r="G81" s="30">
        <f>IF(G$5&gt;$B81,0,INDEX(Decrements!$G$6:$G$58,Census!$G81+G$5-18)/INDEX(Decrements!$G$6:$G$58,Census!$G81-17)*(INDEX(Decrements!$D$6:$D$58,Census!$G81+G$5-18)+IF(G$5=$B81,INDEX(Decrements!$F$6:$F$58,Census!$G81+G$5-18),0)+INDEX(Decrements!$E$6:$E$58,Census!$G81+G$5-18)*IF((Census!$F81+G$5)&gt;=Assumptions!$B$11,1,0))*MIN(15/26*Census!$D81*(1+Assumptions!$B$9)^G$5*(INT((Census!$F81+G$5))+IF((Census!$F81+G$5)-INT((Census!$F81+G$5))&gt;0.5,1,0)),Assumptions!$B$10))</f>
        <v>45526.287480358646</v>
      </c>
      <c r="H81" s="30">
        <f>IF(H$5&gt;$B81,0,INDEX(Decrements!$G$6:$G$58,Census!$G81+H$5-18)/INDEX(Decrements!$G$6:$G$58,Census!$G81-17)*(INDEX(Decrements!$D$6:$D$58,Census!$G81+H$5-18)+IF(H$5=$B81,INDEX(Decrements!$F$6:$F$58,Census!$G81+H$5-18),0)+INDEX(Decrements!$E$6:$E$58,Census!$G81+H$5-18)*IF((Census!$F81+H$5)&gt;=Assumptions!$B$11,1,0))*MIN(15/26*Census!$D81*(1+Assumptions!$B$9)^H$5*(INT((Census!$F81+H$5))+IF((Census!$F81+H$5)-INT((Census!$F81+H$5))&gt;0.5,1,0)),Assumptions!$B$10))</f>
        <v>49328.764154715507</v>
      </c>
      <c r="I81" s="30">
        <f>IF(I$5&gt;$B81,0,INDEX(Decrements!$G$6:$G$58,Census!$G81+I$5-18)/INDEX(Decrements!$G$6:$G$58,Census!$G81-17)*(INDEX(Decrements!$D$6:$D$58,Census!$G81+I$5-18)+IF(I$5=$B81,INDEX(Decrements!$F$6:$F$58,Census!$G81+I$5-18),0)+INDEX(Decrements!$E$6:$E$58,Census!$G81+I$5-18)*IF((Census!$F81+I$5)&gt;=Assumptions!$B$11,1,0))*MIN(15/26*Census!$D81*(1+Assumptions!$B$9)^I$5*(INT((Census!$F81+I$5))+IF((Census!$F81+I$5)-INT((Census!$F81+I$5))&gt;0.5,1,0)),Assumptions!$B$10))</f>
        <v>53305.23947368755</v>
      </c>
      <c r="J81" s="30">
        <f>IF(J$5&gt;$B81,0,INDEX(Decrements!$G$6:$G$58,Census!$G81+J$5-18)/INDEX(Decrements!$G$6:$G$58,Census!$G81-17)*(INDEX(Decrements!$D$6:$D$58,Census!$G81+J$5-18)+IF(J$5=$B81,INDEX(Decrements!$F$6:$F$58,Census!$G81+J$5-18),0)+INDEX(Decrements!$E$6:$E$58,Census!$G81+J$5-18)*IF((Census!$F81+J$5)&gt;=Assumptions!$B$11,1,0))*MIN(15/26*Census!$D81*(1+Assumptions!$B$9)^J$5*(INT((Census!$F81+J$5))+IF((Census!$F81+J$5)-INT((Census!$F81+J$5))&gt;0.5,1,0)),Assumptions!$B$10))</f>
        <v>57463.499162466826</v>
      </c>
      <c r="K81" s="30">
        <f>IF(K$5&gt;$B81,0,INDEX(Decrements!$G$6:$G$58,Census!$G81+K$5-18)/INDEX(Decrements!$G$6:$G$58,Census!$G81-17)*(INDEX(Decrements!$D$6:$D$58,Census!$G81+K$5-18)+IF(K$5=$B81,INDEX(Decrements!$F$6:$F$58,Census!$G81+K$5-18),0)+INDEX(Decrements!$E$6:$E$58,Census!$G81+K$5-18)*IF((Census!$F81+K$5)&gt;=Assumptions!$B$11,1,0))*MIN(15/26*Census!$D81*(1+Assumptions!$B$9)^K$5*(INT((Census!$F81+K$5))+IF((Census!$F81+K$5)-INT((Census!$F81+K$5))&gt;0.5,1,0)),Assumptions!$B$10))</f>
        <v>37971.518237953947</v>
      </c>
      <c r="L81" s="30">
        <f>IF(L$5&gt;$B81,0,INDEX(Decrements!$G$6:$G$58,Census!$G81+L$5-18)/INDEX(Decrements!$G$6:$G$58,Census!$G81-17)*(INDEX(Decrements!$D$6:$D$58,Census!$G81+L$5-18)+IF(L$5=$B81,INDEX(Decrements!$F$6:$F$58,Census!$G81+L$5-18),0)+INDEX(Decrements!$E$6:$E$58,Census!$G81+L$5-18)*IF((Census!$F81+L$5)&gt;=Assumptions!$B$11,1,0))*MIN(15/26*Census!$D81*(1+Assumptions!$B$9)^L$5*(INT((Census!$F81+L$5))+IF((Census!$F81+L$5)-INT((Census!$F81+L$5))&gt;0.5,1,0)),Assumptions!$B$10))</f>
        <v>36932.166028156338</v>
      </c>
      <c r="M81" s="30">
        <f>IF(M$5&gt;$B81,0,INDEX(Decrements!$G$6:$G$58,Census!$G81+M$5-18)/INDEX(Decrements!$G$6:$G$58,Census!$G81-17)*(INDEX(Decrements!$D$6:$D$58,Census!$G81+M$5-18)+IF(M$5=$B81,INDEX(Decrements!$F$6:$F$58,Census!$G81+M$5-18),0)+INDEX(Decrements!$E$6:$E$58,Census!$G81+M$5-18)*IF((Census!$F81+M$5)&gt;=Assumptions!$B$11,1,0))*MIN(15/26*Census!$D81*(1+Assumptions!$B$9)^M$5*(INT((Census!$F81+M$5))+IF((Census!$F81+M$5)-INT((Census!$F81+M$5))&gt;0.5,1,0)),Assumptions!$B$10))</f>
        <v>35931.504245031021</v>
      </c>
      <c r="N81" s="30">
        <f>IF(N$5&gt;$B81,0,INDEX(Decrements!$G$6:$G$58,Census!$G81+N$5-18)/INDEX(Decrements!$G$6:$G$58,Census!$G81-17)*(INDEX(Decrements!$D$6:$D$58,Census!$G81+N$5-18)+IF(N$5=$B81,INDEX(Decrements!$F$6:$F$58,Census!$G81+N$5-18),0)+INDEX(Decrements!$E$6:$E$58,Census!$G81+N$5-18)*IF((Census!$F81+N$5)&gt;=Assumptions!$B$11,1,0))*MIN(15/26*Census!$D81*(1+Assumptions!$B$9)^N$5*(INT((Census!$F81+N$5))+IF((Census!$F81+N$5)-INT((Census!$F81+N$5))&gt;0.5,1,0)),Assumptions!$B$10))</f>
        <v>34968.742353948677</v>
      </c>
      <c r="O81" s="30">
        <f>IF(O$5&gt;$B81,0,INDEX(Decrements!$G$6:$G$58,Census!$G81+O$5-18)/INDEX(Decrements!$G$6:$G$58,Census!$G81-17)*(INDEX(Decrements!$D$6:$D$58,Census!$G81+O$5-18)+IF(O$5=$B81,INDEX(Decrements!$F$6:$F$58,Census!$G81+O$5-18),0)+INDEX(Decrements!$E$6:$E$58,Census!$G81+O$5-18)*IF((Census!$F81+O$5)&gt;=Assumptions!$B$11,1,0))*MIN(15/26*Census!$D81*(1+Assumptions!$B$9)^O$5*(INT((Census!$F81+O$5))+IF((Census!$F81+O$5)-INT((Census!$F81+O$5))&gt;0.5,1,0)),Assumptions!$B$10))</f>
        <v>34043.124749428302</v>
      </c>
      <c r="P81" s="30">
        <f>IF(P$5&gt;$B81,0,INDEX(Decrements!$G$6:$G$58,Census!$G81+P$5-18)/INDEX(Decrements!$G$6:$G$58,Census!$G81-17)*(INDEX(Decrements!$D$6:$D$58,Census!$G81+P$5-18)+IF(P$5=$B81,INDEX(Decrements!$F$6:$F$58,Census!$G81+P$5-18),0)+INDEX(Decrements!$E$6:$E$58,Census!$G81+P$5-18)*IF((Census!$F81+P$5)&gt;=Assumptions!$B$11,1,0))*MIN(15/26*Census!$D81*(1+Assumptions!$B$9)^P$5*(INT((Census!$F81+P$5))+IF((Census!$F81+P$5)-INT((Census!$F81+P$5))&gt;0.5,1,0)),Assumptions!$B$10))</f>
        <v>23066.765384512637</v>
      </c>
      <c r="Q81" s="30">
        <f>IF(Q$5&gt;$B81,0,INDEX(Decrements!$G$6:$G$58,Census!$G81+Q$5-18)/INDEX(Decrements!$G$6:$G$58,Census!$G81-17)*(INDEX(Decrements!$D$6:$D$58,Census!$G81+Q$5-18)+IF(Q$5=$B81,INDEX(Decrements!$F$6:$F$58,Census!$G81+Q$5-18),0)+INDEX(Decrements!$E$6:$E$58,Census!$G81+Q$5-18)*IF((Census!$F81+Q$5)&gt;=Assumptions!$B$11,1,0))*MIN(15/26*Census!$D81*(1+Assumptions!$B$9)^Q$5*(INT((Census!$F81+Q$5))+IF((Census!$F81+Q$5)-INT((Census!$F81+Q$5))&gt;0.5,1,0)),Assumptions!$B$10))</f>
        <v>22778.725497316609</v>
      </c>
      <c r="R81" s="30">
        <f>IF(R$5&gt;$B81,0,INDEX(Decrements!$G$6:$G$58,Census!$G81+R$5-18)/INDEX(Decrements!$G$6:$G$58,Census!$G81-17)*(INDEX(Decrements!$D$6:$D$58,Census!$G81+R$5-18)+IF(R$5=$B81,INDEX(Decrements!$F$6:$F$58,Census!$G81+R$5-18),0)+INDEX(Decrements!$E$6:$E$58,Census!$G81+R$5-18)*IF((Census!$F81+R$5)&gt;=Assumptions!$B$11,1,0))*MIN(15/26*Census!$D81*(1+Assumptions!$B$9)^R$5*(INT((Census!$F81+R$5))+IF((Census!$F81+R$5)-INT((Census!$F81+R$5))&gt;0.5,1,0)),Assumptions!$B$10))</f>
        <v>22509.467005326831</v>
      </c>
      <c r="S81" s="30">
        <f>IF(S$5&gt;$B81,0,INDEX(Decrements!$G$6:$G$58,Census!$G81+S$5-18)/INDEX(Decrements!$G$6:$G$58,Census!$G81-17)*(INDEX(Decrements!$D$6:$D$58,Census!$G81+S$5-18)+IF(S$5=$B81,INDEX(Decrements!$F$6:$F$58,Census!$G81+S$5-18),0)+INDEX(Decrements!$E$6:$E$58,Census!$G81+S$5-18)*IF((Census!$F81+S$5)&gt;=Assumptions!$B$11,1,0))*MIN(15/26*Census!$D81*(1+Assumptions!$B$9)^S$5*(INT((Census!$F81+S$5))+IF((Census!$F81+S$5)-INT((Census!$F81+S$5))&gt;0.5,1,0)),Assumptions!$B$10))</f>
        <v>22259.385669587849</v>
      </c>
      <c r="T81" s="30">
        <f>IF(T$5&gt;$B81,0,INDEX(Decrements!$G$6:$G$58,Census!$G81+T$5-18)/INDEX(Decrements!$G$6:$G$58,Census!$G81-17)*(INDEX(Decrements!$D$6:$D$58,Census!$G81+T$5-18)+IF(T$5=$B81,INDEX(Decrements!$F$6:$F$58,Census!$G81+T$5-18),0)+INDEX(Decrements!$E$6:$E$58,Census!$G81+T$5-18)*IF((Census!$F81+T$5)&gt;=Assumptions!$B$11,1,0))*MIN(15/26*Census!$D81*(1+Assumptions!$B$9)^T$5*(INT((Census!$F81+T$5))+IF((Census!$F81+T$5)-INT((Census!$F81+T$5))&gt;0.5,1,0)),Assumptions!$B$10))</f>
        <v>22028.890311219508</v>
      </c>
      <c r="U81" s="30">
        <f>IF(U$5&gt;$B81,0,INDEX(Decrements!$G$6:$G$58,Census!$G81+U$5-18)/INDEX(Decrements!$G$6:$G$58,Census!$G81-17)*(INDEX(Decrements!$D$6:$D$58,Census!$G81+U$5-18)+IF(U$5=$B81,INDEX(Decrements!$F$6:$F$58,Census!$G81+U$5-18),0)+INDEX(Decrements!$E$6:$E$58,Census!$G81+U$5-18)*IF((Census!$F81+U$5)&gt;=Assumptions!$B$11,1,0))*MIN(15/26*Census!$D81*(1+Assumptions!$B$9)^U$5*(INT((Census!$F81+U$5))+IF((Census!$F81+U$5)-INT((Census!$F81+U$5))&gt;0.5,1,0)),Assumptions!$B$10))</f>
        <v>12867.917166594803</v>
      </c>
      <c r="V81" s="30">
        <f>IF(V$5&gt;$B81,0,INDEX(Decrements!$G$6:$G$58,Census!$G81+V$5-18)/INDEX(Decrements!$G$6:$G$58,Census!$G81-17)*(INDEX(Decrements!$D$6:$D$58,Census!$G81+V$5-18)+IF(V$5=$B81,INDEX(Decrements!$F$6:$F$58,Census!$G81+V$5-18),0)+INDEX(Decrements!$E$6:$E$58,Census!$G81+V$5-18)*IF((Census!$F81+V$5)&gt;=Assumptions!$B$11,1,0))*MIN(15/26*Census!$D81*(1+Assumptions!$B$9)^V$5*(INT((Census!$F81+V$5))+IF((Census!$F81+V$5)-INT((Census!$F81+V$5))&gt;0.5,1,0)),Assumptions!$B$10))</f>
        <v>13030.159441028292</v>
      </c>
      <c r="W81" s="30">
        <f>IF(W$5&gt;$B81,0,INDEX(Decrements!$G$6:$G$58,Census!$G81+W$5-18)/INDEX(Decrements!$G$6:$G$58,Census!$G81-17)*(INDEX(Decrements!$D$6:$D$58,Census!$G81+W$5-18)+IF(W$5=$B81,INDEX(Decrements!$F$6:$F$58,Census!$G81+W$5-18),0)+INDEX(Decrements!$E$6:$E$58,Census!$G81+W$5-18)*IF((Census!$F81+W$5)&gt;=Assumptions!$B$11,1,0))*MIN(15/26*Census!$D81*(1+Assumptions!$B$9)^W$5*(INT((Census!$F81+W$5))+IF((Census!$F81+W$5)-INT((Census!$F81+W$5))&gt;0.5,1,0)),Assumptions!$B$10))</f>
        <v>13213.868348206193</v>
      </c>
      <c r="X81" s="30">
        <f>IF(X$5&gt;$B81,0,INDEX(Decrements!$G$6:$G$58,Census!$G81+X$5-18)/INDEX(Decrements!$G$6:$G$58,Census!$G81-17)*(INDEX(Decrements!$D$6:$D$58,Census!$G81+X$5-18)+IF(X$5=$B81,INDEX(Decrements!$F$6:$F$58,Census!$G81+X$5-18),0)+INDEX(Decrements!$E$6:$E$58,Census!$G81+X$5-18)*IF((Census!$F81+X$5)&gt;=Assumptions!$B$11,1,0))*MIN(15/26*Census!$D81*(1+Assumptions!$B$9)^X$5*(INT((Census!$F81+X$5))+IF((Census!$F81+X$5)-INT((Census!$F81+X$5))&gt;0.5,1,0)),Assumptions!$B$10))</f>
        <v>13420.29246866109</v>
      </c>
      <c r="Y81" s="30">
        <f>IF(Y$5&gt;$B81,0,INDEX(Decrements!$G$6:$G$58,Census!$G81+Y$5-18)/INDEX(Decrements!$G$6:$G$58,Census!$G81-17)*(INDEX(Decrements!$D$6:$D$58,Census!$G81+Y$5-18)+IF(Y$5=$B81,INDEX(Decrements!$F$6:$F$58,Census!$G81+Y$5-18),0)+INDEX(Decrements!$E$6:$E$58,Census!$G81+Y$5-18)*IF((Census!$F81+Y$5)&gt;=Assumptions!$B$11,1,0))*MIN(15/26*Census!$D81*(1+Assumptions!$B$9)^Y$5*(INT((Census!$F81+Y$5))+IF((Census!$F81+Y$5)-INT((Census!$F81+Y$5))&gt;0.5,1,0)),Assumptions!$B$10))</f>
        <v>846433.23123214475</v>
      </c>
      <c r="Z81" s="30">
        <f>IF(Z$5&gt;$B81,0,INDEX(Decrements!$G$6:$G$58,Census!$G81+Z$5-18)/INDEX(Decrements!$G$6:$G$58,Census!$G81-17)*(INDEX(Decrements!$D$6:$D$58,Census!$G81+Z$5-18)+IF(Z$5=$B81,INDEX(Decrements!$F$6:$F$58,Census!$G81+Z$5-18),0)+INDEX(Decrements!$E$6:$E$58,Census!$G81+Z$5-18)*IF((Census!$F81+Z$5)&gt;=Assumptions!$B$11,1,0))*MIN(15/26*Census!$D81*(1+Assumptions!$B$9)^Z$5*(INT((Census!$F81+Z$5))+IF((Census!$F81+Z$5)-INT((Census!$F81+Z$5))&gt;0.5,1,0)),Assumptions!$B$10))</f>
        <v>0</v>
      </c>
      <c r="AA81" s="30">
        <f>IF(AA$5&gt;$B81,0,INDEX(Decrements!$G$6:$G$58,Census!$G81+AA$5-18)/INDEX(Decrements!$G$6:$G$58,Census!$G81-17)*(INDEX(Decrements!$D$6:$D$58,Census!$G81+AA$5-18)+IF(AA$5=$B81,INDEX(Decrements!$F$6:$F$58,Census!$G81+AA$5-18),0)+INDEX(Decrements!$E$6:$E$58,Census!$G81+AA$5-18)*IF((Census!$F81+AA$5)&gt;=Assumptions!$B$11,1,0))*MIN(15/26*Census!$D81*(1+Assumptions!$B$9)^AA$5*(INT((Census!$F81+AA$5))+IF((Census!$F81+AA$5)-INT((Census!$F81+AA$5))&gt;0.5,1,0)),Assumptions!$B$10))</f>
        <v>0</v>
      </c>
      <c r="AB81" s="30">
        <f>IF(AB$5&gt;$B81,0,INDEX(Decrements!$G$6:$G$58,Census!$G81+AB$5-18)/INDEX(Decrements!$G$6:$G$58,Census!$G81-17)*(INDEX(Decrements!$D$6:$D$58,Census!$G81+AB$5-18)+IF(AB$5=$B81,INDEX(Decrements!$F$6:$F$58,Census!$G81+AB$5-18),0)+INDEX(Decrements!$E$6:$E$58,Census!$G81+AB$5-18)*IF((Census!$F81+AB$5)&gt;=Assumptions!$B$11,1,0))*MIN(15/26*Census!$D81*(1+Assumptions!$B$9)^AB$5*(INT((Census!$F81+AB$5))+IF((Census!$F81+AB$5)-INT((Census!$F81+AB$5))&gt;0.5,1,0)),Assumptions!$B$10))</f>
        <v>0</v>
      </c>
      <c r="AC81" s="30">
        <f>IF(AC$5&gt;$B81,0,INDEX(Decrements!$G$6:$G$58,Census!$G81+AC$5-18)/INDEX(Decrements!$G$6:$G$58,Census!$G81-17)*(INDEX(Decrements!$D$6:$D$58,Census!$G81+AC$5-18)+IF(AC$5=$B81,INDEX(Decrements!$F$6:$F$58,Census!$G81+AC$5-18),0)+INDEX(Decrements!$E$6:$E$58,Census!$G81+AC$5-18)*IF((Census!$F81+AC$5)&gt;=Assumptions!$B$11,1,0))*MIN(15/26*Census!$D81*(1+Assumptions!$B$9)^AC$5*(INT((Census!$F81+AC$5))+IF((Census!$F81+AC$5)-INT((Census!$F81+AC$5))&gt;0.5,1,0)),Assumptions!$B$10))</f>
        <v>0</v>
      </c>
      <c r="AD81" s="30">
        <f>IF(AD$5&gt;$B81,0,INDEX(Decrements!$G$6:$G$58,Census!$G81+AD$5-18)/INDEX(Decrements!$G$6:$G$58,Census!$G81-17)*(INDEX(Decrements!$D$6:$D$58,Census!$G81+AD$5-18)+IF(AD$5=$B81,INDEX(Decrements!$F$6:$F$58,Census!$G81+AD$5-18),0)+INDEX(Decrements!$E$6:$E$58,Census!$G81+AD$5-18)*IF((Census!$F81+AD$5)&gt;=Assumptions!$B$11,1,0))*MIN(15/26*Census!$D81*(1+Assumptions!$B$9)^AD$5*(INT((Census!$F81+AD$5))+IF((Census!$F81+AD$5)-INT((Census!$F81+AD$5))&gt;0.5,1,0)),Assumptions!$B$10))</f>
        <v>0</v>
      </c>
      <c r="AE81" s="30">
        <f>IF(AE$5&gt;$B81,0,INDEX(Decrements!$G$6:$G$58,Census!$G81+AE$5-18)/INDEX(Decrements!$G$6:$G$58,Census!$G81-17)*(INDEX(Decrements!$D$6:$D$58,Census!$G81+AE$5-18)+IF(AE$5=$B81,INDEX(Decrements!$F$6:$F$58,Census!$G81+AE$5-18),0)+INDEX(Decrements!$E$6:$E$58,Census!$G81+AE$5-18)*IF((Census!$F81+AE$5)&gt;=Assumptions!$B$11,1,0))*MIN(15/26*Census!$D81*(1+Assumptions!$B$9)^AE$5*(INT((Census!$F81+AE$5))+IF((Census!$F81+AE$5)-INT((Census!$F81+AE$5))&gt;0.5,1,0)),Assumptions!$B$10))</f>
        <v>0</v>
      </c>
      <c r="AF81" s="30">
        <f>IF(AF$5&gt;$B81,0,INDEX(Decrements!$G$6:$G$58,Census!$G81+AF$5-18)/INDEX(Decrements!$G$6:$G$58,Census!$G81-17)*(INDEX(Decrements!$D$6:$D$58,Census!$G81+AF$5-18)+IF(AF$5=$B81,INDEX(Decrements!$F$6:$F$58,Census!$G81+AF$5-18),0)+INDEX(Decrements!$E$6:$E$58,Census!$G81+AF$5-18)*IF((Census!$F81+AF$5)&gt;=Assumptions!$B$11,1,0))*MIN(15/26*Census!$D81*(1+Assumptions!$B$9)^AF$5*(INT((Census!$F81+AF$5))+IF((Census!$F81+AF$5)-INT((Census!$F81+AF$5))&gt;0.5,1,0)),Assumptions!$B$10))</f>
        <v>0</v>
      </c>
      <c r="AG81" s="30">
        <f>IF(AG$5&gt;$B81,0,INDEX(Decrements!$G$6:$G$58,Census!$G81+AG$5-18)/INDEX(Decrements!$G$6:$G$58,Census!$G81-17)*(INDEX(Decrements!$D$6:$D$58,Census!$G81+AG$5-18)+IF(AG$5=$B81,INDEX(Decrements!$F$6:$F$58,Census!$G81+AG$5-18),0)+INDEX(Decrements!$E$6:$E$58,Census!$G81+AG$5-18)*IF((Census!$F81+AG$5)&gt;=Assumptions!$B$11,1,0))*MIN(15/26*Census!$D81*(1+Assumptions!$B$9)^AG$5*(INT((Census!$F81+AG$5))+IF((Census!$F81+AG$5)-INT((Census!$F81+AG$5))&gt;0.5,1,0)),Assumptions!$B$10))</f>
        <v>0</v>
      </c>
      <c r="AH81" s="30">
        <f>IF(AH$5&gt;$B81,0,INDEX(Decrements!$G$6:$G$58,Census!$G81+AH$5-18)/INDEX(Decrements!$G$6:$G$58,Census!$G81-17)*(INDEX(Decrements!$D$6:$D$58,Census!$G81+AH$5-18)+IF(AH$5=$B81,INDEX(Decrements!$F$6:$F$58,Census!$G81+AH$5-18),0)+INDEX(Decrements!$E$6:$E$58,Census!$G81+AH$5-18)*IF((Census!$F81+AH$5)&gt;=Assumptions!$B$11,1,0))*MIN(15/26*Census!$D81*(1+Assumptions!$B$9)^AH$5*(INT((Census!$F81+AH$5))+IF((Census!$F81+AH$5)-INT((Census!$F81+AH$5))&gt;0.5,1,0)),Assumptions!$B$10))</f>
        <v>0</v>
      </c>
      <c r="AI81" s="30">
        <f>IF(AI$5&gt;$B81,0,INDEX(Decrements!$G$6:$G$58,Census!$G81+AI$5-18)/INDEX(Decrements!$G$6:$G$58,Census!$G81-17)*(INDEX(Decrements!$D$6:$D$58,Census!$G81+AI$5-18)+IF(AI$5=$B81,INDEX(Decrements!$F$6:$F$58,Census!$G81+AI$5-18),0)+INDEX(Decrements!$E$6:$E$58,Census!$G81+AI$5-18)*IF((Census!$F81+AI$5)&gt;=Assumptions!$B$11,1,0))*MIN(15/26*Census!$D81*(1+Assumptions!$B$9)^AI$5*(INT((Census!$F81+AI$5))+IF((Census!$F81+AI$5)-INT((Census!$F81+AI$5))&gt;0.5,1,0)),Assumptions!$B$10))</f>
        <v>0</v>
      </c>
      <c r="AJ81" s="30">
        <f>IF(AJ$5&gt;$B81,0,INDEX(Decrements!$G$6:$G$58,Census!$G81+AJ$5-18)/INDEX(Decrements!$G$6:$G$58,Census!$G81-17)*(INDEX(Decrements!$D$6:$D$58,Census!$G81+AJ$5-18)+IF(AJ$5=$B81,INDEX(Decrements!$F$6:$F$58,Census!$G81+AJ$5-18),0)+INDEX(Decrements!$E$6:$E$58,Census!$G81+AJ$5-18)*IF((Census!$F81+AJ$5)&gt;=Assumptions!$B$11,1,0))*MIN(15/26*Census!$D81*(1+Assumptions!$B$9)^AJ$5*(INT((Census!$F81+AJ$5))+IF((Census!$F81+AJ$5)-INT((Census!$F81+AJ$5))&gt;0.5,1,0)),Assumptions!$B$10))</f>
        <v>0</v>
      </c>
      <c r="AK81" s="30">
        <f>IF(AK$5&gt;$B81,0,INDEX(Decrements!$G$6:$G$58,Census!$G81+AK$5-18)/INDEX(Decrements!$G$6:$G$58,Census!$G81-17)*(INDEX(Decrements!$D$6:$D$58,Census!$G81+AK$5-18)+IF(AK$5=$B81,INDEX(Decrements!$F$6:$F$58,Census!$G81+AK$5-18),0)+INDEX(Decrements!$E$6:$E$58,Census!$G81+AK$5-18)*IF((Census!$F81+AK$5)&gt;=Assumptions!$B$11,1,0))*MIN(15/26*Census!$D81*(1+Assumptions!$B$9)^AK$5*(INT((Census!$F81+AK$5))+IF((Census!$F81+AK$5)-INT((Census!$F81+AK$5))&gt;0.5,1,0)),Assumptions!$B$10))</f>
        <v>0</v>
      </c>
      <c r="AL81" s="30">
        <f>IF(AL$5&gt;$B81,0,INDEX(Decrements!$G$6:$G$58,Census!$G81+AL$5-18)/INDEX(Decrements!$G$6:$G$58,Census!$G81-17)*(INDEX(Decrements!$D$6:$D$58,Census!$G81+AL$5-18)+IF(AL$5=$B81,INDEX(Decrements!$F$6:$F$58,Census!$G81+AL$5-18),0)+INDEX(Decrements!$E$6:$E$58,Census!$G81+AL$5-18)*IF((Census!$F81+AL$5)&gt;=Assumptions!$B$11,1,0))*MIN(15/26*Census!$D81*(1+Assumptions!$B$9)^AL$5*(INT((Census!$F81+AL$5))+IF((Census!$F81+AL$5)-INT((Census!$F81+AL$5))&gt;0.5,1,0)),Assumptions!$B$10))</f>
        <v>0</v>
      </c>
      <c r="AM81" s="30">
        <f>IF(AM$5&gt;$B81,0,INDEX(Decrements!$G$6:$G$58,Census!$G81+AM$5-18)/INDEX(Decrements!$G$6:$G$58,Census!$G81-17)*(INDEX(Decrements!$D$6:$D$58,Census!$G81+AM$5-18)+IF(AM$5=$B81,INDEX(Decrements!$F$6:$F$58,Census!$G81+AM$5-18),0)+INDEX(Decrements!$E$6:$E$58,Census!$G81+AM$5-18)*IF((Census!$F81+AM$5)&gt;=Assumptions!$B$11,1,0))*MIN(15/26*Census!$D81*(1+Assumptions!$B$9)^AM$5*(INT((Census!$F81+AM$5))+IF((Census!$F81+AM$5)-INT((Census!$F81+AM$5))&gt;0.5,1,0)),Assumptions!$B$10))</f>
        <v>0</v>
      </c>
      <c r="AN81" s="30">
        <f>IF(AN$5&gt;$B81,0,INDEX(Decrements!$G$6:$G$58,Census!$G81+AN$5-18)/INDEX(Decrements!$G$6:$G$58,Census!$G81-17)*(INDEX(Decrements!$D$6:$D$58,Census!$G81+AN$5-18)+IF(AN$5=$B81,INDEX(Decrements!$F$6:$F$58,Census!$G81+AN$5-18),0)+INDEX(Decrements!$E$6:$E$58,Census!$G81+AN$5-18)*IF((Census!$F81+AN$5)&gt;=Assumptions!$B$11,1,0))*MIN(15/26*Census!$D81*(1+Assumptions!$B$9)^AN$5*(INT((Census!$F81+AN$5))+IF((Census!$F81+AN$5)-INT((Census!$F81+AN$5))&gt;0.5,1,0)),Assumptions!$B$10))</f>
        <v>0</v>
      </c>
      <c r="AO81" s="30">
        <f>IF(AO$5&gt;$B81,0,INDEX(Decrements!$G$6:$G$58,Census!$G81+AO$5-18)/INDEX(Decrements!$G$6:$G$58,Census!$G81-17)*(INDEX(Decrements!$D$6:$D$58,Census!$G81+AO$5-18)+IF(AO$5=$B81,INDEX(Decrements!$F$6:$F$58,Census!$G81+AO$5-18),0)+INDEX(Decrements!$E$6:$E$58,Census!$G81+AO$5-18)*IF((Census!$F81+AO$5)&gt;=Assumptions!$B$11,1,0))*MIN(15/26*Census!$D81*(1+Assumptions!$B$9)^AO$5*(INT((Census!$F81+AO$5))+IF((Census!$F81+AO$5)-INT((Census!$F81+AO$5))&gt;0.5,1,0)),Assumptions!$B$10))</f>
        <v>0</v>
      </c>
      <c r="AP81" s="30">
        <f>IF(AP$5&gt;$B81,0,INDEX(Decrements!$G$6:$G$58,Census!$G81+AP$5-18)/INDEX(Decrements!$G$6:$G$58,Census!$G81-17)*(INDEX(Decrements!$D$6:$D$58,Census!$G81+AP$5-18)+IF(AP$5=$B81,INDEX(Decrements!$F$6:$F$58,Census!$G81+AP$5-18),0)+INDEX(Decrements!$E$6:$E$58,Census!$G81+AP$5-18)*IF((Census!$F81+AP$5)&gt;=Assumptions!$B$11,1,0))*MIN(15/26*Census!$D81*(1+Assumptions!$B$9)^AP$5*(INT((Census!$F81+AP$5))+IF((Census!$F81+AP$5)-INT((Census!$F81+AP$5))&gt;0.5,1,0)),Assumptions!$B$10))</f>
        <v>0</v>
      </c>
      <c r="AQ81" s="30">
        <f>IF(AQ$5&gt;$B81,0,INDEX(Decrements!$G$6:$G$58,Census!$G81+AQ$5-18)/INDEX(Decrements!$G$6:$G$58,Census!$G81-17)*(INDEX(Decrements!$D$6:$D$58,Census!$G81+AQ$5-18)+IF(AQ$5=$B81,INDEX(Decrements!$F$6:$F$58,Census!$G81+AQ$5-18),0)+INDEX(Decrements!$E$6:$E$58,Census!$G81+AQ$5-18)*IF((Census!$F81+AQ$5)&gt;=Assumptions!$B$11,1,0))*MIN(15/26*Census!$D81*(1+Assumptions!$B$9)^AQ$5*(INT((Census!$F81+AQ$5))+IF((Census!$F81+AQ$5)-INT((Census!$F81+AQ$5))&gt;0.5,1,0)),Assumptions!$B$10))</f>
        <v>0</v>
      </c>
      <c r="AR81" s="30">
        <f>IF(AR$5&gt;$B81,0,INDEX(Decrements!$G$6:$G$58,Census!$G81+AR$5-18)/INDEX(Decrements!$G$6:$G$58,Census!$G81-17)*(INDEX(Decrements!$D$6:$D$58,Census!$G81+AR$5-18)+IF(AR$5=$B81,INDEX(Decrements!$F$6:$F$58,Census!$G81+AR$5-18),0)+INDEX(Decrements!$E$6:$E$58,Census!$G81+AR$5-18)*IF((Census!$F81+AR$5)&gt;=Assumptions!$B$11,1,0))*MIN(15/26*Census!$D81*(1+Assumptions!$B$9)^AR$5*(INT((Census!$F81+AR$5))+IF((Census!$F81+AR$5)-INT((Census!$F81+AR$5))&gt;0.5,1,0)),Assumptions!$B$10))</f>
        <v>0</v>
      </c>
      <c r="AS81" s="30">
        <f>IF(AS$5&gt;$B81,0,INDEX(Decrements!$G$6:$G$58,Census!$G81+AS$5-18)/INDEX(Decrements!$G$6:$G$58,Census!$G81-17)*(INDEX(Decrements!$D$6:$D$58,Census!$G81+AS$5-18)+IF(AS$5=$B81,INDEX(Decrements!$F$6:$F$58,Census!$G81+AS$5-18),0)+INDEX(Decrements!$E$6:$E$58,Census!$G81+AS$5-18)*IF((Census!$F81+AS$5)&gt;=Assumptions!$B$11,1,0))*MIN(15/26*Census!$D81*(1+Assumptions!$B$9)^AS$5*(INT((Census!$F81+AS$5))+IF((Census!$F81+AS$5)-INT((Census!$F81+AS$5))&gt;0.5,1,0)),Assumptions!$B$10))</f>
        <v>0</v>
      </c>
      <c r="AT81" s="30">
        <f>IF(AT$5&gt;$B81,0,INDEX(Decrements!$G$6:$G$58,Census!$G81+AT$5-18)/INDEX(Decrements!$G$6:$G$58,Census!$G81-17)*(INDEX(Decrements!$D$6:$D$58,Census!$G81+AT$5-18)+IF(AT$5=$B81,INDEX(Decrements!$F$6:$F$58,Census!$G81+AT$5-18),0)+INDEX(Decrements!$E$6:$E$58,Census!$G81+AT$5-18)*IF((Census!$F81+AT$5)&gt;=Assumptions!$B$11,1,0))*MIN(15/26*Census!$D81*(1+Assumptions!$B$9)^AT$5*(INT((Census!$F81+AT$5))+IF((Census!$F81+AT$5)-INT((Census!$F81+AT$5))&gt;0.5,1,0)),Assumptions!$B$10))</f>
        <v>0</v>
      </c>
      <c r="AU81" s="30">
        <f>IF(AU$5&gt;$B81,0,INDEX(Decrements!$G$6:$G$58,Census!$G81+AU$5-18)/INDEX(Decrements!$G$6:$G$58,Census!$G81-17)*(INDEX(Decrements!$D$6:$D$58,Census!$G81+AU$5-18)+IF(AU$5=$B81,INDEX(Decrements!$F$6:$F$58,Census!$G81+AU$5-18),0)+INDEX(Decrements!$E$6:$E$58,Census!$G81+AU$5-18)*IF((Census!$F81+AU$5)&gt;=Assumptions!$B$11,1,0))*MIN(15/26*Census!$D81*(1+Assumptions!$B$9)^AU$5*(INT((Census!$F81+AU$5))+IF((Census!$F81+AU$5)-INT((Census!$F81+AU$5))&gt;0.5,1,0)),Assumptions!$B$10))</f>
        <v>0</v>
      </c>
    </row>
    <row r="82" spans="1:47" x14ac:dyDescent="0.3">
      <c r="A82" s="10" t="str">
        <f>Census!A82</f>
        <v>E077</v>
      </c>
      <c r="B82" s="29">
        <f>Census!H82</f>
        <v>26</v>
      </c>
      <c r="C82" s="30">
        <f>IF(C$5&gt;$B82,0,INDEX(Decrements!$G$6:$G$58,Census!$G82+C$5-18)/INDEX(Decrements!$G$6:$G$58,Census!$G82-17)*(INDEX(Decrements!$D$6:$D$58,Census!$G82+C$5-18)+IF(C$5=$B82,INDEX(Decrements!$F$6:$F$58,Census!$G82+C$5-18),0)+INDEX(Decrements!$E$6:$E$58,Census!$G82+C$5-18)*IF((Census!$F82+C$5)&gt;=Assumptions!$B$11,1,0))*MIN(15/26*Census!$D82*(1+Assumptions!$B$9)^C$5*(INT((Census!$F82+C$5))+IF((Census!$F82+C$5)-INT((Census!$F82+C$5))&gt;0.5,1,0)),Assumptions!$B$10))</f>
        <v>29556.532745793218</v>
      </c>
      <c r="D82" s="30">
        <f>IF(D$5&gt;$B82,0,INDEX(Decrements!$G$6:$G$58,Census!$G82+D$5-18)/INDEX(Decrements!$G$6:$G$58,Census!$G82-17)*(INDEX(Decrements!$D$6:$D$58,Census!$G82+D$5-18)+IF(D$5=$B82,INDEX(Decrements!$F$6:$F$58,Census!$G82+D$5-18),0)+INDEX(Decrements!$E$6:$E$58,Census!$G82+D$5-18)*IF((Census!$F82+D$5)&gt;=Assumptions!$B$11,1,0))*MIN(15/26*Census!$D82*(1+Assumptions!$B$9)^D$5*(INT((Census!$F82+D$5))+IF((Census!$F82+D$5)-INT((Census!$F82+D$5))&gt;0.5,1,0)),Assumptions!$B$10))</f>
        <v>23310.296576860925</v>
      </c>
      <c r="E82" s="30">
        <f>IF(E$5&gt;$B82,0,INDEX(Decrements!$G$6:$G$58,Census!$G82+E$5-18)/INDEX(Decrements!$G$6:$G$58,Census!$G82-17)*(INDEX(Decrements!$D$6:$D$58,Census!$G82+E$5-18)+IF(E$5=$B82,INDEX(Decrements!$F$6:$F$58,Census!$G82+E$5-18),0)+INDEX(Decrements!$E$6:$E$58,Census!$G82+E$5-18)*IF((Census!$F82+E$5)&gt;=Assumptions!$B$11,1,0))*MIN(15/26*Census!$D82*(1+Assumptions!$B$9)^E$5*(INT((Census!$F82+E$5))+IF((Census!$F82+E$5)-INT((Census!$F82+E$5))&gt;0.5,1,0)),Assumptions!$B$10))</f>
        <v>25726.331630522869</v>
      </c>
      <c r="F82" s="30">
        <f>IF(F$5&gt;$B82,0,INDEX(Decrements!$G$6:$G$58,Census!$G82+F$5-18)/INDEX(Decrements!$G$6:$G$58,Census!$G82-17)*(INDEX(Decrements!$D$6:$D$58,Census!$G82+F$5-18)+IF(F$5=$B82,INDEX(Decrements!$F$6:$F$58,Census!$G82+F$5-18),0)+INDEX(Decrements!$E$6:$E$58,Census!$G82+F$5-18)*IF((Census!$F82+F$5)&gt;=Assumptions!$B$11,1,0))*MIN(15/26*Census!$D82*(1+Assumptions!$B$9)^F$5*(INT((Census!$F82+F$5))+IF((Census!$F82+F$5)-INT((Census!$F82+F$5))&gt;0.5,1,0)),Assumptions!$B$10))</f>
        <v>28109.06173044533</v>
      </c>
      <c r="G82" s="30">
        <f>IF(G$5&gt;$B82,0,INDEX(Decrements!$G$6:$G$58,Census!$G82+G$5-18)/INDEX(Decrements!$G$6:$G$58,Census!$G82-17)*(INDEX(Decrements!$D$6:$D$58,Census!$G82+G$5-18)+IF(G$5=$B82,INDEX(Decrements!$F$6:$F$58,Census!$G82+G$5-18),0)+INDEX(Decrements!$E$6:$E$58,Census!$G82+G$5-18)*IF((Census!$F82+G$5)&gt;=Assumptions!$B$11,1,0))*MIN(15/26*Census!$D82*(1+Assumptions!$B$9)^G$5*(INT((Census!$F82+G$5))+IF((Census!$F82+G$5)-INT((Census!$F82+G$5))&gt;0.5,1,0)),Assumptions!$B$10))</f>
        <v>30458.899550562921</v>
      </c>
      <c r="H82" s="30">
        <f>IF(H$5&gt;$B82,0,INDEX(Decrements!$G$6:$G$58,Census!$G82+H$5-18)/INDEX(Decrements!$G$6:$G$58,Census!$G82-17)*(INDEX(Decrements!$D$6:$D$58,Census!$G82+H$5-18)+IF(H$5=$B82,INDEX(Decrements!$F$6:$F$58,Census!$G82+H$5-18),0)+INDEX(Decrements!$E$6:$E$58,Census!$G82+H$5-18)*IF((Census!$F82+H$5)&gt;=Assumptions!$B$11,1,0))*MIN(15/26*Census!$D82*(1+Assumptions!$B$9)^H$5*(INT((Census!$F82+H$5))+IF((Census!$F82+H$5)-INT((Census!$F82+H$5))&gt;0.5,1,0)),Assumptions!$B$10))</f>
        <v>32776.260290866601</v>
      </c>
      <c r="I82" s="30">
        <f>IF(I$5&gt;$B82,0,INDEX(Decrements!$G$6:$G$58,Census!$G82+I$5-18)/INDEX(Decrements!$G$6:$G$58,Census!$G82-17)*(INDEX(Decrements!$D$6:$D$58,Census!$G82+I$5-18)+IF(I$5=$B82,INDEX(Decrements!$F$6:$F$58,Census!$G82+I$5-18),0)+INDEX(Decrements!$E$6:$E$58,Census!$G82+I$5-18)*IF((Census!$F82+I$5)&gt;=Assumptions!$B$11,1,0))*MIN(15/26*Census!$D82*(1+Assumptions!$B$9)^I$5*(INT((Census!$F82+I$5))+IF((Census!$F82+I$5)-INT((Census!$F82+I$5))&gt;0.5,1,0)),Assumptions!$B$10))</f>
        <v>22131.769377715442</v>
      </c>
      <c r="J82" s="30">
        <f>IF(J$5&gt;$B82,0,INDEX(Decrements!$G$6:$G$58,Census!$G82+J$5-18)/INDEX(Decrements!$G$6:$G$58,Census!$G82-17)*(INDEX(Decrements!$D$6:$D$58,Census!$G82+J$5-18)+IF(J$5=$B82,INDEX(Decrements!$F$6:$F$58,Census!$G82+J$5-18),0)+INDEX(Decrements!$E$6:$E$58,Census!$G82+J$5-18)*IF((Census!$F82+J$5)&gt;=Assumptions!$B$11,1,0))*MIN(15/26*Census!$D82*(1+Assumptions!$B$9)^J$5*(INT((Census!$F82+J$5))+IF((Census!$F82+J$5)-INT((Census!$F82+J$5))&gt;0.5,1,0)),Assumptions!$B$10))</f>
        <v>24339.009417807159</v>
      </c>
      <c r="K82" s="30">
        <f>IF(K$5&gt;$B82,0,INDEX(Decrements!$G$6:$G$58,Census!$G82+K$5-18)/INDEX(Decrements!$G$6:$G$58,Census!$G82-17)*(INDEX(Decrements!$D$6:$D$58,Census!$G82+K$5-18)+IF(K$5=$B82,INDEX(Decrements!$F$6:$F$58,Census!$G82+K$5-18),0)+INDEX(Decrements!$E$6:$E$58,Census!$G82+K$5-18)*IF((Census!$F82+K$5)&gt;=Assumptions!$B$11,1,0))*MIN(15/26*Census!$D82*(1+Assumptions!$B$9)^K$5*(INT((Census!$F82+K$5))+IF((Census!$F82+K$5)-INT((Census!$F82+K$5))&gt;0.5,1,0)),Assumptions!$B$10))</f>
        <v>26649.466862864145</v>
      </c>
      <c r="L82" s="30">
        <f>IF(L$5&gt;$B82,0,INDEX(Decrements!$G$6:$G$58,Census!$G82+L$5-18)/INDEX(Decrements!$G$6:$G$58,Census!$G82-17)*(INDEX(Decrements!$D$6:$D$58,Census!$G82+L$5-18)+IF(L$5=$B82,INDEX(Decrements!$F$6:$F$58,Census!$G82+L$5-18),0)+INDEX(Decrements!$E$6:$E$58,Census!$G82+L$5-18)*IF((Census!$F82+L$5)&gt;=Assumptions!$B$11,1,0))*MIN(15/26*Census!$D82*(1+Assumptions!$B$9)^L$5*(INT((Census!$F82+L$5))+IF((Census!$F82+L$5)-INT((Census!$F82+L$5))&gt;0.5,1,0)),Assumptions!$B$10))</f>
        <v>29067.704250008243</v>
      </c>
      <c r="M82" s="30">
        <f>IF(M$5&gt;$B82,0,INDEX(Decrements!$G$6:$G$58,Census!$G82+M$5-18)/INDEX(Decrements!$G$6:$G$58,Census!$G82-17)*(INDEX(Decrements!$D$6:$D$58,Census!$G82+M$5-18)+IF(M$5=$B82,INDEX(Decrements!$F$6:$F$58,Census!$G82+M$5-18),0)+INDEX(Decrements!$E$6:$E$58,Census!$G82+M$5-18)*IF((Census!$F82+M$5)&gt;=Assumptions!$B$11,1,0))*MIN(15/26*Census!$D82*(1+Assumptions!$B$9)^M$5*(INT((Census!$F82+M$5))+IF((Census!$F82+M$5)-INT((Census!$F82+M$5))&gt;0.5,1,0)),Assumptions!$B$10))</f>
        <v>31598.552390109588</v>
      </c>
      <c r="N82" s="30">
        <f>IF(N$5&gt;$B82,0,INDEX(Decrements!$G$6:$G$58,Census!$G82+N$5-18)/INDEX(Decrements!$G$6:$G$58,Census!$G82-17)*(INDEX(Decrements!$D$6:$D$58,Census!$G82+N$5-18)+IF(N$5=$B82,INDEX(Decrements!$F$6:$F$58,Census!$G82+N$5-18),0)+INDEX(Decrements!$E$6:$E$58,Census!$G82+N$5-18)*IF((Census!$F82+N$5)&gt;=Assumptions!$B$11,1,0))*MIN(15/26*Census!$D82*(1+Assumptions!$B$9)^N$5*(INT((Census!$F82+N$5))+IF((Census!$F82+N$5)-INT((Census!$F82+N$5))&gt;0.5,1,0)),Assumptions!$B$10))</f>
        <v>21057.760863780659</v>
      </c>
      <c r="O82" s="30">
        <f>IF(O$5&gt;$B82,0,INDEX(Decrements!$G$6:$G$58,Census!$G82+O$5-18)/INDEX(Decrements!$G$6:$G$58,Census!$G82-17)*(INDEX(Decrements!$D$6:$D$58,Census!$G82+O$5-18)+IF(O$5=$B82,INDEX(Decrements!$F$6:$F$58,Census!$G82+O$5-18),0)+INDEX(Decrements!$E$6:$E$58,Census!$G82+O$5-18)*IF((Census!$F82+O$5)&gt;=Assumptions!$B$11,1,0))*MIN(15/26*Census!$D82*(1+Assumptions!$B$9)^O$5*(INT((Census!$F82+O$5))+IF((Census!$F82+O$5)-INT((Census!$F82+O$5))&gt;0.5,1,0)),Assumptions!$B$10))</f>
        <v>23284.083966387545</v>
      </c>
      <c r="P82" s="30">
        <f>IF(P$5&gt;$B82,0,INDEX(Decrements!$G$6:$G$58,Census!$G82+P$5-18)/INDEX(Decrements!$G$6:$G$58,Census!$G82-17)*(INDEX(Decrements!$D$6:$D$58,Census!$G82+P$5-18)+IF(P$5=$B82,INDEX(Decrements!$F$6:$F$58,Census!$G82+P$5-18),0)+INDEX(Decrements!$E$6:$E$58,Census!$G82+P$5-18)*IF((Census!$F82+P$5)&gt;=Assumptions!$B$11,1,0))*MIN(15/26*Census!$D82*(1+Assumptions!$B$9)^P$5*(INT((Census!$F82+P$5))+IF((Census!$F82+P$5)-INT((Census!$F82+P$5))&gt;0.5,1,0)),Assumptions!$B$10))</f>
        <v>25688.741647281666</v>
      </c>
      <c r="Q82" s="30">
        <f>IF(Q$5&gt;$B82,0,INDEX(Decrements!$G$6:$G$58,Census!$G82+Q$5-18)/INDEX(Decrements!$G$6:$G$58,Census!$G82-17)*(INDEX(Decrements!$D$6:$D$58,Census!$G82+Q$5-18)+IF(Q$5=$B82,INDEX(Decrements!$F$6:$F$58,Census!$G82+Q$5-18),0)+INDEX(Decrements!$E$6:$E$58,Census!$G82+Q$5-18)*IF((Census!$F82+Q$5)&gt;=Assumptions!$B$11,1,0))*MIN(15/26*Census!$D82*(1+Assumptions!$B$9)^Q$5*(INT((Census!$F82+Q$5))+IF((Census!$F82+Q$5)-INT((Census!$F82+Q$5))&gt;0.5,1,0)),Assumptions!$B$10))</f>
        <v>26263.577076103506</v>
      </c>
      <c r="R82" s="30">
        <f>IF(R$5&gt;$B82,0,INDEX(Decrements!$G$6:$G$58,Census!$G82+R$5-18)/INDEX(Decrements!$G$6:$G$58,Census!$G82-17)*(INDEX(Decrements!$D$6:$D$58,Census!$G82+R$5-18)+IF(R$5=$B82,INDEX(Decrements!$F$6:$F$58,Census!$G82+R$5-18),0)+INDEX(Decrements!$E$6:$E$58,Census!$G82+R$5-18)*IF((Census!$F82+R$5)&gt;=Assumptions!$B$11,1,0))*MIN(15/26*Census!$D82*(1+Assumptions!$B$9)^R$5*(INT((Census!$F82+R$5))+IF((Census!$F82+R$5)-INT((Census!$F82+R$5))&gt;0.5,1,0)),Assumptions!$B$10))</f>
        <v>25568.383950389783</v>
      </c>
      <c r="S82" s="30">
        <f>IF(S$5&gt;$B82,0,INDEX(Decrements!$G$6:$G$58,Census!$G82+S$5-18)/INDEX(Decrements!$G$6:$G$58,Census!$G82-17)*(INDEX(Decrements!$D$6:$D$58,Census!$G82+S$5-18)+IF(S$5=$B82,INDEX(Decrements!$F$6:$F$58,Census!$G82+S$5-18),0)+INDEX(Decrements!$E$6:$E$58,Census!$G82+S$5-18)*IF((Census!$F82+S$5)&gt;=Assumptions!$B$11,1,0))*MIN(15/26*Census!$D82*(1+Assumptions!$B$9)^S$5*(INT((Census!$F82+S$5))+IF((Census!$F82+S$5)-INT((Census!$F82+S$5))&gt;0.5,1,0)),Assumptions!$B$10))</f>
        <v>17324.494099346266</v>
      </c>
      <c r="T82" s="30">
        <f>IF(T$5&gt;$B82,0,INDEX(Decrements!$G$6:$G$58,Census!$G82+T$5-18)/INDEX(Decrements!$G$6:$G$58,Census!$G82-17)*(INDEX(Decrements!$D$6:$D$58,Census!$G82+T$5-18)+IF(T$5=$B82,INDEX(Decrements!$F$6:$F$58,Census!$G82+T$5-18),0)+INDEX(Decrements!$E$6:$E$58,Census!$G82+T$5-18)*IF((Census!$F82+T$5)&gt;=Assumptions!$B$11,1,0))*MIN(15/26*Census!$D82*(1+Assumptions!$B$9)^T$5*(INT((Census!$F82+T$5))+IF((Census!$F82+T$5)-INT((Census!$F82+T$5))&gt;0.5,1,0)),Assumptions!$B$10))</f>
        <v>17108.159245155817</v>
      </c>
      <c r="U82" s="30">
        <f>IF(U$5&gt;$B82,0,INDEX(Decrements!$G$6:$G$58,Census!$G82+U$5-18)/INDEX(Decrements!$G$6:$G$58,Census!$G82-17)*(INDEX(Decrements!$D$6:$D$58,Census!$G82+U$5-18)+IF(U$5=$B82,INDEX(Decrements!$F$6:$F$58,Census!$G82+U$5-18),0)+INDEX(Decrements!$E$6:$E$58,Census!$G82+U$5-18)*IF((Census!$F82+U$5)&gt;=Assumptions!$B$11,1,0))*MIN(15/26*Census!$D82*(1+Assumptions!$B$9)^U$5*(INT((Census!$F82+U$5))+IF((Census!$F82+U$5)-INT((Census!$F82+U$5))&gt;0.5,1,0)),Assumptions!$B$10))</f>
        <v>16905.930320644027</v>
      </c>
      <c r="V82" s="30">
        <f>IF(V$5&gt;$B82,0,INDEX(Decrements!$G$6:$G$58,Census!$G82+V$5-18)/INDEX(Decrements!$G$6:$G$58,Census!$G82-17)*(INDEX(Decrements!$D$6:$D$58,Census!$G82+V$5-18)+IF(V$5=$B82,INDEX(Decrements!$F$6:$F$58,Census!$G82+V$5-18),0)+INDEX(Decrements!$E$6:$E$58,Census!$G82+V$5-18)*IF((Census!$F82+V$5)&gt;=Assumptions!$B$11,1,0))*MIN(15/26*Census!$D82*(1+Assumptions!$B$9)^V$5*(INT((Census!$F82+V$5))+IF((Census!$F82+V$5)-INT((Census!$F82+V$5))&gt;0.5,1,0)),Assumptions!$B$10))</f>
        <v>16718.104565574115</v>
      </c>
      <c r="W82" s="30">
        <f>IF(W$5&gt;$B82,0,INDEX(Decrements!$G$6:$G$58,Census!$G82+W$5-18)/INDEX(Decrements!$G$6:$G$58,Census!$G82-17)*(INDEX(Decrements!$D$6:$D$58,Census!$G82+W$5-18)+IF(W$5=$B82,INDEX(Decrements!$F$6:$F$58,Census!$G82+W$5-18),0)+INDEX(Decrements!$E$6:$E$58,Census!$G82+W$5-18)*IF((Census!$F82+W$5)&gt;=Assumptions!$B$11,1,0))*MIN(15/26*Census!$D82*(1+Assumptions!$B$9)^W$5*(INT((Census!$F82+W$5))+IF((Census!$F82+W$5)-INT((Census!$F82+W$5))&gt;0.5,1,0)),Assumptions!$B$10))</f>
        <v>16544.989028592052</v>
      </c>
      <c r="X82" s="30">
        <f>IF(X$5&gt;$B82,0,INDEX(Decrements!$G$6:$G$58,Census!$G82+X$5-18)/INDEX(Decrements!$G$6:$G$58,Census!$G82-17)*(INDEX(Decrements!$D$6:$D$58,Census!$G82+X$5-18)+IF(X$5=$B82,INDEX(Decrements!$F$6:$F$58,Census!$G82+X$5-18),0)+INDEX(Decrements!$E$6:$E$58,Census!$G82+X$5-18)*IF((Census!$F82+X$5)&gt;=Assumptions!$B$11,1,0))*MIN(15/26*Census!$D82*(1+Assumptions!$B$9)^X$5*(INT((Census!$F82+X$5))+IF((Census!$F82+X$5)-INT((Census!$F82+X$5))&gt;0.5,1,0)),Assumptions!$B$10))</f>
        <v>9664.5607352137376</v>
      </c>
      <c r="Y82" s="30">
        <f>IF(Y$5&gt;$B82,0,INDEX(Decrements!$G$6:$G$58,Census!$G82+Y$5-18)/INDEX(Decrements!$G$6:$G$58,Census!$G82-17)*(INDEX(Decrements!$D$6:$D$58,Census!$G82+Y$5-18)+IF(Y$5=$B82,INDEX(Decrements!$F$6:$F$58,Census!$G82+Y$5-18),0)+INDEX(Decrements!$E$6:$E$58,Census!$G82+Y$5-18)*IF((Census!$F82+Y$5)&gt;=Assumptions!$B$11,1,0))*MIN(15/26*Census!$D82*(1+Assumptions!$B$9)^Y$5*(INT((Census!$F82+Y$5))+IF((Census!$F82+Y$5)-INT((Census!$F82+Y$5))&gt;0.5,1,0)),Assumptions!$B$10))</f>
        <v>9786.4142018456332</v>
      </c>
      <c r="Z82" s="30">
        <f>IF(Z$5&gt;$B82,0,INDEX(Decrements!$G$6:$G$58,Census!$G82+Z$5-18)/INDEX(Decrements!$G$6:$G$58,Census!$G82-17)*(INDEX(Decrements!$D$6:$D$58,Census!$G82+Z$5-18)+IF(Z$5=$B82,INDEX(Decrements!$F$6:$F$58,Census!$G82+Z$5-18),0)+INDEX(Decrements!$E$6:$E$58,Census!$G82+Z$5-18)*IF((Census!$F82+Z$5)&gt;=Assumptions!$B$11,1,0))*MIN(15/26*Census!$D82*(1+Assumptions!$B$9)^Z$5*(INT((Census!$F82+Z$5))+IF((Census!$F82+Z$5)-INT((Census!$F82+Z$5))&gt;0.5,1,0)),Assumptions!$B$10))</f>
        <v>9924.3903690865664</v>
      </c>
      <c r="AA82" s="30">
        <f>IF(AA$5&gt;$B82,0,INDEX(Decrements!$G$6:$G$58,Census!$G82+AA$5-18)/INDEX(Decrements!$G$6:$G$58,Census!$G82-17)*(INDEX(Decrements!$D$6:$D$58,Census!$G82+AA$5-18)+IF(AA$5=$B82,INDEX(Decrements!$F$6:$F$58,Census!$G82+AA$5-18),0)+INDEX(Decrements!$E$6:$E$58,Census!$G82+AA$5-18)*IF((Census!$F82+AA$5)&gt;=Assumptions!$B$11,1,0))*MIN(15/26*Census!$D82*(1+Assumptions!$B$9)^AA$5*(INT((Census!$F82+AA$5))+IF((Census!$F82+AA$5)-INT((Census!$F82+AA$5))&gt;0.5,1,0)),Assumptions!$B$10))</f>
        <v>10079.42699416902</v>
      </c>
      <c r="AB82" s="30">
        <f>IF(AB$5&gt;$B82,0,INDEX(Decrements!$G$6:$G$58,Census!$G82+AB$5-18)/INDEX(Decrements!$G$6:$G$58,Census!$G82-17)*(INDEX(Decrements!$D$6:$D$58,Census!$G82+AB$5-18)+IF(AB$5=$B82,INDEX(Decrements!$F$6:$F$58,Census!$G82+AB$5-18),0)+INDEX(Decrements!$E$6:$E$58,Census!$G82+AB$5-18)*IF((Census!$F82+AB$5)&gt;=Assumptions!$B$11,1,0))*MIN(15/26*Census!$D82*(1+Assumptions!$B$9)^AB$5*(INT((Census!$F82+AB$5))+IF((Census!$F82+AB$5)-INT((Census!$F82+AB$5))&gt;0.5,1,0)),Assumptions!$B$10))</f>
        <v>635721.01573537174</v>
      </c>
      <c r="AC82" s="30">
        <f>IF(AC$5&gt;$B82,0,INDEX(Decrements!$G$6:$G$58,Census!$G82+AC$5-18)/INDEX(Decrements!$G$6:$G$58,Census!$G82-17)*(INDEX(Decrements!$D$6:$D$58,Census!$G82+AC$5-18)+IF(AC$5=$B82,INDEX(Decrements!$F$6:$F$58,Census!$G82+AC$5-18),0)+INDEX(Decrements!$E$6:$E$58,Census!$G82+AC$5-18)*IF((Census!$F82+AC$5)&gt;=Assumptions!$B$11,1,0))*MIN(15/26*Census!$D82*(1+Assumptions!$B$9)^AC$5*(INT((Census!$F82+AC$5))+IF((Census!$F82+AC$5)-INT((Census!$F82+AC$5))&gt;0.5,1,0)),Assumptions!$B$10))</f>
        <v>0</v>
      </c>
      <c r="AD82" s="30">
        <f>IF(AD$5&gt;$B82,0,INDEX(Decrements!$G$6:$G$58,Census!$G82+AD$5-18)/INDEX(Decrements!$G$6:$G$58,Census!$G82-17)*(INDEX(Decrements!$D$6:$D$58,Census!$G82+AD$5-18)+IF(AD$5=$B82,INDEX(Decrements!$F$6:$F$58,Census!$G82+AD$5-18),0)+INDEX(Decrements!$E$6:$E$58,Census!$G82+AD$5-18)*IF((Census!$F82+AD$5)&gt;=Assumptions!$B$11,1,0))*MIN(15/26*Census!$D82*(1+Assumptions!$B$9)^AD$5*(INT((Census!$F82+AD$5))+IF((Census!$F82+AD$5)-INT((Census!$F82+AD$5))&gt;0.5,1,0)),Assumptions!$B$10))</f>
        <v>0</v>
      </c>
      <c r="AE82" s="30">
        <f>IF(AE$5&gt;$B82,0,INDEX(Decrements!$G$6:$G$58,Census!$G82+AE$5-18)/INDEX(Decrements!$G$6:$G$58,Census!$G82-17)*(INDEX(Decrements!$D$6:$D$58,Census!$G82+AE$5-18)+IF(AE$5=$B82,INDEX(Decrements!$F$6:$F$58,Census!$G82+AE$5-18),0)+INDEX(Decrements!$E$6:$E$58,Census!$G82+AE$5-18)*IF((Census!$F82+AE$5)&gt;=Assumptions!$B$11,1,0))*MIN(15/26*Census!$D82*(1+Assumptions!$B$9)^AE$5*(INT((Census!$F82+AE$5))+IF((Census!$F82+AE$5)-INT((Census!$F82+AE$5))&gt;0.5,1,0)),Assumptions!$B$10))</f>
        <v>0</v>
      </c>
      <c r="AF82" s="30">
        <f>IF(AF$5&gt;$B82,0,INDEX(Decrements!$G$6:$G$58,Census!$G82+AF$5-18)/INDEX(Decrements!$G$6:$G$58,Census!$G82-17)*(INDEX(Decrements!$D$6:$D$58,Census!$G82+AF$5-18)+IF(AF$5=$B82,INDEX(Decrements!$F$6:$F$58,Census!$G82+AF$5-18),0)+INDEX(Decrements!$E$6:$E$58,Census!$G82+AF$5-18)*IF((Census!$F82+AF$5)&gt;=Assumptions!$B$11,1,0))*MIN(15/26*Census!$D82*(1+Assumptions!$B$9)^AF$5*(INT((Census!$F82+AF$5))+IF((Census!$F82+AF$5)-INT((Census!$F82+AF$5))&gt;0.5,1,0)),Assumptions!$B$10))</f>
        <v>0</v>
      </c>
      <c r="AG82" s="30">
        <f>IF(AG$5&gt;$B82,0,INDEX(Decrements!$G$6:$G$58,Census!$G82+AG$5-18)/INDEX(Decrements!$G$6:$G$58,Census!$G82-17)*(INDEX(Decrements!$D$6:$D$58,Census!$G82+AG$5-18)+IF(AG$5=$B82,INDEX(Decrements!$F$6:$F$58,Census!$G82+AG$5-18),0)+INDEX(Decrements!$E$6:$E$58,Census!$G82+AG$5-18)*IF((Census!$F82+AG$5)&gt;=Assumptions!$B$11,1,0))*MIN(15/26*Census!$D82*(1+Assumptions!$B$9)^AG$5*(INT((Census!$F82+AG$5))+IF((Census!$F82+AG$5)-INT((Census!$F82+AG$5))&gt;0.5,1,0)),Assumptions!$B$10))</f>
        <v>0</v>
      </c>
      <c r="AH82" s="30">
        <f>IF(AH$5&gt;$B82,0,INDEX(Decrements!$G$6:$G$58,Census!$G82+AH$5-18)/INDEX(Decrements!$G$6:$G$58,Census!$G82-17)*(INDEX(Decrements!$D$6:$D$58,Census!$G82+AH$5-18)+IF(AH$5=$B82,INDEX(Decrements!$F$6:$F$58,Census!$G82+AH$5-18),0)+INDEX(Decrements!$E$6:$E$58,Census!$G82+AH$5-18)*IF((Census!$F82+AH$5)&gt;=Assumptions!$B$11,1,0))*MIN(15/26*Census!$D82*(1+Assumptions!$B$9)^AH$5*(INT((Census!$F82+AH$5))+IF((Census!$F82+AH$5)-INT((Census!$F82+AH$5))&gt;0.5,1,0)),Assumptions!$B$10))</f>
        <v>0</v>
      </c>
      <c r="AI82" s="30">
        <f>IF(AI$5&gt;$B82,0,INDEX(Decrements!$G$6:$G$58,Census!$G82+AI$5-18)/INDEX(Decrements!$G$6:$G$58,Census!$G82-17)*(INDEX(Decrements!$D$6:$D$58,Census!$G82+AI$5-18)+IF(AI$5=$B82,INDEX(Decrements!$F$6:$F$58,Census!$G82+AI$5-18),0)+INDEX(Decrements!$E$6:$E$58,Census!$G82+AI$5-18)*IF((Census!$F82+AI$5)&gt;=Assumptions!$B$11,1,0))*MIN(15/26*Census!$D82*(1+Assumptions!$B$9)^AI$5*(INT((Census!$F82+AI$5))+IF((Census!$F82+AI$5)-INT((Census!$F82+AI$5))&gt;0.5,1,0)),Assumptions!$B$10))</f>
        <v>0</v>
      </c>
      <c r="AJ82" s="30">
        <f>IF(AJ$5&gt;$B82,0,INDEX(Decrements!$G$6:$G$58,Census!$G82+AJ$5-18)/INDEX(Decrements!$G$6:$G$58,Census!$G82-17)*(INDEX(Decrements!$D$6:$D$58,Census!$G82+AJ$5-18)+IF(AJ$5=$B82,INDEX(Decrements!$F$6:$F$58,Census!$G82+AJ$5-18),0)+INDEX(Decrements!$E$6:$E$58,Census!$G82+AJ$5-18)*IF((Census!$F82+AJ$5)&gt;=Assumptions!$B$11,1,0))*MIN(15/26*Census!$D82*(1+Assumptions!$B$9)^AJ$5*(INT((Census!$F82+AJ$5))+IF((Census!$F82+AJ$5)-INT((Census!$F82+AJ$5))&gt;0.5,1,0)),Assumptions!$B$10))</f>
        <v>0</v>
      </c>
      <c r="AK82" s="30">
        <f>IF(AK$5&gt;$B82,0,INDEX(Decrements!$G$6:$G$58,Census!$G82+AK$5-18)/INDEX(Decrements!$G$6:$G$58,Census!$G82-17)*(INDEX(Decrements!$D$6:$D$58,Census!$G82+AK$5-18)+IF(AK$5=$B82,INDEX(Decrements!$F$6:$F$58,Census!$G82+AK$5-18),0)+INDEX(Decrements!$E$6:$E$58,Census!$G82+AK$5-18)*IF((Census!$F82+AK$5)&gt;=Assumptions!$B$11,1,0))*MIN(15/26*Census!$D82*(1+Assumptions!$B$9)^AK$5*(INT((Census!$F82+AK$5))+IF((Census!$F82+AK$5)-INT((Census!$F82+AK$5))&gt;0.5,1,0)),Assumptions!$B$10))</f>
        <v>0</v>
      </c>
      <c r="AL82" s="30">
        <f>IF(AL$5&gt;$B82,0,INDEX(Decrements!$G$6:$G$58,Census!$G82+AL$5-18)/INDEX(Decrements!$G$6:$G$58,Census!$G82-17)*(INDEX(Decrements!$D$6:$D$58,Census!$G82+AL$5-18)+IF(AL$5=$B82,INDEX(Decrements!$F$6:$F$58,Census!$G82+AL$5-18),0)+INDEX(Decrements!$E$6:$E$58,Census!$G82+AL$5-18)*IF((Census!$F82+AL$5)&gt;=Assumptions!$B$11,1,0))*MIN(15/26*Census!$D82*(1+Assumptions!$B$9)^AL$5*(INT((Census!$F82+AL$5))+IF((Census!$F82+AL$5)-INT((Census!$F82+AL$5))&gt;0.5,1,0)),Assumptions!$B$10))</f>
        <v>0</v>
      </c>
      <c r="AM82" s="30">
        <f>IF(AM$5&gt;$B82,0,INDEX(Decrements!$G$6:$G$58,Census!$G82+AM$5-18)/INDEX(Decrements!$G$6:$G$58,Census!$G82-17)*(INDEX(Decrements!$D$6:$D$58,Census!$G82+AM$5-18)+IF(AM$5=$B82,INDEX(Decrements!$F$6:$F$58,Census!$G82+AM$5-18),0)+INDEX(Decrements!$E$6:$E$58,Census!$G82+AM$5-18)*IF((Census!$F82+AM$5)&gt;=Assumptions!$B$11,1,0))*MIN(15/26*Census!$D82*(1+Assumptions!$B$9)^AM$5*(INT((Census!$F82+AM$5))+IF((Census!$F82+AM$5)-INT((Census!$F82+AM$5))&gt;0.5,1,0)),Assumptions!$B$10))</f>
        <v>0</v>
      </c>
      <c r="AN82" s="30">
        <f>IF(AN$5&gt;$B82,0,INDEX(Decrements!$G$6:$G$58,Census!$G82+AN$5-18)/INDEX(Decrements!$G$6:$G$58,Census!$G82-17)*(INDEX(Decrements!$D$6:$D$58,Census!$G82+AN$5-18)+IF(AN$5=$B82,INDEX(Decrements!$F$6:$F$58,Census!$G82+AN$5-18),0)+INDEX(Decrements!$E$6:$E$58,Census!$G82+AN$5-18)*IF((Census!$F82+AN$5)&gt;=Assumptions!$B$11,1,0))*MIN(15/26*Census!$D82*(1+Assumptions!$B$9)^AN$5*(INT((Census!$F82+AN$5))+IF((Census!$F82+AN$5)-INT((Census!$F82+AN$5))&gt;0.5,1,0)),Assumptions!$B$10))</f>
        <v>0</v>
      </c>
      <c r="AO82" s="30">
        <f>IF(AO$5&gt;$B82,0,INDEX(Decrements!$G$6:$G$58,Census!$G82+AO$5-18)/INDEX(Decrements!$G$6:$G$58,Census!$G82-17)*(INDEX(Decrements!$D$6:$D$58,Census!$G82+AO$5-18)+IF(AO$5=$B82,INDEX(Decrements!$F$6:$F$58,Census!$G82+AO$5-18),0)+INDEX(Decrements!$E$6:$E$58,Census!$G82+AO$5-18)*IF((Census!$F82+AO$5)&gt;=Assumptions!$B$11,1,0))*MIN(15/26*Census!$D82*(1+Assumptions!$B$9)^AO$5*(INT((Census!$F82+AO$5))+IF((Census!$F82+AO$5)-INT((Census!$F82+AO$5))&gt;0.5,1,0)),Assumptions!$B$10))</f>
        <v>0</v>
      </c>
      <c r="AP82" s="30">
        <f>IF(AP$5&gt;$B82,0,INDEX(Decrements!$G$6:$G$58,Census!$G82+AP$5-18)/INDEX(Decrements!$G$6:$G$58,Census!$G82-17)*(INDEX(Decrements!$D$6:$D$58,Census!$G82+AP$5-18)+IF(AP$5=$B82,INDEX(Decrements!$F$6:$F$58,Census!$G82+AP$5-18),0)+INDEX(Decrements!$E$6:$E$58,Census!$G82+AP$5-18)*IF((Census!$F82+AP$5)&gt;=Assumptions!$B$11,1,0))*MIN(15/26*Census!$D82*(1+Assumptions!$B$9)^AP$5*(INT((Census!$F82+AP$5))+IF((Census!$F82+AP$5)-INT((Census!$F82+AP$5))&gt;0.5,1,0)),Assumptions!$B$10))</f>
        <v>0</v>
      </c>
      <c r="AQ82" s="30">
        <f>IF(AQ$5&gt;$B82,0,INDEX(Decrements!$G$6:$G$58,Census!$G82+AQ$5-18)/INDEX(Decrements!$G$6:$G$58,Census!$G82-17)*(INDEX(Decrements!$D$6:$D$58,Census!$G82+AQ$5-18)+IF(AQ$5=$B82,INDEX(Decrements!$F$6:$F$58,Census!$G82+AQ$5-18),0)+INDEX(Decrements!$E$6:$E$58,Census!$G82+AQ$5-18)*IF((Census!$F82+AQ$5)&gt;=Assumptions!$B$11,1,0))*MIN(15/26*Census!$D82*(1+Assumptions!$B$9)^AQ$5*(INT((Census!$F82+AQ$5))+IF((Census!$F82+AQ$5)-INT((Census!$F82+AQ$5))&gt;0.5,1,0)),Assumptions!$B$10))</f>
        <v>0</v>
      </c>
      <c r="AR82" s="30">
        <f>IF(AR$5&gt;$B82,0,INDEX(Decrements!$G$6:$G$58,Census!$G82+AR$5-18)/INDEX(Decrements!$G$6:$G$58,Census!$G82-17)*(INDEX(Decrements!$D$6:$D$58,Census!$G82+AR$5-18)+IF(AR$5=$B82,INDEX(Decrements!$F$6:$F$58,Census!$G82+AR$5-18),0)+INDEX(Decrements!$E$6:$E$58,Census!$G82+AR$5-18)*IF((Census!$F82+AR$5)&gt;=Assumptions!$B$11,1,0))*MIN(15/26*Census!$D82*(1+Assumptions!$B$9)^AR$5*(INT((Census!$F82+AR$5))+IF((Census!$F82+AR$5)-INT((Census!$F82+AR$5))&gt;0.5,1,0)),Assumptions!$B$10))</f>
        <v>0</v>
      </c>
      <c r="AS82" s="30">
        <f>IF(AS$5&gt;$B82,0,INDEX(Decrements!$G$6:$G$58,Census!$G82+AS$5-18)/INDEX(Decrements!$G$6:$G$58,Census!$G82-17)*(INDEX(Decrements!$D$6:$D$58,Census!$G82+AS$5-18)+IF(AS$5=$B82,INDEX(Decrements!$F$6:$F$58,Census!$G82+AS$5-18),0)+INDEX(Decrements!$E$6:$E$58,Census!$G82+AS$5-18)*IF((Census!$F82+AS$5)&gt;=Assumptions!$B$11,1,0))*MIN(15/26*Census!$D82*(1+Assumptions!$B$9)^AS$5*(INT((Census!$F82+AS$5))+IF((Census!$F82+AS$5)-INT((Census!$F82+AS$5))&gt;0.5,1,0)),Assumptions!$B$10))</f>
        <v>0</v>
      </c>
      <c r="AT82" s="30">
        <f>IF(AT$5&gt;$B82,0,INDEX(Decrements!$G$6:$G$58,Census!$G82+AT$5-18)/INDEX(Decrements!$G$6:$G$58,Census!$G82-17)*(INDEX(Decrements!$D$6:$D$58,Census!$G82+AT$5-18)+IF(AT$5=$B82,INDEX(Decrements!$F$6:$F$58,Census!$G82+AT$5-18),0)+INDEX(Decrements!$E$6:$E$58,Census!$G82+AT$5-18)*IF((Census!$F82+AT$5)&gt;=Assumptions!$B$11,1,0))*MIN(15/26*Census!$D82*(1+Assumptions!$B$9)^AT$5*(INT((Census!$F82+AT$5))+IF((Census!$F82+AT$5)-INT((Census!$F82+AT$5))&gt;0.5,1,0)),Assumptions!$B$10))</f>
        <v>0</v>
      </c>
      <c r="AU82" s="30">
        <f>IF(AU$5&gt;$B82,0,INDEX(Decrements!$G$6:$G$58,Census!$G82+AU$5-18)/INDEX(Decrements!$G$6:$G$58,Census!$G82-17)*(INDEX(Decrements!$D$6:$D$58,Census!$G82+AU$5-18)+IF(AU$5=$B82,INDEX(Decrements!$F$6:$F$58,Census!$G82+AU$5-18),0)+INDEX(Decrements!$E$6:$E$58,Census!$G82+AU$5-18)*IF((Census!$F82+AU$5)&gt;=Assumptions!$B$11,1,0))*MIN(15/26*Census!$D82*(1+Assumptions!$B$9)^AU$5*(INT((Census!$F82+AU$5))+IF((Census!$F82+AU$5)-INT((Census!$F82+AU$5))&gt;0.5,1,0)),Assumptions!$B$10))</f>
        <v>0</v>
      </c>
    </row>
    <row r="83" spans="1:47" x14ac:dyDescent="0.3">
      <c r="A83" s="10" t="str">
        <f>Census!A83</f>
        <v>E078</v>
      </c>
      <c r="B83" s="29">
        <f>Census!H83</f>
        <v>15</v>
      </c>
      <c r="C83" s="30">
        <f>IF(C$5&gt;$B83,0,INDEX(Decrements!$G$6:$G$58,Census!$G83+C$5-18)/INDEX(Decrements!$G$6:$G$58,Census!$G83-17)*(INDEX(Decrements!$D$6:$D$58,Census!$G83+C$5-18)+IF(C$5=$B83,INDEX(Decrements!$F$6:$F$58,Census!$G83+C$5-18),0)+INDEX(Decrements!$E$6:$E$58,Census!$G83+C$5-18)*IF((Census!$F83+C$5)&gt;=Assumptions!$B$11,1,0))*MIN(15/26*Census!$D83*(1+Assumptions!$B$9)^C$5*(INT((Census!$F83+C$5))+IF((Census!$F83+C$5)-INT((Census!$F83+C$5))&gt;0.5,1,0)),Assumptions!$B$10))</f>
        <v>41454.243720150072</v>
      </c>
      <c r="D83" s="30">
        <f>IF(D$5&gt;$B83,0,INDEX(Decrements!$G$6:$G$58,Census!$G83+D$5-18)/INDEX(Decrements!$G$6:$G$58,Census!$G83-17)*(INDEX(Decrements!$D$6:$D$58,Census!$G83+D$5-18)+IF(D$5=$B83,INDEX(Decrements!$F$6:$F$58,Census!$G83+D$5-18),0)+INDEX(Decrements!$E$6:$E$58,Census!$G83+D$5-18)*IF((Census!$F83+D$5)&gt;=Assumptions!$B$11,1,0))*MIN(15/26*Census!$D83*(1+Assumptions!$B$9)^D$5*(INT((Census!$F83+D$5))+IF((Census!$F83+D$5)-INT((Census!$F83+D$5))&gt;0.5,1,0)),Assumptions!$B$10))</f>
        <v>46106.605854129593</v>
      </c>
      <c r="E83" s="30">
        <f>IF(E$5&gt;$B83,0,INDEX(Decrements!$G$6:$G$58,Census!$G83+E$5-18)/INDEX(Decrements!$G$6:$G$58,Census!$G83-17)*(INDEX(Decrements!$D$6:$D$58,Census!$G83+E$5-18)+IF(E$5=$B83,INDEX(Decrements!$F$6:$F$58,Census!$G83+E$5-18),0)+INDEX(Decrements!$E$6:$E$58,Census!$G83+E$5-18)*IF((Census!$F83+E$5)&gt;=Assumptions!$B$11,1,0))*MIN(15/26*Census!$D83*(1+Assumptions!$B$9)^E$5*(INT((Census!$F83+E$5))+IF((Census!$F83+E$5)-INT((Census!$F83+E$5))&gt;0.5,1,0)),Assumptions!$B$10))</f>
        <v>51137.397711464197</v>
      </c>
      <c r="F83" s="30">
        <f>IF(F$5&gt;$B83,0,INDEX(Decrements!$G$6:$G$58,Census!$G83+F$5-18)/INDEX(Decrements!$G$6:$G$58,Census!$G83-17)*(INDEX(Decrements!$D$6:$D$58,Census!$G83+F$5-18)+IF(F$5=$B83,INDEX(Decrements!$F$6:$F$58,Census!$G83+F$5-18),0)+INDEX(Decrements!$E$6:$E$58,Census!$G83+F$5-18)*IF((Census!$F83+F$5)&gt;=Assumptions!$B$11,1,0))*MIN(15/26*Census!$D83*(1+Assumptions!$B$9)^F$5*(INT((Census!$F83+F$5))+IF((Census!$F83+F$5)-INT((Census!$F83+F$5))&gt;0.5,1,0)),Assumptions!$B$10))</f>
        <v>56577.452444295559</v>
      </c>
      <c r="G83" s="30">
        <f>IF(G$5&gt;$B83,0,INDEX(Decrements!$G$6:$G$58,Census!$G83+G$5-18)/INDEX(Decrements!$G$6:$G$58,Census!$G83-17)*(INDEX(Decrements!$D$6:$D$58,Census!$G83+G$5-18)+IF(G$5=$B83,INDEX(Decrements!$F$6:$F$58,Census!$G83+G$5-18),0)+INDEX(Decrements!$E$6:$E$58,Census!$G83+G$5-18)*IF((Census!$F83+G$5)&gt;=Assumptions!$B$11,1,0))*MIN(15/26*Census!$D83*(1+Assumptions!$B$9)^G$5*(INT((Census!$F83+G$5))+IF((Census!$F83+G$5)-INT((Census!$F83+G$5))&gt;0.5,1,0)),Assumptions!$B$10))</f>
        <v>57145.428215645668</v>
      </c>
      <c r="H83" s="30">
        <f>IF(H$5&gt;$B83,0,INDEX(Decrements!$G$6:$G$58,Census!$G83+H$5-18)/INDEX(Decrements!$G$6:$G$58,Census!$G83-17)*(INDEX(Decrements!$D$6:$D$58,Census!$G83+H$5-18)+IF(H$5=$B83,INDEX(Decrements!$F$6:$F$58,Census!$G83+H$5-18),0)+INDEX(Decrements!$E$6:$E$58,Census!$G83+H$5-18)*IF((Census!$F83+H$5)&gt;=Assumptions!$B$11,1,0))*MIN(15/26*Census!$D83*(1+Assumptions!$B$9)^H$5*(INT((Census!$F83+H$5))+IF((Census!$F83+H$5)-INT((Census!$F83+H$5))&gt;0.5,1,0)),Assumptions!$B$10))</f>
        <v>38720.305352402858</v>
      </c>
      <c r="I83" s="30">
        <f>IF(I$5&gt;$B83,0,INDEX(Decrements!$G$6:$G$58,Census!$G83+I$5-18)/INDEX(Decrements!$G$6:$G$58,Census!$G83-17)*(INDEX(Decrements!$D$6:$D$58,Census!$G83+I$5-18)+IF(I$5=$B83,INDEX(Decrements!$F$6:$F$58,Census!$G83+I$5-18),0)+INDEX(Decrements!$E$6:$E$58,Census!$G83+I$5-18)*IF((Census!$F83+I$5)&gt;=Assumptions!$B$11,1,0))*MIN(15/26*Census!$D83*(1+Assumptions!$B$9)^I$5*(INT((Census!$F83+I$5))+IF((Census!$F83+I$5)-INT((Census!$F83+I$5))&gt;0.5,1,0)),Assumptions!$B$10))</f>
        <v>38236.796191062451</v>
      </c>
      <c r="J83" s="30">
        <f>IF(J$5&gt;$B83,0,INDEX(Decrements!$G$6:$G$58,Census!$G83+J$5-18)/INDEX(Decrements!$G$6:$G$58,Census!$G83-17)*(INDEX(Decrements!$D$6:$D$58,Census!$G83+J$5-18)+IF(J$5=$B83,INDEX(Decrements!$F$6:$F$58,Census!$G83+J$5-18),0)+INDEX(Decrements!$E$6:$E$58,Census!$G83+J$5-18)*IF((Census!$F83+J$5)&gt;=Assumptions!$B$11,1,0))*MIN(15/26*Census!$D83*(1+Assumptions!$B$9)^J$5*(INT((Census!$F83+J$5))+IF((Census!$F83+J$5)-INT((Census!$F83+J$5))&gt;0.5,1,0)),Assumptions!$B$10))</f>
        <v>37784.813832254069</v>
      </c>
      <c r="K83" s="30">
        <f>IF(K$5&gt;$B83,0,INDEX(Decrements!$G$6:$G$58,Census!$G83+K$5-18)/INDEX(Decrements!$G$6:$G$58,Census!$G83-17)*(INDEX(Decrements!$D$6:$D$58,Census!$G83+K$5-18)+IF(K$5=$B83,INDEX(Decrements!$F$6:$F$58,Census!$G83+K$5-18),0)+INDEX(Decrements!$E$6:$E$58,Census!$G83+K$5-18)*IF((Census!$F83+K$5)&gt;=Assumptions!$B$11,1,0))*MIN(15/26*Census!$D83*(1+Assumptions!$B$9)^K$5*(INT((Census!$F83+K$5))+IF((Census!$F83+K$5)-INT((Census!$F83+K$5))&gt;0.5,1,0)),Assumptions!$B$10))</f>
        <v>37365.022607895771</v>
      </c>
      <c r="L83" s="30">
        <f>IF(L$5&gt;$B83,0,INDEX(Decrements!$G$6:$G$58,Census!$G83+L$5-18)/INDEX(Decrements!$G$6:$G$58,Census!$G83-17)*(INDEX(Decrements!$D$6:$D$58,Census!$G83+L$5-18)+IF(L$5=$B83,INDEX(Decrements!$F$6:$F$58,Census!$G83+L$5-18),0)+INDEX(Decrements!$E$6:$E$58,Census!$G83+L$5-18)*IF((Census!$F83+L$5)&gt;=Assumptions!$B$11,1,0))*MIN(15/26*Census!$D83*(1+Assumptions!$B$9)^L$5*(INT((Census!$F83+L$5))+IF((Census!$F83+L$5)-INT((Census!$F83+L$5))&gt;0.5,1,0)),Assumptions!$B$10))</f>
        <v>36978.108772793166</v>
      </c>
      <c r="M83" s="30">
        <f>IF(M$5&gt;$B83,0,INDEX(Decrements!$G$6:$G$58,Census!$G83+M$5-18)/INDEX(Decrements!$G$6:$G$58,Census!$G83-17)*(INDEX(Decrements!$D$6:$D$58,Census!$G83+M$5-18)+IF(M$5=$B83,INDEX(Decrements!$F$6:$F$58,Census!$G83+M$5-18),0)+INDEX(Decrements!$E$6:$E$58,Census!$G83+M$5-18)*IF((Census!$F83+M$5)&gt;=Assumptions!$B$11,1,0))*MIN(15/26*Census!$D83*(1+Assumptions!$B$9)^M$5*(INT((Census!$F83+M$5))+IF((Census!$F83+M$5)-INT((Census!$F83+M$5))&gt;0.5,1,0)),Assumptions!$B$10))</f>
        <v>21600.327294892835</v>
      </c>
      <c r="N83" s="30">
        <f>IF(N$5&gt;$B83,0,INDEX(Decrements!$G$6:$G$58,Census!$G83+N$5-18)/INDEX(Decrements!$G$6:$G$58,Census!$G83-17)*(INDEX(Decrements!$D$6:$D$58,Census!$G83+N$5-18)+IF(N$5=$B83,INDEX(Decrements!$F$6:$F$58,Census!$G83+N$5-18),0)+INDEX(Decrements!$E$6:$E$58,Census!$G83+N$5-18)*IF((Census!$F83+N$5)&gt;=Assumptions!$B$11,1,0))*MIN(15/26*Census!$D83*(1+Assumptions!$B$9)^N$5*(INT((Census!$F83+N$5))+IF((Census!$F83+N$5)-INT((Census!$F83+N$5))&gt;0.5,1,0)),Assumptions!$B$10))</f>
        <v>21872.670222148288</v>
      </c>
      <c r="O83" s="30">
        <f>IF(O$5&gt;$B83,0,INDEX(Decrements!$G$6:$G$58,Census!$G83+O$5-18)/INDEX(Decrements!$G$6:$G$58,Census!$G83-17)*(INDEX(Decrements!$D$6:$D$58,Census!$G83+O$5-18)+IF(O$5=$B83,INDEX(Decrements!$F$6:$F$58,Census!$G83+O$5-18),0)+INDEX(Decrements!$E$6:$E$58,Census!$G83+O$5-18)*IF((Census!$F83+O$5)&gt;=Assumptions!$B$11,1,0))*MIN(15/26*Census!$D83*(1+Assumptions!$B$9)^O$5*(INT((Census!$F83+O$5))+IF((Census!$F83+O$5)-INT((Census!$F83+O$5))&gt;0.5,1,0)),Assumptions!$B$10))</f>
        <v>22181.047442070965</v>
      </c>
      <c r="P83" s="30">
        <f>IF(P$5&gt;$B83,0,INDEX(Decrements!$G$6:$G$58,Census!$G83+P$5-18)/INDEX(Decrements!$G$6:$G$58,Census!$G83-17)*(INDEX(Decrements!$D$6:$D$58,Census!$G83+P$5-18)+IF(P$5=$B83,INDEX(Decrements!$F$6:$F$58,Census!$G83+P$5-18),0)+INDEX(Decrements!$E$6:$E$58,Census!$G83+P$5-18)*IF((Census!$F83+P$5)&gt;=Assumptions!$B$11,1,0))*MIN(15/26*Census!$D83*(1+Assumptions!$B$9)^P$5*(INT((Census!$F83+P$5))+IF((Census!$F83+P$5)-INT((Census!$F83+P$5))&gt;0.5,1,0)),Assumptions!$B$10))</f>
        <v>22527.554845379509</v>
      </c>
      <c r="Q83" s="30">
        <f>IF(Q$5&gt;$B83,0,INDEX(Decrements!$G$6:$G$58,Census!$G83+Q$5-18)/INDEX(Decrements!$G$6:$G$58,Census!$G83-17)*(INDEX(Decrements!$D$6:$D$58,Census!$G83+Q$5-18)+IF(Q$5=$B83,INDEX(Decrements!$F$6:$F$58,Census!$G83+Q$5-18),0)+INDEX(Decrements!$E$6:$E$58,Census!$G83+Q$5-18)*IF((Census!$F83+Q$5)&gt;=Assumptions!$B$11,1,0))*MIN(15/26*Census!$D83*(1+Assumptions!$B$9)^Q$5*(INT((Census!$F83+Q$5))+IF((Census!$F83+Q$5)-INT((Census!$F83+Q$5))&gt;0.5,1,0)),Assumptions!$B$10))</f>
        <v>1420838.7100401479</v>
      </c>
      <c r="R83" s="30">
        <f>IF(R$5&gt;$B83,0,INDEX(Decrements!$G$6:$G$58,Census!$G83+R$5-18)/INDEX(Decrements!$G$6:$G$58,Census!$G83-17)*(INDEX(Decrements!$D$6:$D$58,Census!$G83+R$5-18)+IF(R$5=$B83,INDEX(Decrements!$F$6:$F$58,Census!$G83+R$5-18),0)+INDEX(Decrements!$E$6:$E$58,Census!$G83+R$5-18)*IF((Census!$F83+R$5)&gt;=Assumptions!$B$11,1,0))*MIN(15/26*Census!$D83*(1+Assumptions!$B$9)^R$5*(INT((Census!$F83+R$5))+IF((Census!$F83+R$5)-INT((Census!$F83+R$5))&gt;0.5,1,0)),Assumptions!$B$10))</f>
        <v>0</v>
      </c>
      <c r="S83" s="30">
        <f>IF(S$5&gt;$B83,0,INDEX(Decrements!$G$6:$G$58,Census!$G83+S$5-18)/INDEX(Decrements!$G$6:$G$58,Census!$G83-17)*(INDEX(Decrements!$D$6:$D$58,Census!$G83+S$5-18)+IF(S$5=$B83,INDEX(Decrements!$F$6:$F$58,Census!$G83+S$5-18),0)+INDEX(Decrements!$E$6:$E$58,Census!$G83+S$5-18)*IF((Census!$F83+S$5)&gt;=Assumptions!$B$11,1,0))*MIN(15/26*Census!$D83*(1+Assumptions!$B$9)^S$5*(INT((Census!$F83+S$5))+IF((Census!$F83+S$5)-INT((Census!$F83+S$5))&gt;0.5,1,0)),Assumptions!$B$10))</f>
        <v>0</v>
      </c>
      <c r="T83" s="30">
        <f>IF(T$5&gt;$B83,0,INDEX(Decrements!$G$6:$G$58,Census!$G83+T$5-18)/INDEX(Decrements!$G$6:$G$58,Census!$G83-17)*(INDEX(Decrements!$D$6:$D$58,Census!$G83+T$5-18)+IF(T$5=$B83,INDEX(Decrements!$F$6:$F$58,Census!$G83+T$5-18),0)+INDEX(Decrements!$E$6:$E$58,Census!$G83+T$5-18)*IF((Census!$F83+T$5)&gt;=Assumptions!$B$11,1,0))*MIN(15/26*Census!$D83*(1+Assumptions!$B$9)^T$5*(INT((Census!$F83+T$5))+IF((Census!$F83+T$5)-INT((Census!$F83+T$5))&gt;0.5,1,0)),Assumptions!$B$10))</f>
        <v>0</v>
      </c>
      <c r="U83" s="30">
        <f>IF(U$5&gt;$B83,0,INDEX(Decrements!$G$6:$G$58,Census!$G83+U$5-18)/INDEX(Decrements!$G$6:$G$58,Census!$G83-17)*(INDEX(Decrements!$D$6:$D$58,Census!$G83+U$5-18)+IF(U$5=$B83,INDEX(Decrements!$F$6:$F$58,Census!$G83+U$5-18),0)+INDEX(Decrements!$E$6:$E$58,Census!$G83+U$5-18)*IF((Census!$F83+U$5)&gt;=Assumptions!$B$11,1,0))*MIN(15/26*Census!$D83*(1+Assumptions!$B$9)^U$5*(INT((Census!$F83+U$5))+IF((Census!$F83+U$5)-INT((Census!$F83+U$5))&gt;0.5,1,0)),Assumptions!$B$10))</f>
        <v>0</v>
      </c>
      <c r="V83" s="30">
        <f>IF(V$5&gt;$B83,0,INDEX(Decrements!$G$6:$G$58,Census!$G83+V$5-18)/INDEX(Decrements!$G$6:$G$58,Census!$G83-17)*(INDEX(Decrements!$D$6:$D$58,Census!$G83+V$5-18)+IF(V$5=$B83,INDEX(Decrements!$F$6:$F$58,Census!$G83+V$5-18),0)+INDEX(Decrements!$E$6:$E$58,Census!$G83+V$5-18)*IF((Census!$F83+V$5)&gt;=Assumptions!$B$11,1,0))*MIN(15/26*Census!$D83*(1+Assumptions!$B$9)^V$5*(INT((Census!$F83+V$5))+IF((Census!$F83+V$5)-INT((Census!$F83+V$5))&gt;0.5,1,0)),Assumptions!$B$10))</f>
        <v>0</v>
      </c>
      <c r="W83" s="30">
        <f>IF(W$5&gt;$B83,0,INDEX(Decrements!$G$6:$G$58,Census!$G83+W$5-18)/INDEX(Decrements!$G$6:$G$58,Census!$G83-17)*(INDEX(Decrements!$D$6:$D$58,Census!$G83+W$5-18)+IF(W$5=$B83,INDEX(Decrements!$F$6:$F$58,Census!$G83+W$5-18),0)+INDEX(Decrements!$E$6:$E$58,Census!$G83+W$5-18)*IF((Census!$F83+W$5)&gt;=Assumptions!$B$11,1,0))*MIN(15/26*Census!$D83*(1+Assumptions!$B$9)^W$5*(INT((Census!$F83+W$5))+IF((Census!$F83+W$5)-INT((Census!$F83+W$5))&gt;0.5,1,0)),Assumptions!$B$10))</f>
        <v>0</v>
      </c>
      <c r="X83" s="30">
        <f>IF(X$5&gt;$B83,0,INDEX(Decrements!$G$6:$G$58,Census!$G83+X$5-18)/INDEX(Decrements!$G$6:$G$58,Census!$G83-17)*(INDEX(Decrements!$D$6:$D$58,Census!$G83+X$5-18)+IF(X$5=$B83,INDEX(Decrements!$F$6:$F$58,Census!$G83+X$5-18),0)+INDEX(Decrements!$E$6:$E$58,Census!$G83+X$5-18)*IF((Census!$F83+X$5)&gt;=Assumptions!$B$11,1,0))*MIN(15/26*Census!$D83*(1+Assumptions!$B$9)^X$5*(INT((Census!$F83+X$5))+IF((Census!$F83+X$5)-INT((Census!$F83+X$5))&gt;0.5,1,0)),Assumptions!$B$10))</f>
        <v>0</v>
      </c>
      <c r="Y83" s="30">
        <f>IF(Y$5&gt;$B83,0,INDEX(Decrements!$G$6:$G$58,Census!$G83+Y$5-18)/INDEX(Decrements!$G$6:$G$58,Census!$G83-17)*(INDEX(Decrements!$D$6:$D$58,Census!$G83+Y$5-18)+IF(Y$5=$B83,INDEX(Decrements!$F$6:$F$58,Census!$G83+Y$5-18),0)+INDEX(Decrements!$E$6:$E$58,Census!$G83+Y$5-18)*IF((Census!$F83+Y$5)&gt;=Assumptions!$B$11,1,0))*MIN(15/26*Census!$D83*(1+Assumptions!$B$9)^Y$5*(INT((Census!$F83+Y$5))+IF((Census!$F83+Y$5)-INT((Census!$F83+Y$5))&gt;0.5,1,0)),Assumptions!$B$10))</f>
        <v>0</v>
      </c>
      <c r="Z83" s="30">
        <f>IF(Z$5&gt;$B83,0,INDEX(Decrements!$G$6:$G$58,Census!$G83+Z$5-18)/INDEX(Decrements!$G$6:$G$58,Census!$G83-17)*(INDEX(Decrements!$D$6:$D$58,Census!$G83+Z$5-18)+IF(Z$5=$B83,INDEX(Decrements!$F$6:$F$58,Census!$G83+Z$5-18),0)+INDEX(Decrements!$E$6:$E$58,Census!$G83+Z$5-18)*IF((Census!$F83+Z$5)&gt;=Assumptions!$B$11,1,0))*MIN(15/26*Census!$D83*(1+Assumptions!$B$9)^Z$5*(INT((Census!$F83+Z$5))+IF((Census!$F83+Z$5)-INT((Census!$F83+Z$5))&gt;0.5,1,0)),Assumptions!$B$10))</f>
        <v>0</v>
      </c>
      <c r="AA83" s="30">
        <f>IF(AA$5&gt;$B83,0,INDEX(Decrements!$G$6:$G$58,Census!$G83+AA$5-18)/INDEX(Decrements!$G$6:$G$58,Census!$G83-17)*(INDEX(Decrements!$D$6:$D$58,Census!$G83+AA$5-18)+IF(AA$5=$B83,INDEX(Decrements!$F$6:$F$58,Census!$G83+AA$5-18),0)+INDEX(Decrements!$E$6:$E$58,Census!$G83+AA$5-18)*IF((Census!$F83+AA$5)&gt;=Assumptions!$B$11,1,0))*MIN(15/26*Census!$D83*(1+Assumptions!$B$9)^AA$5*(INT((Census!$F83+AA$5))+IF((Census!$F83+AA$5)-INT((Census!$F83+AA$5))&gt;0.5,1,0)),Assumptions!$B$10))</f>
        <v>0</v>
      </c>
      <c r="AB83" s="30">
        <f>IF(AB$5&gt;$B83,0,INDEX(Decrements!$G$6:$G$58,Census!$G83+AB$5-18)/INDEX(Decrements!$G$6:$G$58,Census!$G83-17)*(INDEX(Decrements!$D$6:$D$58,Census!$G83+AB$5-18)+IF(AB$5=$B83,INDEX(Decrements!$F$6:$F$58,Census!$G83+AB$5-18),0)+INDEX(Decrements!$E$6:$E$58,Census!$G83+AB$5-18)*IF((Census!$F83+AB$5)&gt;=Assumptions!$B$11,1,0))*MIN(15/26*Census!$D83*(1+Assumptions!$B$9)^AB$5*(INT((Census!$F83+AB$5))+IF((Census!$F83+AB$5)-INT((Census!$F83+AB$5))&gt;0.5,1,0)),Assumptions!$B$10))</f>
        <v>0</v>
      </c>
      <c r="AC83" s="30">
        <f>IF(AC$5&gt;$B83,0,INDEX(Decrements!$G$6:$G$58,Census!$G83+AC$5-18)/INDEX(Decrements!$G$6:$G$58,Census!$G83-17)*(INDEX(Decrements!$D$6:$D$58,Census!$G83+AC$5-18)+IF(AC$5=$B83,INDEX(Decrements!$F$6:$F$58,Census!$G83+AC$5-18),0)+INDEX(Decrements!$E$6:$E$58,Census!$G83+AC$5-18)*IF((Census!$F83+AC$5)&gt;=Assumptions!$B$11,1,0))*MIN(15/26*Census!$D83*(1+Assumptions!$B$9)^AC$5*(INT((Census!$F83+AC$5))+IF((Census!$F83+AC$5)-INT((Census!$F83+AC$5))&gt;0.5,1,0)),Assumptions!$B$10))</f>
        <v>0</v>
      </c>
      <c r="AD83" s="30">
        <f>IF(AD$5&gt;$B83,0,INDEX(Decrements!$G$6:$G$58,Census!$G83+AD$5-18)/INDEX(Decrements!$G$6:$G$58,Census!$G83-17)*(INDEX(Decrements!$D$6:$D$58,Census!$G83+AD$5-18)+IF(AD$5=$B83,INDEX(Decrements!$F$6:$F$58,Census!$G83+AD$5-18),0)+INDEX(Decrements!$E$6:$E$58,Census!$G83+AD$5-18)*IF((Census!$F83+AD$5)&gt;=Assumptions!$B$11,1,0))*MIN(15/26*Census!$D83*(1+Assumptions!$B$9)^AD$5*(INT((Census!$F83+AD$5))+IF((Census!$F83+AD$5)-INT((Census!$F83+AD$5))&gt;0.5,1,0)),Assumptions!$B$10))</f>
        <v>0</v>
      </c>
      <c r="AE83" s="30">
        <f>IF(AE$5&gt;$B83,0,INDEX(Decrements!$G$6:$G$58,Census!$G83+AE$5-18)/INDEX(Decrements!$G$6:$G$58,Census!$G83-17)*(INDEX(Decrements!$D$6:$D$58,Census!$G83+AE$5-18)+IF(AE$5=$B83,INDEX(Decrements!$F$6:$F$58,Census!$G83+AE$5-18),0)+INDEX(Decrements!$E$6:$E$58,Census!$G83+AE$5-18)*IF((Census!$F83+AE$5)&gt;=Assumptions!$B$11,1,0))*MIN(15/26*Census!$D83*(1+Assumptions!$B$9)^AE$5*(INT((Census!$F83+AE$5))+IF((Census!$F83+AE$5)-INT((Census!$F83+AE$5))&gt;0.5,1,0)),Assumptions!$B$10))</f>
        <v>0</v>
      </c>
      <c r="AF83" s="30">
        <f>IF(AF$5&gt;$B83,0,INDEX(Decrements!$G$6:$G$58,Census!$G83+AF$5-18)/INDEX(Decrements!$G$6:$G$58,Census!$G83-17)*(INDEX(Decrements!$D$6:$D$58,Census!$G83+AF$5-18)+IF(AF$5=$B83,INDEX(Decrements!$F$6:$F$58,Census!$G83+AF$5-18),0)+INDEX(Decrements!$E$6:$E$58,Census!$G83+AF$5-18)*IF((Census!$F83+AF$5)&gt;=Assumptions!$B$11,1,0))*MIN(15/26*Census!$D83*(1+Assumptions!$B$9)^AF$5*(INT((Census!$F83+AF$5))+IF((Census!$F83+AF$5)-INT((Census!$F83+AF$5))&gt;0.5,1,0)),Assumptions!$B$10))</f>
        <v>0</v>
      </c>
      <c r="AG83" s="30">
        <f>IF(AG$5&gt;$B83,0,INDEX(Decrements!$G$6:$G$58,Census!$G83+AG$5-18)/INDEX(Decrements!$G$6:$G$58,Census!$G83-17)*(INDEX(Decrements!$D$6:$D$58,Census!$G83+AG$5-18)+IF(AG$5=$B83,INDEX(Decrements!$F$6:$F$58,Census!$G83+AG$5-18),0)+INDEX(Decrements!$E$6:$E$58,Census!$G83+AG$5-18)*IF((Census!$F83+AG$5)&gt;=Assumptions!$B$11,1,0))*MIN(15/26*Census!$D83*(1+Assumptions!$B$9)^AG$5*(INT((Census!$F83+AG$5))+IF((Census!$F83+AG$5)-INT((Census!$F83+AG$5))&gt;0.5,1,0)),Assumptions!$B$10))</f>
        <v>0</v>
      </c>
      <c r="AH83" s="30">
        <f>IF(AH$5&gt;$B83,0,INDEX(Decrements!$G$6:$G$58,Census!$G83+AH$5-18)/INDEX(Decrements!$G$6:$G$58,Census!$G83-17)*(INDEX(Decrements!$D$6:$D$58,Census!$G83+AH$5-18)+IF(AH$5=$B83,INDEX(Decrements!$F$6:$F$58,Census!$G83+AH$5-18),0)+INDEX(Decrements!$E$6:$E$58,Census!$G83+AH$5-18)*IF((Census!$F83+AH$5)&gt;=Assumptions!$B$11,1,0))*MIN(15/26*Census!$D83*(1+Assumptions!$B$9)^AH$5*(INT((Census!$F83+AH$5))+IF((Census!$F83+AH$5)-INT((Census!$F83+AH$5))&gt;0.5,1,0)),Assumptions!$B$10))</f>
        <v>0</v>
      </c>
      <c r="AI83" s="30">
        <f>IF(AI$5&gt;$B83,0,INDEX(Decrements!$G$6:$G$58,Census!$G83+AI$5-18)/INDEX(Decrements!$G$6:$G$58,Census!$G83-17)*(INDEX(Decrements!$D$6:$D$58,Census!$G83+AI$5-18)+IF(AI$5=$B83,INDEX(Decrements!$F$6:$F$58,Census!$G83+AI$5-18),0)+INDEX(Decrements!$E$6:$E$58,Census!$G83+AI$5-18)*IF((Census!$F83+AI$5)&gt;=Assumptions!$B$11,1,0))*MIN(15/26*Census!$D83*(1+Assumptions!$B$9)^AI$5*(INT((Census!$F83+AI$5))+IF((Census!$F83+AI$5)-INT((Census!$F83+AI$5))&gt;0.5,1,0)),Assumptions!$B$10))</f>
        <v>0</v>
      </c>
      <c r="AJ83" s="30">
        <f>IF(AJ$5&gt;$B83,0,INDEX(Decrements!$G$6:$G$58,Census!$G83+AJ$5-18)/INDEX(Decrements!$G$6:$G$58,Census!$G83-17)*(INDEX(Decrements!$D$6:$D$58,Census!$G83+AJ$5-18)+IF(AJ$5=$B83,INDEX(Decrements!$F$6:$F$58,Census!$G83+AJ$5-18),0)+INDEX(Decrements!$E$6:$E$58,Census!$G83+AJ$5-18)*IF((Census!$F83+AJ$5)&gt;=Assumptions!$B$11,1,0))*MIN(15/26*Census!$D83*(1+Assumptions!$B$9)^AJ$5*(INT((Census!$F83+AJ$5))+IF((Census!$F83+AJ$5)-INT((Census!$F83+AJ$5))&gt;0.5,1,0)),Assumptions!$B$10))</f>
        <v>0</v>
      </c>
      <c r="AK83" s="30">
        <f>IF(AK$5&gt;$B83,0,INDEX(Decrements!$G$6:$G$58,Census!$G83+AK$5-18)/INDEX(Decrements!$G$6:$G$58,Census!$G83-17)*(INDEX(Decrements!$D$6:$D$58,Census!$G83+AK$5-18)+IF(AK$5=$B83,INDEX(Decrements!$F$6:$F$58,Census!$G83+AK$5-18),0)+INDEX(Decrements!$E$6:$E$58,Census!$G83+AK$5-18)*IF((Census!$F83+AK$5)&gt;=Assumptions!$B$11,1,0))*MIN(15/26*Census!$D83*(1+Assumptions!$B$9)^AK$5*(INT((Census!$F83+AK$5))+IF((Census!$F83+AK$5)-INT((Census!$F83+AK$5))&gt;0.5,1,0)),Assumptions!$B$10))</f>
        <v>0</v>
      </c>
      <c r="AL83" s="30">
        <f>IF(AL$5&gt;$B83,0,INDEX(Decrements!$G$6:$G$58,Census!$G83+AL$5-18)/INDEX(Decrements!$G$6:$G$58,Census!$G83-17)*(INDEX(Decrements!$D$6:$D$58,Census!$G83+AL$5-18)+IF(AL$5=$B83,INDEX(Decrements!$F$6:$F$58,Census!$G83+AL$5-18),0)+INDEX(Decrements!$E$6:$E$58,Census!$G83+AL$5-18)*IF((Census!$F83+AL$5)&gt;=Assumptions!$B$11,1,0))*MIN(15/26*Census!$D83*(1+Assumptions!$B$9)^AL$5*(INT((Census!$F83+AL$5))+IF((Census!$F83+AL$5)-INT((Census!$F83+AL$5))&gt;0.5,1,0)),Assumptions!$B$10))</f>
        <v>0</v>
      </c>
      <c r="AM83" s="30">
        <f>IF(AM$5&gt;$B83,0,INDEX(Decrements!$G$6:$G$58,Census!$G83+AM$5-18)/INDEX(Decrements!$G$6:$G$58,Census!$G83-17)*(INDEX(Decrements!$D$6:$D$58,Census!$G83+AM$5-18)+IF(AM$5=$B83,INDEX(Decrements!$F$6:$F$58,Census!$G83+AM$5-18),0)+INDEX(Decrements!$E$6:$E$58,Census!$G83+AM$5-18)*IF((Census!$F83+AM$5)&gt;=Assumptions!$B$11,1,0))*MIN(15/26*Census!$D83*(1+Assumptions!$B$9)^AM$5*(INT((Census!$F83+AM$5))+IF((Census!$F83+AM$5)-INT((Census!$F83+AM$5))&gt;0.5,1,0)),Assumptions!$B$10))</f>
        <v>0</v>
      </c>
      <c r="AN83" s="30">
        <f>IF(AN$5&gt;$B83,0,INDEX(Decrements!$G$6:$G$58,Census!$G83+AN$5-18)/INDEX(Decrements!$G$6:$G$58,Census!$G83-17)*(INDEX(Decrements!$D$6:$D$58,Census!$G83+AN$5-18)+IF(AN$5=$B83,INDEX(Decrements!$F$6:$F$58,Census!$G83+AN$5-18),0)+INDEX(Decrements!$E$6:$E$58,Census!$G83+AN$5-18)*IF((Census!$F83+AN$5)&gt;=Assumptions!$B$11,1,0))*MIN(15/26*Census!$D83*(1+Assumptions!$B$9)^AN$5*(INT((Census!$F83+AN$5))+IF((Census!$F83+AN$5)-INT((Census!$F83+AN$5))&gt;0.5,1,0)),Assumptions!$B$10))</f>
        <v>0</v>
      </c>
      <c r="AO83" s="30">
        <f>IF(AO$5&gt;$B83,0,INDEX(Decrements!$G$6:$G$58,Census!$G83+AO$5-18)/INDEX(Decrements!$G$6:$G$58,Census!$G83-17)*(INDEX(Decrements!$D$6:$D$58,Census!$G83+AO$5-18)+IF(AO$5=$B83,INDEX(Decrements!$F$6:$F$58,Census!$G83+AO$5-18),0)+INDEX(Decrements!$E$6:$E$58,Census!$G83+AO$5-18)*IF((Census!$F83+AO$5)&gt;=Assumptions!$B$11,1,0))*MIN(15/26*Census!$D83*(1+Assumptions!$B$9)^AO$5*(INT((Census!$F83+AO$5))+IF((Census!$F83+AO$5)-INT((Census!$F83+AO$5))&gt;0.5,1,0)),Assumptions!$B$10))</f>
        <v>0</v>
      </c>
      <c r="AP83" s="30">
        <f>IF(AP$5&gt;$B83,0,INDEX(Decrements!$G$6:$G$58,Census!$G83+AP$5-18)/INDEX(Decrements!$G$6:$G$58,Census!$G83-17)*(INDEX(Decrements!$D$6:$D$58,Census!$G83+AP$5-18)+IF(AP$5=$B83,INDEX(Decrements!$F$6:$F$58,Census!$G83+AP$5-18),0)+INDEX(Decrements!$E$6:$E$58,Census!$G83+AP$5-18)*IF((Census!$F83+AP$5)&gt;=Assumptions!$B$11,1,0))*MIN(15/26*Census!$D83*(1+Assumptions!$B$9)^AP$5*(INT((Census!$F83+AP$5))+IF((Census!$F83+AP$5)-INT((Census!$F83+AP$5))&gt;0.5,1,0)),Assumptions!$B$10))</f>
        <v>0</v>
      </c>
      <c r="AQ83" s="30">
        <f>IF(AQ$5&gt;$B83,0,INDEX(Decrements!$G$6:$G$58,Census!$G83+AQ$5-18)/INDEX(Decrements!$G$6:$G$58,Census!$G83-17)*(INDEX(Decrements!$D$6:$D$58,Census!$G83+AQ$5-18)+IF(AQ$5=$B83,INDEX(Decrements!$F$6:$F$58,Census!$G83+AQ$5-18),0)+INDEX(Decrements!$E$6:$E$58,Census!$G83+AQ$5-18)*IF((Census!$F83+AQ$5)&gt;=Assumptions!$B$11,1,0))*MIN(15/26*Census!$D83*(1+Assumptions!$B$9)^AQ$5*(INT((Census!$F83+AQ$5))+IF((Census!$F83+AQ$5)-INT((Census!$F83+AQ$5))&gt;0.5,1,0)),Assumptions!$B$10))</f>
        <v>0</v>
      </c>
      <c r="AR83" s="30">
        <f>IF(AR$5&gt;$B83,0,INDEX(Decrements!$G$6:$G$58,Census!$G83+AR$5-18)/INDEX(Decrements!$G$6:$G$58,Census!$G83-17)*(INDEX(Decrements!$D$6:$D$58,Census!$G83+AR$5-18)+IF(AR$5=$B83,INDEX(Decrements!$F$6:$F$58,Census!$G83+AR$5-18),0)+INDEX(Decrements!$E$6:$E$58,Census!$G83+AR$5-18)*IF((Census!$F83+AR$5)&gt;=Assumptions!$B$11,1,0))*MIN(15/26*Census!$D83*(1+Assumptions!$B$9)^AR$5*(INT((Census!$F83+AR$5))+IF((Census!$F83+AR$5)-INT((Census!$F83+AR$5))&gt;0.5,1,0)),Assumptions!$B$10))</f>
        <v>0</v>
      </c>
      <c r="AS83" s="30">
        <f>IF(AS$5&gt;$B83,0,INDEX(Decrements!$G$6:$G$58,Census!$G83+AS$5-18)/INDEX(Decrements!$G$6:$G$58,Census!$G83-17)*(INDEX(Decrements!$D$6:$D$58,Census!$G83+AS$5-18)+IF(AS$5=$B83,INDEX(Decrements!$F$6:$F$58,Census!$G83+AS$5-18),0)+INDEX(Decrements!$E$6:$E$58,Census!$G83+AS$5-18)*IF((Census!$F83+AS$5)&gt;=Assumptions!$B$11,1,0))*MIN(15/26*Census!$D83*(1+Assumptions!$B$9)^AS$5*(INT((Census!$F83+AS$5))+IF((Census!$F83+AS$5)-INT((Census!$F83+AS$5))&gt;0.5,1,0)),Assumptions!$B$10))</f>
        <v>0</v>
      </c>
      <c r="AT83" s="30">
        <f>IF(AT$5&gt;$B83,0,INDEX(Decrements!$G$6:$G$58,Census!$G83+AT$5-18)/INDEX(Decrements!$G$6:$G$58,Census!$G83-17)*(INDEX(Decrements!$D$6:$D$58,Census!$G83+AT$5-18)+IF(AT$5=$B83,INDEX(Decrements!$F$6:$F$58,Census!$G83+AT$5-18),0)+INDEX(Decrements!$E$6:$E$58,Census!$G83+AT$5-18)*IF((Census!$F83+AT$5)&gt;=Assumptions!$B$11,1,0))*MIN(15/26*Census!$D83*(1+Assumptions!$B$9)^AT$5*(INT((Census!$F83+AT$5))+IF((Census!$F83+AT$5)-INT((Census!$F83+AT$5))&gt;0.5,1,0)),Assumptions!$B$10))</f>
        <v>0</v>
      </c>
      <c r="AU83" s="30">
        <f>IF(AU$5&gt;$B83,0,INDEX(Decrements!$G$6:$G$58,Census!$G83+AU$5-18)/INDEX(Decrements!$G$6:$G$58,Census!$G83-17)*(INDEX(Decrements!$D$6:$D$58,Census!$G83+AU$5-18)+IF(AU$5=$B83,INDEX(Decrements!$F$6:$F$58,Census!$G83+AU$5-18),0)+INDEX(Decrements!$E$6:$E$58,Census!$G83+AU$5-18)*IF((Census!$F83+AU$5)&gt;=Assumptions!$B$11,1,0))*MIN(15/26*Census!$D83*(1+Assumptions!$B$9)^AU$5*(INT((Census!$F83+AU$5))+IF((Census!$F83+AU$5)-INT((Census!$F83+AU$5))&gt;0.5,1,0)),Assumptions!$B$10))</f>
        <v>0</v>
      </c>
    </row>
    <row r="84" spans="1:47" x14ac:dyDescent="0.3">
      <c r="A84" s="10" t="str">
        <f>Census!A84</f>
        <v>E079</v>
      </c>
      <c r="B84" s="29">
        <f>Census!H84</f>
        <v>30</v>
      </c>
      <c r="C84" s="30">
        <f>IF(C$5&gt;$B84,0,INDEX(Decrements!$G$6:$G$58,Census!$G84+C$5-18)/INDEX(Decrements!$G$6:$G$58,Census!$G84-17)*(INDEX(Decrements!$D$6:$D$58,Census!$G84+C$5-18)+IF(C$5=$B84,INDEX(Decrements!$F$6:$F$58,Census!$G84+C$5-18),0)+INDEX(Decrements!$E$6:$E$58,Census!$G84+C$5-18)*IF((Census!$F84+C$5)&gt;=Assumptions!$B$11,1,0))*MIN(15/26*Census!$D84*(1+Assumptions!$B$9)^C$5*(INT((Census!$F84+C$5))+IF((Census!$F84+C$5)-INT((Census!$F84+C$5))&gt;0.5,1,0)),Assumptions!$B$10))</f>
        <v>19744.153904602546</v>
      </c>
      <c r="D84" s="30">
        <f>IF(D$5&gt;$B84,0,INDEX(Decrements!$G$6:$G$58,Census!$G84+D$5-18)/INDEX(Decrements!$G$6:$G$58,Census!$G84-17)*(INDEX(Decrements!$D$6:$D$58,Census!$G84+D$5-18)+IF(D$5=$B84,INDEX(Decrements!$F$6:$F$58,Census!$G84+D$5-18),0)+INDEX(Decrements!$E$6:$E$58,Census!$G84+D$5-18)*IF((Census!$F84+D$5)&gt;=Assumptions!$B$11,1,0))*MIN(15/26*Census!$D84*(1+Assumptions!$B$9)^D$5*(INT((Census!$F84+D$5))+IF((Census!$F84+D$5)-INT((Census!$F84+D$5))&gt;0.5,1,0)),Assumptions!$B$10))</f>
        <v>21679.000177907168</v>
      </c>
      <c r="E84" s="30">
        <f>IF(E$5&gt;$B84,0,INDEX(Decrements!$G$6:$G$58,Census!$G84+E$5-18)/INDEX(Decrements!$G$6:$G$58,Census!$G84-17)*(INDEX(Decrements!$D$6:$D$58,Census!$G84+E$5-18)+IF(E$5=$B84,INDEX(Decrements!$F$6:$F$58,Census!$G84+E$5-18),0)+INDEX(Decrements!$E$6:$E$58,Census!$G84+E$5-18)*IF((Census!$F84+E$5)&gt;=Assumptions!$B$11,1,0))*MIN(15/26*Census!$D84*(1+Assumptions!$B$9)^E$5*(INT((Census!$F84+E$5))+IF((Census!$F84+E$5)-INT((Census!$F84+E$5))&gt;0.5,1,0)),Assumptions!$B$10))</f>
        <v>23431.35316327383</v>
      </c>
      <c r="F84" s="30">
        <f>IF(F$5&gt;$B84,0,INDEX(Decrements!$G$6:$G$58,Census!$G84+F$5-18)/INDEX(Decrements!$G$6:$G$58,Census!$G84-17)*(INDEX(Decrements!$D$6:$D$58,Census!$G84+F$5-18)+IF(F$5=$B84,INDEX(Decrements!$F$6:$F$58,Census!$G84+F$5-18),0)+INDEX(Decrements!$E$6:$E$58,Census!$G84+F$5-18)*IF((Census!$F84+F$5)&gt;=Assumptions!$B$11,1,0))*MIN(15/26*Census!$D84*(1+Assumptions!$B$9)^F$5*(INT((Census!$F84+F$5))+IF((Census!$F84+F$5)-INT((Census!$F84+F$5))&gt;0.5,1,0)),Assumptions!$B$10))</f>
        <v>25012.491574442331</v>
      </c>
      <c r="G84" s="30">
        <f>IF(G$5&gt;$B84,0,INDEX(Decrements!$G$6:$G$58,Census!$G84+G$5-18)/INDEX(Decrements!$G$6:$G$58,Census!$G84-17)*(INDEX(Decrements!$D$6:$D$58,Census!$G84+G$5-18)+IF(G$5=$B84,INDEX(Decrements!$F$6:$F$58,Census!$G84+G$5-18),0)+INDEX(Decrements!$E$6:$E$58,Census!$G84+G$5-18)*IF((Census!$F84+G$5)&gt;=Assumptions!$B$11,1,0))*MIN(15/26*Census!$D84*(1+Assumptions!$B$9)^G$5*(INT((Census!$F84+G$5))+IF((Census!$F84+G$5)-INT((Census!$F84+G$5))&gt;0.5,1,0)),Assumptions!$B$10))</f>
        <v>26433.086012667987</v>
      </c>
      <c r="H84" s="30">
        <f>IF(H$5&gt;$B84,0,INDEX(Decrements!$G$6:$G$58,Census!$G84+H$5-18)/INDEX(Decrements!$G$6:$G$58,Census!$G84-17)*(INDEX(Decrements!$D$6:$D$58,Census!$G84+H$5-18)+IF(H$5=$B84,INDEX(Decrements!$F$6:$F$58,Census!$G84+H$5-18),0)+INDEX(Decrements!$E$6:$E$58,Census!$G84+H$5-18)*IF((Census!$F84+H$5)&gt;=Assumptions!$B$11,1,0))*MIN(15/26*Census!$D84*(1+Assumptions!$B$9)^H$5*(INT((Census!$F84+H$5))+IF((Census!$F84+H$5)-INT((Census!$F84+H$5))&gt;0.5,1,0)),Assumptions!$B$10))</f>
        <v>20215.208299997441</v>
      </c>
      <c r="I84" s="30">
        <f>IF(I$5&gt;$B84,0,INDEX(Decrements!$G$6:$G$58,Census!$G84+I$5-18)/INDEX(Decrements!$G$6:$G$58,Census!$G84-17)*(INDEX(Decrements!$D$6:$D$58,Census!$G84+I$5-18)+IF(I$5=$B84,INDEX(Decrements!$F$6:$F$58,Census!$G84+I$5-18),0)+INDEX(Decrements!$E$6:$E$58,Census!$G84+I$5-18)*IF((Census!$F84+I$5)&gt;=Assumptions!$B$11,1,0))*MIN(15/26*Census!$D84*(1+Assumptions!$B$9)^I$5*(INT((Census!$F84+I$5))+IF((Census!$F84+I$5)-INT((Census!$F84+I$5))&gt;0.5,1,0)),Assumptions!$B$10))</f>
        <v>21752.686509854368</v>
      </c>
      <c r="J84" s="30">
        <f>IF(J$5&gt;$B84,0,INDEX(Decrements!$G$6:$G$58,Census!$G84+J$5-18)/INDEX(Decrements!$G$6:$G$58,Census!$G84-17)*(INDEX(Decrements!$D$6:$D$58,Census!$G84+J$5-18)+IF(J$5=$B84,INDEX(Decrements!$F$6:$F$58,Census!$G84+J$5-18),0)+INDEX(Decrements!$E$6:$E$58,Census!$G84+J$5-18)*IF((Census!$F84+J$5)&gt;=Assumptions!$B$11,1,0))*MIN(15/26*Census!$D84*(1+Assumptions!$B$9)^J$5*(INT((Census!$F84+J$5))+IF((Census!$F84+J$5)-INT((Census!$F84+J$5))&gt;0.5,1,0)),Assumptions!$B$10))</f>
        <v>23268.7677478435</v>
      </c>
      <c r="K84" s="30">
        <f>IF(K$5&gt;$B84,0,INDEX(Decrements!$G$6:$G$58,Census!$G84+K$5-18)/INDEX(Decrements!$G$6:$G$58,Census!$G84-17)*(INDEX(Decrements!$D$6:$D$58,Census!$G84+K$5-18)+IF(K$5=$B84,INDEX(Decrements!$F$6:$F$58,Census!$G84+K$5-18),0)+INDEX(Decrements!$E$6:$E$58,Census!$G84+K$5-18)*IF((Census!$F84+K$5)&gt;=Assumptions!$B$11,1,0))*MIN(15/26*Census!$D84*(1+Assumptions!$B$9)^K$5*(INT((Census!$F84+K$5))+IF((Census!$F84+K$5)-INT((Census!$F84+K$5))&gt;0.5,1,0)),Assumptions!$B$10))</f>
        <v>24763.721244912413</v>
      </c>
      <c r="L84" s="30">
        <f>IF(L$5&gt;$B84,0,INDEX(Decrements!$G$6:$G$58,Census!$G84+L$5-18)/INDEX(Decrements!$G$6:$G$58,Census!$G84-17)*(INDEX(Decrements!$D$6:$D$58,Census!$G84+L$5-18)+IF(L$5=$B84,INDEX(Decrements!$F$6:$F$58,Census!$G84+L$5-18),0)+INDEX(Decrements!$E$6:$E$58,Census!$G84+L$5-18)*IF((Census!$F84+L$5)&gt;=Assumptions!$B$11,1,0))*MIN(15/26*Census!$D84*(1+Assumptions!$B$9)^L$5*(INT((Census!$F84+L$5))+IF((Census!$F84+L$5)-INT((Census!$F84+L$5))&gt;0.5,1,0)),Assumptions!$B$10))</f>
        <v>26237.818001556061</v>
      </c>
      <c r="M84" s="30">
        <f>IF(M$5&gt;$B84,0,INDEX(Decrements!$G$6:$G$58,Census!$G84+M$5-18)/INDEX(Decrements!$G$6:$G$58,Census!$G84-17)*(INDEX(Decrements!$D$6:$D$58,Census!$G84+M$5-18)+IF(M$5=$B84,INDEX(Decrements!$F$6:$F$58,Census!$G84+M$5-18),0)+INDEX(Decrements!$E$6:$E$58,Census!$G84+M$5-18)*IF((Census!$F84+M$5)&gt;=Assumptions!$B$11,1,0))*MIN(15/26*Census!$D84*(1+Assumptions!$B$9)^M$5*(INT((Census!$F84+M$5))+IF((Census!$F84+M$5)-INT((Census!$F84+M$5))&gt;0.5,1,0)),Assumptions!$B$10))</f>
        <v>17479.487975934127</v>
      </c>
      <c r="N84" s="30">
        <f>IF(N$5&gt;$B84,0,INDEX(Decrements!$G$6:$G$58,Census!$G84+N$5-18)/INDEX(Decrements!$G$6:$G$58,Census!$G84-17)*(INDEX(Decrements!$D$6:$D$58,Census!$G84+N$5-18)+IF(N$5=$B84,INDEX(Decrements!$F$6:$F$58,Census!$G84+N$5-18),0)+INDEX(Decrements!$E$6:$E$58,Census!$G84+N$5-18)*IF((Census!$F84+N$5)&gt;=Assumptions!$B$11,1,0))*MIN(15/26*Census!$D84*(1+Assumptions!$B$9)^N$5*(INT((Census!$F84+N$5))+IF((Census!$F84+N$5)-INT((Census!$F84+N$5))&gt;0.5,1,0)),Assumptions!$B$10))</f>
        <v>18996.59788612376</v>
      </c>
      <c r="O84" s="30">
        <f>IF(O$5&gt;$B84,0,INDEX(Decrements!$G$6:$G$58,Census!$G84+O$5-18)/INDEX(Decrements!$G$6:$G$58,Census!$G84-17)*(INDEX(Decrements!$D$6:$D$58,Census!$G84+O$5-18)+IF(O$5=$B84,INDEX(Decrements!$F$6:$F$58,Census!$G84+O$5-18),0)+INDEX(Decrements!$E$6:$E$58,Census!$G84+O$5-18)*IF((Census!$F84+O$5)&gt;=Assumptions!$B$11,1,0))*MIN(15/26*Census!$D84*(1+Assumptions!$B$9)^O$5*(INT((Census!$F84+O$5))+IF((Census!$F84+O$5)-INT((Census!$F84+O$5))&gt;0.5,1,0)),Assumptions!$B$10))</f>
        <v>20583.244290913211</v>
      </c>
      <c r="P84" s="30">
        <f>IF(P$5&gt;$B84,0,INDEX(Decrements!$G$6:$G$58,Census!$G84+P$5-18)/INDEX(Decrements!$G$6:$G$58,Census!$G84-17)*(INDEX(Decrements!$D$6:$D$58,Census!$G84+P$5-18)+IF(P$5=$B84,INDEX(Decrements!$F$6:$F$58,Census!$G84+P$5-18),0)+INDEX(Decrements!$E$6:$E$58,Census!$G84+P$5-18)*IF((Census!$F84+P$5)&gt;=Assumptions!$B$11,1,0))*MIN(15/26*Census!$D84*(1+Assumptions!$B$9)^P$5*(INT((Census!$F84+P$5))+IF((Census!$F84+P$5)-INT((Census!$F84+P$5))&gt;0.5,1,0)),Assumptions!$B$10))</f>
        <v>22242.494513571888</v>
      </c>
      <c r="Q84" s="30">
        <f>IF(Q$5&gt;$B84,0,INDEX(Decrements!$G$6:$G$58,Census!$G84+Q$5-18)/INDEX(Decrements!$G$6:$G$58,Census!$G84-17)*(INDEX(Decrements!$D$6:$D$58,Census!$G84+Q$5-18)+IF(Q$5=$B84,INDEX(Decrements!$F$6:$F$58,Census!$G84+Q$5-18),0)+INDEX(Decrements!$E$6:$E$58,Census!$G84+Q$5-18)*IF((Census!$F84+Q$5)&gt;=Assumptions!$B$11,1,0))*MIN(15/26*Census!$D84*(1+Assumptions!$B$9)^Q$5*(INT((Census!$F84+Q$5))+IF((Census!$F84+Q$5)-INT((Census!$F84+Q$5))&gt;0.5,1,0)),Assumptions!$B$10))</f>
        <v>23977.597276956618</v>
      </c>
      <c r="R84" s="30">
        <f>IF(R$5&gt;$B84,0,INDEX(Decrements!$G$6:$G$58,Census!$G84+R$5-18)/INDEX(Decrements!$G$6:$G$58,Census!$G84-17)*(INDEX(Decrements!$D$6:$D$58,Census!$G84+R$5-18)+IF(R$5=$B84,INDEX(Decrements!$F$6:$F$58,Census!$G84+R$5-18),0)+INDEX(Decrements!$E$6:$E$58,Census!$G84+R$5-18)*IF((Census!$F84+R$5)&gt;=Assumptions!$B$11,1,0))*MIN(15/26*Census!$D84*(1+Assumptions!$B$9)^R$5*(INT((Census!$F84+R$5))+IF((Census!$F84+R$5)-INT((Census!$F84+R$5))&gt;0.5,1,0)),Assumptions!$B$10))</f>
        <v>15858.896118519835</v>
      </c>
      <c r="S84" s="30">
        <f>IF(S$5&gt;$B84,0,INDEX(Decrements!$G$6:$G$58,Census!$G84+S$5-18)/INDEX(Decrements!$G$6:$G$58,Census!$G84-17)*(INDEX(Decrements!$D$6:$D$58,Census!$G84+S$5-18)+IF(S$5=$B84,INDEX(Decrements!$F$6:$F$58,Census!$G84+S$5-18),0)+INDEX(Decrements!$E$6:$E$58,Census!$G84+S$5-18)*IF((Census!$F84+S$5)&gt;=Assumptions!$B$11,1,0))*MIN(15/26*Census!$D84*(1+Assumptions!$B$9)^S$5*(INT((Census!$F84+S$5))+IF((Census!$F84+S$5)-INT((Census!$F84+S$5))&gt;0.5,1,0)),Assumptions!$B$10))</f>
        <v>17346.257114024436</v>
      </c>
      <c r="T84" s="30">
        <f>IF(T$5&gt;$B84,0,INDEX(Decrements!$G$6:$G$58,Census!$G84+T$5-18)/INDEX(Decrements!$G$6:$G$58,Census!$G84-17)*(INDEX(Decrements!$D$6:$D$58,Census!$G84+T$5-18)+IF(T$5=$B84,INDEX(Decrements!$F$6:$F$58,Census!$G84+T$5-18),0)+INDEX(Decrements!$E$6:$E$58,Census!$G84+T$5-18)*IF((Census!$F84+T$5)&gt;=Assumptions!$B$11,1,0))*MIN(15/26*Census!$D84*(1+Assumptions!$B$9)^T$5*(INT((Census!$F84+T$5))+IF((Census!$F84+T$5)-INT((Census!$F84+T$5))&gt;0.5,1,0)),Assumptions!$B$10))</f>
        <v>16876.267442662167</v>
      </c>
      <c r="U84" s="30">
        <f>IF(U$5&gt;$B84,0,INDEX(Decrements!$G$6:$G$58,Census!$G84+U$5-18)/INDEX(Decrements!$G$6:$G$58,Census!$G84-17)*(INDEX(Decrements!$D$6:$D$58,Census!$G84+U$5-18)+IF(U$5=$B84,INDEX(Decrements!$F$6:$F$58,Census!$G84+U$5-18),0)+INDEX(Decrements!$E$6:$E$58,Census!$G84+U$5-18)*IF((Census!$F84+U$5)&gt;=Assumptions!$B$11,1,0))*MIN(15/26*Census!$D84*(1+Assumptions!$B$9)^U$5*(INT((Census!$F84+U$5))+IF((Census!$F84+U$5)-INT((Census!$F84+U$5))&gt;0.5,1,0)),Assumptions!$B$10))</f>
        <v>16424.078548851645</v>
      </c>
      <c r="V84" s="30">
        <f>IF(V$5&gt;$B84,0,INDEX(Decrements!$G$6:$G$58,Census!$G84+V$5-18)/INDEX(Decrements!$G$6:$G$58,Census!$G84-17)*(INDEX(Decrements!$D$6:$D$58,Census!$G84+V$5-18)+IF(V$5=$B84,INDEX(Decrements!$F$6:$F$58,Census!$G84+V$5-18),0)+INDEX(Decrements!$E$6:$E$58,Census!$G84+V$5-18)*IF((Census!$F84+V$5)&gt;=Assumptions!$B$11,1,0))*MIN(15/26*Census!$D84*(1+Assumptions!$B$9)^V$5*(INT((Census!$F84+V$5))+IF((Census!$F84+V$5)-INT((Census!$F84+V$5))&gt;0.5,1,0)),Assumptions!$B$10))</f>
        <v>15989.335540682634</v>
      </c>
      <c r="W84" s="30">
        <f>IF(W$5&gt;$B84,0,INDEX(Decrements!$G$6:$G$58,Census!$G84+W$5-18)/INDEX(Decrements!$G$6:$G$58,Census!$G84-17)*(INDEX(Decrements!$D$6:$D$58,Census!$G84+W$5-18)+IF(W$5=$B84,INDEX(Decrements!$F$6:$F$58,Census!$G84+W$5-18),0)+INDEX(Decrements!$E$6:$E$58,Census!$G84+W$5-18)*IF((Census!$F84+W$5)&gt;=Assumptions!$B$11,1,0))*MIN(15/26*Census!$D84*(1+Assumptions!$B$9)^W$5*(INT((Census!$F84+W$5))+IF((Census!$F84+W$5)-INT((Census!$F84+W$5))&gt;0.5,1,0)),Assumptions!$B$10))</f>
        <v>10833.971742778096</v>
      </c>
      <c r="X84" s="30">
        <f>IF(X$5&gt;$B84,0,INDEX(Decrements!$G$6:$G$58,Census!$G84+X$5-18)/INDEX(Decrements!$G$6:$G$58,Census!$G84-17)*(INDEX(Decrements!$D$6:$D$58,Census!$G84+X$5-18)+IF(X$5=$B84,INDEX(Decrements!$F$6:$F$58,Census!$G84+X$5-18),0)+INDEX(Decrements!$E$6:$E$58,Census!$G84+X$5-18)*IF((Census!$F84+X$5)&gt;=Assumptions!$B$11,1,0))*MIN(15/26*Census!$D84*(1+Assumptions!$B$9)^X$5*(INT((Census!$F84+X$5))+IF((Census!$F84+X$5)-INT((Census!$F84+X$5))&gt;0.5,1,0)),Assumptions!$B$10))</f>
        <v>10698.685501007501</v>
      </c>
      <c r="Y84" s="30">
        <f>IF(Y$5&gt;$B84,0,INDEX(Decrements!$G$6:$G$58,Census!$G84+Y$5-18)/INDEX(Decrements!$G$6:$G$58,Census!$G84-17)*(INDEX(Decrements!$D$6:$D$58,Census!$G84+Y$5-18)+IF(Y$5=$B84,INDEX(Decrements!$F$6:$F$58,Census!$G84+Y$5-18),0)+INDEX(Decrements!$E$6:$E$58,Census!$G84+Y$5-18)*IF((Census!$F84+Y$5)&gt;=Assumptions!$B$11,1,0))*MIN(15/26*Census!$D84*(1+Assumptions!$B$9)^Y$5*(INT((Census!$F84+Y$5))+IF((Census!$F84+Y$5)-INT((Census!$F84+Y$5))&gt;0.5,1,0)),Assumptions!$B$10))</f>
        <v>10572.220483260417</v>
      </c>
      <c r="Z84" s="30">
        <f>IF(Z$5&gt;$B84,0,INDEX(Decrements!$G$6:$G$58,Census!$G84+Z$5-18)/INDEX(Decrements!$G$6:$G$58,Census!$G84-17)*(INDEX(Decrements!$D$6:$D$58,Census!$G84+Z$5-18)+IF(Z$5=$B84,INDEX(Decrements!$F$6:$F$58,Census!$G84+Z$5-18),0)+INDEX(Decrements!$E$6:$E$58,Census!$G84+Z$5-18)*IF((Census!$F84+Z$5)&gt;=Assumptions!$B$11,1,0))*MIN(15/26*Census!$D84*(1+Assumptions!$B$9)^Z$5*(INT((Census!$F84+Z$5))+IF((Census!$F84+Z$5)-INT((Census!$F84+Z$5))&gt;0.5,1,0)),Assumptions!$B$10))</f>
        <v>10454.762570127461</v>
      </c>
      <c r="AA84" s="30">
        <f>IF(AA$5&gt;$B84,0,INDEX(Decrements!$G$6:$G$58,Census!$G84+AA$5-18)/INDEX(Decrements!$G$6:$G$58,Census!$G84-17)*(INDEX(Decrements!$D$6:$D$58,Census!$G84+AA$5-18)+IF(AA$5=$B84,INDEX(Decrements!$F$6:$F$58,Census!$G84+AA$5-18),0)+INDEX(Decrements!$E$6:$E$58,Census!$G84+AA$5-18)*IF((Census!$F84+AA$5)&gt;=Assumptions!$B$11,1,0))*MIN(15/26*Census!$D84*(1+Assumptions!$B$9)^AA$5*(INT((Census!$F84+AA$5))+IF((Census!$F84+AA$5)-INT((Census!$F84+AA$5))&gt;0.5,1,0)),Assumptions!$B$10))</f>
        <v>10346.503776240357</v>
      </c>
      <c r="AB84" s="30">
        <f>IF(AB$5&gt;$B84,0,INDEX(Decrements!$G$6:$G$58,Census!$G84+AB$5-18)/INDEX(Decrements!$G$6:$G$58,Census!$G84-17)*(INDEX(Decrements!$D$6:$D$58,Census!$G84+AB$5-18)+IF(AB$5=$B84,INDEX(Decrements!$F$6:$F$58,Census!$G84+AB$5-18),0)+INDEX(Decrements!$E$6:$E$58,Census!$G84+AB$5-18)*IF((Census!$F84+AB$5)&gt;=Assumptions!$B$11,1,0))*MIN(15/26*Census!$D84*(1+Assumptions!$B$9)^AB$5*(INT((Census!$F84+AB$5))+IF((Census!$F84+AB$5)-INT((Census!$F84+AB$5))&gt;0.5,1,0)),Assumptions!$B$10))</f>
        <v>6043.7884830137318</v>
      </c>
      <c r="AC84" s="30">
        <f>IF(AC$5&gt;$B84,0,INDEX(Decrements!$G$6:$G$58,Census!$G84+AC$5-18)/INDEX(Decrements!$G$6:$G$58,Census!$G84-17)*(INDEX(Decrements!$D$6:$D$58,Census!$G84+AC$5-18)+IF(AC$5=$B84,INDEX(Decrements!$F$6:$F$58,Census!$G84+AC$5-18),0)+INDEX(Decrements!$E$6:$E$58,Census!$G84+AC$5-18)*IF((Census!$F84+AC$5)&gt;=Assumptions!$B$11,1,0))*MIN(15/26*Census!$D84*(1+Assumptions!$B$9)^AC$5*(INT((Census!$F84+AC$5))+IF((Census!$F84+AC$5)-INT((Census!$F84+AC$5))&gt;0.5,1,0)),Assumptions!$B$10))</f>
        <v>6119.9902472141257</v>
      </c>
      <c r="AD84" s="30">
        <f>IF(AD$5&gt;$B84,0,INDEX(Decrements!$G$6:$G$58,Census!$G84+AD$5-18)/INDEX(Decrements!$G$6:$G$58,Census!$G84-17)*(INDEX(Decrements!$D$6:$D$58,Census!$G84+AD$5-18)+IF(AD$5=$B84,INDEX(Decrements!$F$6:$F$58,Census!$G84+AD$5-18),0)+INDEX(Decrements!$E$6:$E$58,Census!$G84+AD$5-18)*IF((Census!$F84+AD$5)&gt;=Assumptions!$B$11,1,0))*MIN(15/26*Census!$D84*(1+Assumptions!$B$9)^AD$5*(INT((Census!$F84+AD$5))+IF((Census!$F84+AD$5)-INT((Census!$F84+AD$5))&gt;0.5,1,0)),Assumptions!$B$10))</f>
        <v>6206.274434705726</v>
      </c>
      <c r="AE84" s="30">
        <f>IF(AE$5&gt;$B84,0,INDEX(Decrements!$G$6:$G$58,Census!$G84+AE$5-18)/INDEX(Decrements!$G$6:$G$58,Census!$G84-17)*(INDEX(Decrements!$D$6:$D$58,Census!$G84+AE$5-18)+IF(AE$5=$B84,INDEX(Decrements!$F$6:$F$58,Census!$G84+AE$5-18),0)+INDEX(Decrements!$E$6:$E$58,Census!$G84+AE$5-18)*IF((Census!$F84+AE$5)&gt;=Assumptions!$B$11,1,0))*MIN(15/26*Census!$D84*(1+Assumptions!$B$9)^AE$5*(INT((Census!$F84+AE$5))+IF((Census!$F84+AE$5)-INT((Census!$F84+AE$5))&gt;0.5,1,0)),Assumptions!$B$10))</f>
        <v>6303.2274773519975</v>
      </c>
      <c r="AF84" s="30">
        <f>IF(AF$5&gt;$B84,0,INDEX(Decrements!$G$6:$G$58,Census!$G84+AF$5-18)/INDEX(Decrements!$G$6:$G$58,Census!$G84-17)*(INDEX(Decrements!$D$6:$D$58,Census!$G84+AF$5-18)+IF(AF$5=$B84,INDEX(Decrements!$F$6:$F$58,Census!$G84+AF$5-18),0)+INDEX(Decrements!$E$6:$E$58,Census!$G84+AF$5-18)*IF((Census!$F84+AF$5)&gt;=Assumptions!$B$11,1,0))*MIN(15/26*Census!$D84*(1+Assumptions!$B$9)^AF$5*(INT((Census!$F84+AF$5))+IF((Census!$F84+AF$5)-INT((Census!$F84+AF$5))&gt;0.5,1,0)),Assumptions!$B$10))</f>
        <v>397551.78311539261</v>
      </c>
      <c r="AG84" s="30">
        <f>IF(AG$5&gt;$B84,0,INDEX(Decrements!$G$6:$G$58,Census!$G84+AG$5-18)/INDEX(Decrements!$G$6:$G$58,Census!$G84-17)*(INDEX(Decrements!$D$6:$D$58,Census!$G84+AG$5-18)+IF(AG$5=$B84,INDEX(Decrements!$F$6:$F$58,Census!$G84+AG$5-18),0)+INDEX(Decrements!$E$6:$E$58,Census!$G84+AG$5-18)*IF((Census!$F84+AG$5)&gt;=Assumptions!$B$11,1,0))*MIN(15/26*Census!$D84*(1+Assumptions!$B$9)^AG$5*(INT((Census!$F84+AG$5))+IF((Census!$F84+AG$5)-INT((Census!$F84+AG$5))&gt;0.5,1,0)),Assumptions!$B$10))</f>
        <v>0</v>
      </c>
      <c r="AH84" s="30">
        <f>IF(AH$5&gt;$B84,0,INDEX(Decrements!$G$6:$G$58,Census!$G84+AH$5-18)/INDEX(Decrements!$G$6:$G$58,Census!$G84-17)*(INDEX(Decrements!$D$6:$D$58,Census!$G84+AH$5-18)+IF(AH$5=$B84,INDEX(Decrements!$F$6:$F$58,Census!$G84+AH$5-18),0)+INDEX(Decrements!$E$6:$E$58,Census!$G84+AH$5-18)*IF((Census!$F84+AH$5)&gt;=Assumptions!$B$11,1,0))*MIN(15/26*Census!$D84*(1+Assumptions!$B$9)^AH$5*(INT((Census!$F84+AH$5))+IF((Census!$F84+AH$5)-INT((Census!$F84+AH$5))&gt;0.5,1,0)),Assumptions!$B$10))</f>
        <v>0</v>
      </c>
      <c r="AI84" s="30">
        <f>IF(AI$5&gt;$B84,0,INDEX(Decrements!$G$6:$G$58,Census!$G84+AI$5-18)/INDEX(Decrements!$G$6:$G$58,Census!$G84-17)*(INDEX(Decrements!$D$6:$D$58,Census!$G84+AI$5-18)+IF(AI$5=$B84,INDEX(Decrements!$F$6:$F$58,Census!$G84+AI$5-18),0)+INDEX(Decrements!$E$6:$E$58,Census!$G84+AI$5-18)*IF((Census!$F84+AI$5)&gt;=Assumptions!$B$11,1,0))*MIN(15/26*Census!$D84*(1+Assumptions!$B$9)^AI$5*(INT((Census!$F84+AI$5))+IF((Census!$F84+AI$5)-INT((Census!$F84+AI$5))&gt;0.5,1,0)),Assumptions!$B$10))</f>
        <v>0</v>
      </c>
      <c r="AJ84" s="30">
        <f>IF(AJ$5&gt;$B84,0,INDEX(Decrements!$G$6:$G$58,Census!$G84+AJ$5-18)/INDEX(Decrements!$G$6:$G$58,Census!$G84-17)*(INDEX(Decrements!$D$6:$D$58,Census!$G84+AJ$5-18)+IF(AJ$5=$B84,INDEX(Decrements!$F$6:$F$58,Census!$G84+AJ$5-18),0)+INDEX(Decrements!$E$6:$E$58,Census!$G84+AJ$5-18)*IF((Census!$F84+AJ$5)&gt;=Assumptions!$B$11,1,0))*MIN(15/26*Census!$D84*(1+Assumptions!$B$9)^AJ$5*(INT((Census!$F84+AJ$5))+IF((Census!$F84+AJ$5)-INT((Census!$F84+AJ$5))&gt;0.5,1,0)),Assumptions!$B$10))</f>
        <v>0</v>
      </c>
      <c r="AK84" s="30">
        <f>IF(AK$5&gt;$B84,0,INDEX(Decrements!$G$6:$G$58,Census!$G84+AK$5-18)/INDEX(Decrements!$G$6:$G$58,Census!$G84-17)*(INDEX(Decrements!$D$6:$D$58,Census!$G84+AK$5-18)+IF(AK$5=$B84,INDEX(Decrements!$F$6:$F$58,Census!$G84+AK$5-18),0)+INDEX(Decrements!$E$6:$E$58,Census!$G84+AK$5-18)*IF((Census!$F84+AK$5)&gt;=Assumptions!$B$11,1,0))*MIN(15/26*Census!$D84*(1+Assumptions!$B$9)^AK$5*(INT((Census!$F84+AK$5))+IF((Census!$F84+AK$5)-INT((Census!$F84+AK$5))&gt;0.5,1,0)),Assumptions!$B$10))</f>
        <v>0</v>
      </c>
      <c r="AL84" s="30">
        <f>IF(AL$5&gt;$B84,0,INDEX(Decrements!$G$6:$G$58,Census!$G84+AL$5-18)/INDEX(Decrements!$G$6:$G$58,Census!$G84-17)*(INDEX(Decrements!$D$6:$D$58,Census!$G84+AL$5-18)+IF(AL$5=$B84,INDEX(Decrements!$F$6:$F$58,Census!$G84+AL$5-18),0)+INDEX(Decrements!$E$6:$E$58,Census!$G84+AL$5-18)*IF((Census!$F84+AL$5)&gt;=Assumptions!$B$11,1,0))*MIN(15/26*Census!$D84*(1+Assumptions!$B$9)^AL$5*(INT((Census!$F84+AL$5))+IF((Census!$F84+AL$5)-INT((Census!$F84+AL$5))&gt;0.5,1,0)),Assumptions!$B$10))</f>
        <v>0</v>
      </c>
      <c r="AM84" s="30">
        <f>IF(AM$5&gt;$B84,0,INDEX(Decrements!$G$6:$G$58,Census!$G84+AM$5-18)/INDEX(Decrements!$G$6:$G$58,Census!$G84-17)*(INDEX(Decrements!$D$6:$D$58,Census!$G84+AM$5-18)+IF(AM$5=$B84,INDEX(Decrements!$F$6:$F$58,Census!$G84+AM$5-18),0)+INDEX(Decrements!$E$6:$E$58,Census!$G84+AM$5-18)*IF((Census!$F84+AM$5)&gt;=Assumptions!$B$11,1,0))*MIN(15/26*Census!$D84*(1+Assumptions!$B$9)^AM$5*(INT((Census!$F84+AM$5))+IF((Census!$F84+AM$5)-INT((Census!$F84+AM$5))&gt;0.5,1,0)),Assumptions!$B$10))</f>
        <v>0</v>
      </c>
      <c r="AN84" s="30">
        <f>IF(AN$5&gt;$B84,0,INDEX(Decrements!$G$6:$G$58,Census!$G84+AN$5-18)/INDEX(Decrements!$G$6:$G$58,Census!$G84-17)*(INDEX(Decrements!$D$6:$D$58,Census!$G84+AN$5-18)+IF(AN$5=$B84,INDEX(Decrements!$F$6:$F$58,Census!$G84+AN$5-18),0)+INDEX(Decrements!$E$6:$E$58,Census!$G84+AN$5-18)*IF((Census!$F84+AN$5)&gt;=Assumptions!$B$11,1,0))*MIN(15/26*Census!$D84*(1+Assumptions!$B$9)^AN$5*(INT((Census!$F84+AN$5))+IF((Census!$F84+AN$5)-INT((Census!$F84+AN$5))&gt;0.5,1,0)),Assumptions!$B$10))</f>
        <v>0</v>
      </c>
      <c r="AO84" s="30">
        <f>IF(AO$5&gt;$B84,0,INDEX(Decrements!$G$6:$G$58,Census!$G84+AO$5-18)/INDEX(Decrements!$G$6:$G$58,Census!$G84-17)*(INDEX(Decrements!$D$6:$D$58,Census!$G84+AO$5-18)+IF(AO$5=$B84,INDEX(Decrements!$F$6:$F$58,Census!$G84+AO$5-18),0)+INDEX(Decrements!$E$6:$E$58,Census!$G84+AO$5-18)*IF((Census!$F84+AO$5)&gt;=Assumptions!$B$11,1,0))*MIN(15/26*Census!$D84*(1+Assumptions!$B$9)^AO$5*(INT((Census!$F84+AO$5))+IF((Census!$F84+AO$5)-INT((Census!$F84+AO$5))&gt;0.5,1,0)),Assumptions!$B$10))</f>
        <v>0</v>
      </c>
      <c r="AP84" s="30">
        <f>IF(AP$5&gt;$B84,0,INDEX(Decrements!$G$6:$G$58,Census!$G84+AP$5-18)/INDEX(Decrements!$G$6:$G$58,Census!$G84-17)*(INDEX(Decrements!$D$6:$D$58,Census!$G84+AP$5-18)+IF(AP$5=$B84,INDEX(Decrements!$F$6:$F$58,Census!$G84+AP$5-18),0)+INDEX(Decrements!$E$6:$E$58,Census!$G84+AP$5-18)*IF((Census!$F84+AP$5)&gt;=Assumptions!$B$11,1,0))*MIN(15/26*Census!$D84*(1+Assumptions!$B$9)^AP$5*(INT((Census!$F84+AP$5))+IF((Census!$F84+AP$5)-INT((Census!$F84+AP$5))&gt;0.5,1,0)),Assumptions!$B$10))</f>
        <v>0</v>
      </c>
      <c r="AQ84" s="30">
        <f>IF(AQ$5&gt;$B84,0,INDEX(Decrements!$G$6:$G$58,Census!$G84+AQ$5-18)/INDEX(Decrements!$G$6:$G$58,Census!$G84-17)*(INDEX(Decrements!$D$6:$D$58,Census!$G84+AQ$5-18)+IF(AQ$5=$B84,INDEX(Decrements!$F$6:$F$58,Census!$G84+AQ$5-18),0)+INDEX(Decrements!$E$6:$E$58,Census!$G84+AQ$5-18)*IF((Census!$F84+AQ$5)&gt;=Assumptions!$B$11,1,0))*MIN(15/26*Census!$D84*(1+Assumptions!$B$9)^AQ$5*(INT((Census!$F84+AQ$5))+IF((Census!$F84+AQ$5)-INT((Census!$F84+AQ$5))&gt;0.5,1,0)),Assumptions!$B$10))</f>
        <v>0</v>
      </c>
      <c r="AR84" s="30">
        <f>IF(AR$5&gt;$B84,0,INDEX(Decrements!$G$6:$G$58,Census!$G84+AR$5-18)/INDEX(Decrements!$G$6:$G$58,Census!$G84-17)*(INDEX(Decrements!$D$6:$D$58,Census!$G84+AR$5-18)+IF(AR$5=$B84,INDEX(Decrements!$F$6:$F$58,Census!$G84+AR$5-18),0)+INDEX(Decrements!$E$6:$E$58,Census!$G84+AR$5-18)*IF((Census!$F84+AR$5)&gt;=Assumptions!$B$11,1,0))*MIN(15/26*Census!$D84*(1+Assumptions!$B$9)^AR$5*(INT((Census!$F84+AR$5))+IF((Census!$F84+AR$5)-INT((Census!$F84+AR$5))&gt;0.5,1,0)),Assumptions!$B$10))</f>
        <v>0</v>
      </c>
      <c r="AS84" s="30">
        <f>IF(AS$5&gt;$B84,0,INDEX(Decrements!$G$6:$G$58,Census!$G84+AS$5-18)/INDEX(Decrements!$G$6:$G$58,Census!$G84-17)*(INDEX(Decrements!$D$6:$D$58,Census!$G84+AS$5-18)+IF(AS$5=$B84,INDEX(Decrements!$F$6:$F$58,Census!$G84+AS$5-18),0)+INDEX(Decrements!$E$6:$E$58,Census!$G84+AS$5-18)*IF((Census!$F84+AS$5)&gt;=Assumptions!$B$11,1,0))*MIN(15/26*Census!$D84*(1+Assumptions!$B$9)^AS$5*(INT((Census!$F84+AS$5))+IF((Census!$F84+AS$5)-INT((Census!$F84+AS$5))&gt;0.5,1,0)),Assumptions!$B$10))</f>
        <v>0</v>
      </c>
      <c r="AT84" s="30">
        <f>IF(AT$5&gt;$B84,0,INDEX(Decrements!$G$6:$G$58,Census!$G84+AT$5-18)/INDEX(Decrements!$G$6:$G$58,Census!$G84-17)*(INDEX(Decrements!$D$6:$D$58,Census!$G84+AT$5-18)+IF(AT$5=$B84,INDEX(Decrements!$F$6:$F$58,Census!$G84+AT$5-18),0)+INDEX(Decrements!$E$6:$E$58,Census!$G84+AT$5-18)*IF((Census!$F84+AT$5)&gt;=Assumptions!$B$11,1,0))*MIN(15/26*Census!$D84*(1+Assumptions!$B$9)^AT$5*(INT((Census!$F84+AT$5))+IF((Census!$F84+AT$5)-INT((Census!$F84+AT$5))&gt;0.5,1,0)),Assumptions!$B$10))</f>
        <v>0</v>
      </c>
      <c r="AU84" s="30">
        <f>IF(AU$5&gt;$B84,0,INDEX(Decrements!$G$6:$G$58,Census!$G84+AU$5-18)/INDEX(Decrements!$G$6:$G$58,Census!$G84-17)*(INDEX(Decrements!$D$6:$D$58,Census!$G84+AU$5-18)+IF(AU$5=$B84,INDEX(Decrements!$F$6:$F$58,Census!$G84+AU$5-18),0)+INDEX(Decrements!$E$6:$E$58,Census!$G84+AU$5-18)*IF((Census!$F84+AU$5)&gt;=Assumptions!$B$11,1,0))*MIN(15/26*Census!$D84*(1+Assumptions!$B$9)^AU$5*(INT((Census!$F84+AU$5))+IF((Census!$F84+AU$5)-INT((Census!$F84+AU$5))&gt;0.5,1,0)),Assumptions!$B$10))</f>
        <v>0</v>
      </c>
    </row>
    <row r="85" spans="1:47" x14ac:dyDescent="0.3">
      <c r="A85" s="10" t="str">
        <f>Census!A85</f>
        <v>E080</v>
      </c>
      <c r="B85" s="29">
        <f>Census!H85</f>
        <v>15</v>
      </c>
      <c r="C85" s="30">
        <f>IF(C$5&gt;$B85,0,INDEX(Decrements!$G$6:$G$58,Census!$G85+C$5-18)/INDEX(Decrements!$G$6:$G$58,Census!$G85-17)*(INDEX(Decrements!$D$6:$D$58,Census!$G85+C$5-18)+IF(C$5=$B85,INDEX(Decrements!$F$6:$F$58,Census!$G85+C$5-18),0)+INDEX(Decrements!$E$6:$E$58,Census!$G85+C$5-18)*IF((Census!$F85+C$5)&gt;=Assumptions!$B$11,1,0))*MIN(15/26*Census!$D85*(1+Assumptions!$B$9)^C$5*(INT((Census!$F85+C$5))+IF((Census!$F85+C$5)-INT((Census!$F85+C$5))&gt;0.5,1,0)),Assumptions!$B$10))</f>
        <v>17275.911111578152</v>
      </c>
      <c r="D85" s="30">
        <f>IF(D$5&gt;$B85,0,INDEX(Decrements!$G$6:$G$58,Census!$G85+D$5-18)/INDEX(Decrements!$G$6:$G$58,Census!$G85-17)*(INDEX(Decrements!$D$6:$D$58,Census!$G85+D$5-18)+IF(D$5=$B85,INDEX(Decrements!$F$6:$F$58,Census!$G85+D$5-18),0)+INDEX(Decrements!$E$6:$E$58,Census!$G85+D$5-18)*IF((Census!$F85+D$5)&gt;=Assumptions!$B$11,1,0))*MIN(15/26*Census!$D85*(1+Assumptions!$B$9)^D$5*(INT((Census!$F85+D$5))+IF((Census!$F85+D$5)-INT((Census!$F85+D$5))&gt;0.5,1,0)),Assumptions!$B$10))</f>
        <v>19659.553030002324</v>
      </c>
      <c r="E85" s="30">
        <f>IF(E$5&gt;$B85,0,INDEX(Decrements!$G$6:$G$58,Census!$G85+E$5-18)/INDEX(Decrements!$G$6:$G$58,Census!$G85-17)*(INDEX(Decrements!$D$6:$D$58,Census!$G85+E$5-18)+IF(E$5=$B85,INDEX(Decrements!$F$6:$F$58,Census!$G85+E$5-18),0)+INDEX(Decrements!$E$6:$E$58,Census!$G85+E$5-18)*IF((Census!$F85+E$5)&gt;=Assumptions!$B$11,1,0))*MIN(15/26*Census!$D85*(1+Assumptions!$B$9)^E$5*(INT((Census!$F85+E$5))+IF((Census!$F85+E$5)-INT((Census!$F85+E$5))&gt;0.5,1,0)),Assumptions!$B$10))</f>
        <v>22246.03920672731</v>
      </c>
      <c r="F85" s="30">
        <f>IF(F$5&gt;$B85,0,INDEX(Decrements!$G$6:$G$58,Census!$G85+F$5-18)/INDEX(Decrements!$G$6:$G$58,Census!$G85-17)*(INDEX(Decrements!$D$6:$D$58,Census!$G85+F$5-18)+IF(F$5=$B85,INDEX(Decrements!$F$6:$F$58,Census!$G85+F$5-18),0)+INDEX(Decrements!$E$6:$E$58,Census!$G85+F$5-18)*IF((Census!$F85+F$5)&gt;=Assumptions!$B$11,1,0))*MIN(15/26*Census!$D85*(1+Assumptions!$B$9)^F$5*(INT((Census!$F85+F$5))+IF((Census!$F85+F$5)-INT((Census!$F85+F$5))&gt;0.5,1,0)),Assumptions!$B$10))</f>
        <v>25052.108930444389</v>
      </c>
      <c r="G85" s="30">
        <f>IF(G$5&gt;$B85,0,INDEX(Decrements!$G$6:$G$58,Census!$G85+G$5-18)/INDEX(Decrements!$G$6:$G$58,Census!$G85-17)*(INDEX(Decrements!$D$6:$D$58,Census!$G85+G$5-18)+IF(G$5=$B85,INDEX(Decrements!$F$6:$F$58,Census!$G85+G$5-18),0)+INDEX(Decrements!$E$6:$E$58,Census!$G85+G$5-18)*IF((Census!$F85+G$5)&gt;=Assumptions!$B$11,1,0))*MIN(15/26*Census!$D85*(1+Assumptions!$B$9)^G$5*(INT((Census!$F85+G$5))+IF((Census!$F85+G$5)-INT((Census!$F85+G$5))&gt;0.5,1,0)),Assumptions!$B$10))</f>
        <v>28096.108638486992</v>
      </c>
      <c r="H85" s="30">
        <f>IF(H$5&gt;$B85,0,INDEX(Decrements!$G$6:$G$58,Census!$G85+H$5-18)/INDEX(Decrements!$G$6:$G$58,Census!$G85-17)*(INDEX(Decrements!$D$6:$D$58,Census!$G85+H$5-18)+IF(H$5=$B85,INDEX(Decrements!$F$6:$F$58,Census!$G85+H$5-18),0)+INDEX(Decrements!$E$6:$E$58,Census!$G85+H$5-18)*IF((Census!$F85+H$5)&gt;=Assumptions!$B$11,1,0))*MIN(15/26*Census!$D85*(1+Assumptions!$B$9)^H$5*(INT((Census!$F85+H$5))+IF((Census!$F85+H$5)-INT((Census!$F85+H$5))&gt;0.5,1,0)),Assumptions!$B$10))</f>
        <v>21845.206270498315</v>
      </c>
      <c r="I85" s="30">
        <f>IF(I$5&gt;$B85,0,INDEX(Decrements!$G$6:$G$58,Census!$G85+I$5-18)/INDEX(Decrements!$G$6:$G$58,Census!$G85-17)*(INDEX(Decrements!$D$6:$D$58,Census!$G85+I$5-18)+IF(I$5=$B85,INDEX(Decrements!$F$6:$F$58,Census!$G85+I$5-18),0)+INDEX(Decrements!$E$6:$E$58,Census!$G85+I$5-18)*IF((Census!$F85+I$5)&gt;=Assumptions!$B$11,1,0))*MIN(15/26*Census!$D85*(1+Assumptions!$B$9)^I$5*(INT((Census!$F85+I$5))+IF((Census!$F85+I$5)-INT((Census!$F85+I$5))&gt;0.5,1,0)),Assumptions!$B$10))</f>
        <v>24668.697057913847</v>
      </c>
      <c r="J85" s="30">
        <f>IF(J$5&gt;$B85,0,INDEX(Decrements!$G$6:$G$58,Census!$G85+J$5-18)/INDEX(Decrements!$G$6:$G$58,Census!$G85-17)*(INDEX(Decrements!$D$6:$D$58,Census!$G85+J$5-18)+IF(J$5=$B85,INDEX(Decrements!$F$6:$F$58,Census!$G85+J$5-18),0)+INDEX(Decrements!$E$6:$E$58,Census!$G85+J$5-18)*IF((Census!$F85+J$5)&gt;=Assumptions!$B$11,1,0))*MIN(15/26*Census!$D85*(1+Assumptions!$B$9)^J$5*(INT((Census!$F85+J$5))+IF((Census!$F85+J$5)-INT((Census!$F85+J$5))&gt;0.5,1,0)),Assumptions!$B$10))</f>
        <v>27789.891656256979</v>
      </c>
      <c r="K85" s="30">
        <f>IF(K$5&gt;$B85,0,INDEX(Decrements!$G$6:$G$58,Census!$G85+K$5-18)/INDEX(Decrements!$G$6:$G$58,Census!$G85-17)*(INDEX(Decrements!$D$6:$D$58,Census!$G85+K$5-18)+IF(K$5=$B85,INDEX(Decrements!$F$6:$F$58,Census!$G85+K$5-18),0)+INDEX(Decrements!$E$6:$E$58,Census!$G85+K$5-18)*IF((Census!$F85+K$5)&gt;=Assumptions!$B$11,1,0))*MIN(15/26*Census!$D85*(1+Assumptions!$B$9)^K$5*(INT((Census!$F85+K$5))+IF((Census!$F85+K$5)-INT((Census!$F85+K$5))&gt;0.5,1,0)),Assumptions!$B$10))</f>
        <v>31241.722203841098</v>
      </c>
      <c r="L85" s="30">
        <f>IF(L$5&gt;$B85,0,INDEX(Decrements!$G$6:$G$58,Census!$G85+L$5-18)/INDEX(Decrements!$G$6:$G$58,Census!$G85-17)*(INDEX(Decrements!$D$6:$D$58,Census!$G85+L$5-18)+IF(L$5=$B85,INDEX(Decrements!$F$6:$F$58,Census!$G85+L$5-18),0)+INDEX(Decrements!$E$6:$E$58,Census!$G85+L$5-18)*IF((Census!$F85+L$5)&gt;=Assumptions!$B$11,1,0))*MIN(15/26*Census!$D85*(1+Assumptions!$B$9)^L$5*(INT((Census!$F85+L$5))+IF((Census!$F85+L$5)-INT((Census!$F85+L$5))&gt;0.5,1,0)),Assumptions!$B$10))</f>
        <v>35061.255792768963</v>
      </c>
      <c r="M85" s="30">
        <f>IF(M$5&gt;$B85,0,INDEX(Decrements!$G$6:$G$58,Census!$G85+M$5-18)/INDEX(Decrements!$G$6:$G$58,Census!$G85-17)*(INDEX(Decrements!$D$6:$D$58,Census!$G85+M$5-18)+IF(M$5=$B85,INDEX(Decrements!$F$6:$F$58,Census!$G85+M$5-18),0)+INDEX(Decrements!$E$6:$E$58,Census!$G85+M$5-18)*IF((Census!$F85+M$5)&gt;=Assumptions!$B$11,1,0))*MIN(15/26*Census!$D85*(1+Assumptions!$B$9)^M$5*(INT((Census!$F85+M$5))+IF((Census!$F85+M$5)-INT((Census!$F85+M$5))&gt;0.5,1,0)),Assumptions!$B$10))</f>
        <v>21600.327294892835</v>
      </c>
      <c r="N85" s="30">
        <f>IF(N$5&gt;$B85,0,INDEX(Decrements!$G$6:$G$58,Census!$G85+N$5-18)/INDEX(Decrements!$G$6:$G$58,Census!$G85-17)*(INDEX(Decrements!$D$6:$D$58,Census!$G85+N$5-18)+IF(N$5=$B85,INDEX(Decrements!$F$6:$F$58,Census!$G85+N$5-18),0)+INDEX(Decrements!$E$6:$E$58,Census!$G85+N$5-18)*IF((Census!$F85+N$5)&gt;=Assumptions!$B$11,1,0))*MIN(15/26*Census!$D85*(1+Assumptions!$B$9)^N$5*(INT((Census!$F85+N$5))+IF((Census!$F85+N$5)-INT((Census!$F85+N$5))&gt;0.5,1,0)),Assumptions!$B$10))</f>
        <v>21872.670222148288</v>
      </c>
      <c r="O85" s="30">
        <f>IF(O$5&gt;$B85,0,INDEX(Decrements!$G$6:$G$58,Census!$G85+O$5-18)/INDEX(Decrements!$G$6:$G$58,Census!$G85-17)*(INDEX(Decrements!$D$6:$D$58,Census!$G85+O$5-18)+IF(O$5=$B85,INDEX(Decrements!$F$6:$F$58,Census!$G85+O$5-18),0)+INDEX(Decrements!$E$6:$E$58,Census!$G85+O$5-18)*IF((Census!$F85+O$5)&gt;=Assumptions!$B$11,1,0))*MIN(15/26*Census!$D85*(1+Assumptions!$B$9)^O$5*(INT((Census!$F85+O$5))+IF((Census!$F85+O$5)-INT((Census!$F85+O$5))&gt;0.5,1,0)),Assumptions!$B$10))</f>
        <v>22181.047442070965</v>
      </c>
      <c r="P85" s="30">
        <f>IF(P$5&gt;$B85,0,INDEX(Decrements!$G$6:$G$58,Census!$G85+P$5-18)/INDEX(Decrements!$G$6:$G$58,Census!$G85-17)*(INDEX(Decrements!$D$6:$D$58,Census!$G85+P$5-18)+IF(P$5=$B85,INDEX(Decrements!$F$6:$F$58,Census!$G85+P$5-18),0)+INDEX(Decrements!$E$6:$E$58,Census!$G85+P$5-18)*IF((Census!$F85+P$5)&gt;=Assumptions!$B$11,1,0))*MIN(15/26*Census!$D85*(1+Assumptions!$B$9)^P$5*(INT((Census!$F85+P$5))+IF((Census!$F85+P$5)-INT((Census!$F85+P$5))&gt;0.5,1,0)),Assumptions!$B$10))</f>
        <v>22527.554845379509</v>
      </c>
      <c r="Q85" s="30">
        <f>IF(Q$5&gt;$B85,0,INDEX(Decrements!$G$6:$G$58,Census!$G85+Q$5-18)/INDEX(Decrements!$G$6:$G$58,Census!$G85-17)*(INDEX(Decrements!$D$6:$D$58,Census!$G85+Q$5-18)+IF(Q$5=$B85,INDEX(Decrements!$F$6:$F$58,Census!$G85+Q$5-18),0)+INDEX(Decrements!$E$6:$E$58,Census!$G85+Q$5-18)*IF((Census!$F85+Q$5)&gt;=Assumptions!$B$11,1,0))*MIN(15/26*Census!$D85*(1+Assumptions!$B$9)^Q$5*(INT((Census!$F85+Q$5))+IF((Census!$F85+Q$5)-INT((Census!$F85+Q$5))&gt;0.5,1,0)),Assumptions!$B$10))</f>
        <v>1420838.7100401479</v>
      </c>
      <c r="R85" s="30">
        <f>IF(R$5&gt;$B85,0,INDEX(Decrements!$G$6:$G$58,Census!$G85+R$5-18)/INDEX(Decrements!$G$6:$G$58,Census!$G85-17)*(INDEX(Decrements!$D$6:$D$58,Census!$G85+R$5-18)+IF(R$5=$B85,INDEX(Decrements!$F$6:$F$58,Census!$G85+R$5-18),0)+INDEX(Decrements!$E$6:$E$58,Census!$G85+R$5-18)*IF((Census!$F85+R$5)&gt;=Assumptions!$B$11,1,0))*MIN(15/26*Census!$D85*(1+Assumptions!$B$9)^R$5*(INT((Census!$F85+R$5))+IF((Census!$F85+R$5)-INT((Census!$F85+R$5))&gt;0.5,1,0)),Assumptions!$B$10))</f>
        <v>0</v>
      </c>
      <c r="S85" s="30">
        <f>IF(S$5&gt;$B85,0,INDEX(Decrements!$G$6:$G$58,Census!$G85+S$5-18)/INDEX(Decrements!$G$6:$G$58,Census!$G85-17)*(INDEX(Decrements!$D$6:$D$58,Census!$G85+S$5-18)+IF(S$5=$B85,INDEX(Decrements!$F$6:$F$58,Census!$G85+S$5-18),0)+INDEX(Decrements!$E$6:$E$58,Census!$G85+S$5-18)*IF((Census!$F85+S$5)&gt;=Assumptions!$B$11,1,0))*MIN(15/26*Census!$D85*(1+Assumptions!$B$9)^S$5*(INT((Census!$F85+S$5))+IF((Census!$F85+S$5)-INT((Census!$F85+S$5))&gt;0.5,1,0)),Assumptions!$B$10))</f>
        <v>0</v>
      </c>
      <c r="T85" s="30">
        <f>IF(T$5&gt;$B85,0,INDEX(Decrements!$G$6:$G$58,Census!$G85+T$5-18)/INDEX(Decrements!$G$6:$G$58,Census!$G85-17)*(INDEX(Decrements!$D$6:$D$58,Census!$G85+T$5-18)+IF(T$5=$B85,INDEX(Decrements!$F$6:$F$58,Census!$G85+T$5-18),0)+INDEX(Decrements!$E$6:$E$58,Census!$G85+T$5-18)*IF((Census!$F85+T$5)&gt;=Assumptions!$B$11,1,0))*MIN(15/26*Census!$D85*(1+Assumptions!$B$9)^T$5*(INT((Census!$F85+T$5))+IF((Census!$F85+T$5)-INT((Census!$F85+T$5))&gt;0.5,1,0)),Assumptions!$B$10))</f>
        <v>0</v>
      </c>
      <c r="U85" s="30">
        <f>IF(U$5&gt;$B85,0,INDEX(Decrements!$G$6:$G$58,Census!$G85+U$5-18)/INDEX(Decrements!$G$6:$G$58,Census!$G85-17)*(INDEX(Decrements!$D$6:$D$58,Census!$G85+U$5-18)+IF(U$5=$B85,INDEX(Decrements!$F$6:$F$58,Census!$G85+U$5-18),0)+INDEX(Decrements!$E$6:$E$58,Census!$G85+U$5-18)*IF((Census!$F85+U$5)&gt;=Assumptions!$B$11,1,0))*MIN(15/26*Census!$D85*(1+Assumptions!$B$9)^U$5*(INT((Census!$F85+U$5))+IF((Census!$F85+U$5)-INT((Census!$F85+U$5))&gt;0.5,1,0)),Assumptions!$B$10))</f>
        <v>0</v>
      </c>
      <c r="V85" s="30">
        <f>IF(V$5&gt;$B85,0,INDEX(Decrements!$G$6:$G$58,Census!$G85+V$5-18)/INDEX(Decrements!$G$6:$G$58,Census!$G85-17)*(INDEX(Decrements!$D$6:$D$58,Census!$G85+V$5-18)+IF(V$5=$B85,INDEX(Decrements!$F$6:$F$58,Census!$G85+V$5-18),0)+INDEX(Decrements!$E$6:$E$58,Census!$G85+V$5-18)*IF((Census!$F85+V$5)&gt;=Assumptions!$B$11,1,0))*MIN(15/26*Census!$D85*(1+Assumptions!$B$9)^V$5*(INT((Census!$F85+V$5))+IF((Census!$F85+V$5)-INT((Census!$F85+V$5))&gt;0.5,1,0)),Assumptions!$B$10))</f>
        <v>0</v>
      </c>
      <c r="W85" s="30">
        <f>IF(W$5&gt;$B85,0,INDEX(Decrements!$G$6:$G$58,Census!$G85+W$5-18)/INDEX(Decrements!$G$6:$G$58,Census!$G85-17)*(INDEX(Decrements!$D$6:$D$58,Census!$G85+W$5-18)+IF(W$5=$B85,INDEX(Decrements!$F$6:$F$58,Census!$G85+W$5-18),0)+INDEX(Decrements!$E$6:$E$58,Census!$G85+W$5-18)*IF((Census!$F85+W$5)&gt;=Assumptions!$B$11,1,0))*MIN(15/26*Census!$D85*(1+Assumptions!$B$9)^W$5*(INT((Census!$F85+W$5))+IF((Census!$F85+W$5)-INT((Census!$F85+W$5))&gt;0.5,1,0)),Assumptions!$B$10))</f>
        <v>0</v>
      </c>
      <c r="X85" s="30">
        <f>IF(X$5&gt;$B85,0,INDEX(Decrements!$G$6:$G$58,Census!$G85+X$5-18)/INDEX(Decrements!$G$6:$G$58,Census!$G85-17)*(INDEX(Decrements!$D$6:$D$58,Census!$G85+X$5-18)+IF(X$5=$B85,INDEX(Decrements!$F$6:$F$58,Census!$G85+X$5-18),0)+INDEX(Decrements!$E$6:$E$58,Census!$G85+X$5-18)*IF((Census!$F85+X$5)&gt;=Assumptions!$B$11,1,0))*MIN(15/26*Census!$D85*(1+Assumptions!$B$9)^X$5*(INT((Census!$F85+X$5))+IF((Census!$F85+X$5)-INT((Census!$F85+X$5))&gt;0.5,1,0)),Assumptions!$B$10))</f>
        <v>0</v>
      </c>
      <c r="Y85" s="30">
        <f>IF(Y$5&gt;$B85,0,INDEX(Decrements!$G$6:$G$58,Census!$G85+Y$5-18)/INDEX(Decrements!$G$6:$G$58,Census!$G85-17)*(INDEX(Decrements!$D$6:$D$58,Census!$G85+Y$5-18)+IF(Y$5=$B85,INDEX(Decrements!$F$6:$F$58,Census!$G85+Y$5-18),0)+INDEX(Decrements!$E$6:$E$58,Census!$G85+Y$5-18)*IF((Census!$F85+Y$5)&gt;=Assumptions!$B$11,1,0))*MIN(15/26*Census!$D85*(1+Assumptions!$B$9)^Y$5*(INT((Census!$F85+Y$5))+IF((Census!$F85+Y$5)-INT((Census!$F85+Y$5))&gt;0.5,1,0)),Assumptions!$B$10))</f>
        <v>0</v>
      </c>
      <c r="Z85" s="30">
        <f>IF(Z$5&gt;$B85,0,INDEX(Decrements!$G$6:$G$58,Census!$G85+Z$5-18)/INDEX(Decrements!$G$6:$G$58,Census!$G85-17)*(INDEX(Decrements!$D$6:$D$58,Census!$G85+Z$5-18)+IF(Z$5=$B85,INDEX(Decrements!$F$6:$F$58,Census!$G85+Z$5-18),0)+INDEX(Decrements!$E$6:$E$58,Census!$G85+Z$5-18)*IF((Census!$F85+Z$5)&gt;=Assumptions!$B$11,1,0))*MIN(15/26*Census!$D85*(1+Assumptions!$B$9)^Z$5*(INT((Census!$F85+Z$5))+IF((Census!$F85+Z$5)-INT((Census!$F85+Z$5))&gt;0.5,1,0)),Assumptions!$B$10))</f>
        <v>0</v>
      </c>
      <c r="AA85" s="30">
        <f>IF(AA$5&gt;$B85,0,INDEX(Decrements!$G$6:$G$58,Census!$G85+AA$5-18)/INDEX(Decrements!$G$6:$G$58,Census!$G85-17)*(INDEX(Decrements!$D$6:$D$58,Census!$G85+AA$5-18)+IF(AA$5=$B85,INDEX(Decrements!$F$6:$F$58,Census!$G85+AA$5-18),0)+INDEX(Decrements!$E$6:$E$58,Census!$G85+AA$5-18)*IF((Census!$F85+AA$5)&gt;=Assumptions!$B$11,1,0))*MIN(15/26*Census!$D85*(1+Assumptions!$B$9)^AA$5*(INT((Census!$F85+AA$5))+IF((Census!$F85+AA$5)-INT((Census!$F85+AA$5))&gt;0.5,1,0)),Assumptions!$B$10))</f>
        <v>0</v>
      </c>
      <c r="AB85" s="30">
        <f>IF(AB$5&gt;$B85,0,INDEX(Decrements!$G$6:$G$58,Census!$G85+AB$5-18)/INDEX(Decrements!$G$6:$G$58,Census!$G85-17)*(INDEX(Decrements!$D$6:$D$58,Census!$G85+AB$5-18)+IF(AB$5=$B85,INDEX(Decrements!$F$6:$F$58,Census!$G85+AB$5-18),0)+INDEX(Decrements!$E$6:$E$58,Census!$G85+AB$5-18)*IF((Census!$F85+AB$5)&gt;=Assumptions!$B$11,1,0))*MIN(15/26*Census!$D85*(1+Assumptions!$B$9)^AB$5*(INT((Census!$F85+AB$5))+IF((Census!$F85+AB$5)-INT((Census!$F85+AB$5))&gt;0.5,1,0)),Assumptions!$B$10))</f>
        <v>0</v>
      </c>
      <c r="AC85" s="30">
        <f>IF(AC$5&gt;$B85,0,INDEX(Decrements!$G$6:$G$58,Census!$G85+AC$5-18)/INDEX(Decrements!$G$6:$G$58,Census!$G85-17)*(INDEX(Decrements!$D$6:$D$58,Census!$G85+AC$5-18)+IF(AC$5=$B85,INDEX(Decrements!$F$6:$F$58,Census!$G85+AC$5-18),0)+INDEX(Decrements!$E$6:$E$58,Census!$G85+AC$5-18)*IF((Census!$F85+AC$5)&gt;=Assumptions!$B$11,1,0))*MIN(15/26*Census!$D85*(1+Assumptions!$B$9)^AC$5*(INT((Census!$F85+AC$5))+IF((Census!$F85+AC$5)-INT((Census!$F85+AC$5))&gt;0.5,1,0)),Assumptions!$B$10))</f>
        <v>0</v>
      </c>
      <c r="AD85" s="30">
        <f>IF(AD$5&gt;$B85,0,INDEX(Decrements!$G$6:$G$58,Census!$G85+AD$5-18)/INDEX(Decrements!$G$6:$G$58,Census!$G85-17)*(INDEX(Decrements!$D$6:$D$58,Census!$G85+AD$5-18)+IF(AD$5=$B85,INDEX(Decrements!$F$6:$F$58,Census!$G85+AD$5-18),0)+INDEX(Decrements!$E$6:$E$58,Census!$G85+AD$5-18)*IF((Census!$F85+AD$5)&gt;=Assumptions!$B$11,1,0))*MIN(15/26*Census!$D85*(1+Assumptions!$B$9)^AD$5*(INT((Census!$F85+AD$5))+IF((Census!$F85+AD$5)-INT((Census!$F85+AD$5))&gt;0.5,1,0)),Assumptions!$B$10))</f>
        <v>0</v>
      </c>
      <c r="AE85" s="30">
        <f>IF(AE$5&gt;$B85,0,INDEX(Decrements!$G$6:$G$58,Census!$G85+AE$5-18)/INDEX(Decrements!$G$6:$G$58,Census!$G85-17)*(INDEX(Decrements!$D$6:$D$58,Census!$G85+AE$5-18)+IF(AE$5=$B85,INDEX(Decrements!$F$6:$F$58,Census!$G85+AE$5-18),0)+INDEX(Decrements!$E$6:$E$58,Census!$G85+AE$5-18)*IF((Census!$F85+AE$5)&gt;=Assumptions!$B$11,1,0))*MIN(15/26*Census!$D85*(1+Assumptions!$B$9)^AE$5*(INT((Census!$F85+AE$5))+IF((Census!$F85+AE$5)-INT((Census!$F85+AE$5))&gt;0.5,1,0)),Assumptions!$B$10))</f>
        <v>0</v>
      </c>
      <c r="AF85" s="30">
        <f>IF(AF$5&gt;$B85,0,INDEX(Decrements!$G$6:$G$58,Census!$G85+AF$5-18)/INDEX(Decrements!$G$6:$G$58,Census!$G85-17)*(INDEX(Decrements!$D$6:$D$58,Census!$G85+AF$5-18)+IF(AF$5=$B85,INDEX(Decrements!$F$6:$F$58,Census!$G85+AF$5-18),0)+INDEX(Decrements!$E$6:$E$58,Census!$G85+AF$5-18)*IF((Census!$F85+AF$5)&gt;=Assumptions!$B$11,1,0))*MIN(15/26*Census!$D85*(1+Assumptions!$B$9)^AF$5*(INT((Census!$F85+AF$5))+IF((Census!$F85+AF$5)-INT((Census!$F85+AF$5))&gt;0.5,1,0)),Assumptions!$B$10))</f>
        <v>0</v>
      </c>
      <c r="AG85" s="30">
        <f>IF(AG$5&gt;$B85,0,INDEX(Decrements!$G$6:$G$58,Census!$G85+AG$5-18)/INDEX(Decrements!$G$6:$G$58,Census!$G85-17)*(INDEX(Decrements!$D$6:$D$58,Census!$G85+AG$5-18)+IF(AG$5=$B85,INDEX(Decrements!$F$6:$F$58,Census!$G85+AG$5-18),0)+INDEX(Decrements!$E$6:$E$58,Census!$G85+AG$5-18)*IF((Census!$F85+AG$5)&gt;=Assumptions!$B$11,1,0))*MIN(15/26*Census!$D85*(1+Assumptions!$B$9)^AG$5*(INT((Census!$F85+AG$5))+IF((Census!$F85+AG$5)-INT((Census!$F85+AG$5))&gt;0.5,1,0)),Assumptions!$B$10))</f>
        <v>0</v>
      </c>
      <c r="AH85" s="30">
        <f>IF(AH$5&gt;$B85,0,INDEX(Decrements!$G$6:$G$58,Census!$G85+AH$5-18)/INDEX(Decrements!$G$6:$G$58,Census!$G85-17)*(INDEX(Decrements!$D$6:$D$58,Census!$G85+AH$5-18)+IF(AH$5=$B85,INDEX(Decrements!$F$6:$F$58,Census!$G85+AH$5-18),0)+INDEX(Decrements!$E$6:$E$58,Census!$G85+AH$5-18)*IF((Census!$F85+AH$5)&gt;=Assumptions!$B$11,1,0))*MIN(15/26*Census!$D85*(1+Assumptions!$B$9)^AH$5*(INT((Census!$F85+AH$5))+IF((Census!$F85+AH$5)-INT((Census!$F85+AH$5))&gt;0.5,1,0)),Assumptions!$B$10))</f>
        <v>0</v>
      </c>
      <c r="AI85" s="30">
        <f>IF(AI$5&gt;$B85,0,INDEX(Decrements!$G$6:$G$58,Census!$G85+AI$5-18)/INDEX(Decrements!$G$6:$G$58,Census!$G85-17)*(INDEX(Decrements!$D$6:$D$58,Census!$G85+AI$5-18)+IF(AI$5=$B85,INDEX(Decrements!$F$6:$F$58,Census!$G85+AI$5-18),0)+INDEX(Decrements!$E$6:$E$58,Census!$G85+AI$5-18)*IF((Census!$F85+AI$5)&gt;=Assumptions!$B$11,1,0))*MIN(15/26*Census!$D85*(1+Assumptions!$B$9)^AI$5*(INT((Census!$F85+AI$5))+IF((Census!$F85+AI$5)-INT((Census!$F85+AI$5))&gt;0.5,1,0)),Assumptions!$B$10))</f>
        <v>0</v>
      </c>
      <c r="AJ85" s="30">
        <f>IF(AJ$5&gt;$B85,0,INDEX(Decrements!$G$6:$G$58,Census!$G85+AJ$5-18)/INDEX(Decrements!$G$6:$G$58,Census!$G85-17)*(INDEX(Decrements!$D$6:$D$58,Census!$G85+AJ$5-18)+IF(AJ$5=$B85,INDEX(Decrements!$F$6:$F$58,Census!$G85+AJ$5-18),0)+INDEX(Decrements!$E$6:$E$58,Census!$G85+AJ$5-18)*IF((Census!$F85+AJ$5)&gt;=Assumptions!$B$11,1,0))*MIN(15/26*Census!$D85*(1+Assumptions!$B$9)^AJ$5*(INT((Census!$F85+AJ$5))+IF((Census!$F85+AJ$5)-INT((Census!$F85+AJ$5))&gt;0.5,1,0)),Assumptions!$B$10))</f>
        <v>0</v>
      </c>
      <c r="AK85" s="30">
        <f>IF(AK$5&gt;$B85,0,INDEX(Decrements!$G$6:$G$58,Census!$G85+AK$5-18)/INDEX(Decrements!$G$6:$G$58,Census!$G85-17)*(INDEX(Decrements!$D$6:$D$58,Census!$G85+AK$5-18)+IF(AK$5=$B85,INDEX(Decrements!$F$6:$F$58,Census!$G85+AK$5-18),0)+INDEX(Decrements!$E$6:$E$58,Census!$G85+AK$5-18)*IF((Census!$F85+AK$5)&gt;=Assumptions!$B$11,1,0))*MIN(15/26*Census!$D85*(1+Assumptions!$B$9)^AK$5*(INT((Census!$F85+AK$5))+IF((Census!$F85+AK$5)-INT((Census!$F85+AK$5))&gt;0.5,1,0)),Assumptions!$B$10))</f>
        <v>0</v>
      </c>
      <c r="AL85" s="30">
        <f>IF(AL$5&gt;$B85,0,INDEX(Decrements!$G$6:$G$58,Census!$G85+AL$5-18)/INDEX(Decrements!$G$6:$G$58,Census!$G85-17)*(INDEX(Decrements!$D$6:$D$58,Census!$G85+AL$5-18)+IF(AL$5=$B85,INDEX(Decrements!$F$6:$F$58,Census!$G85+AL$5-18),0)+INDEX(Decrements!$E$6:$E$58,Census!$G85+AL$5-18)*IF((Census!$F85+AL$5)&gt;=Assumptions!$B$11,1,0))*MIN(15/26*Census!$D85*(1+Assumptions!$B$9)^AL$5*(INT((Census!$F85+AL$5))+IF((Census!$F85+AL$5)-INT((Census!$F85+AL$5))&gt;0.5,1,0)),Assumptions!$B$10))</f>
        <v>0</v>
      </c>
      <c r="AM85" s="30">
        <f>IF(AM$5&gt;$B85,0,INDEX(Decrements!$G$6:$G$58,Census!$G85+AM$5-18)/INDEX(Decrements!$G$6:$G$58,Census!$G85-17)*(INDEX(Decrements!$D$6:$D$58,Census!$G85+AM$5-18)+IF(AM$5=$B85,INDEX(Decrements!$F$6:$F$58,Census!$G85+AM$5-18),0)+INDEX(Decrements!$E$6:$E$58,Census!$G85+AM$5-18)*IF((Census!$F85+AM$5)&gt;=Assumptions!$B$11,1,0))*MIN(15/26*Census!$D85*(1+Assumptions!$B$9)^AM$5*(INT((Census!$F85+AM$5))+IF((Census!$F85+AM$5)-INT((Census!$F85+AM$5))&gt;0.5,1,0)),Assumptions!$B$10))</f>
        <v>0</v>
      </c>
      <c r="AN85" s="30">
        <f>IF(AN$5&gt;$B85,0,INDEX(Decrements!$G$6:$G$58,Census!$G85+AN$5-18)/INDEX(Decrements!$G$6:$G$58,Census!$G85-17)*(INDEX(Decrements!$D$6:$D$58,Census!$G85+AN$5-18)+IF(AN$5=$B85,INDEX(Decrements!$F$6:$F$58,Census!$G85+AN$5-18),0)+INDEX(Decrements!$E$6:$E$58,Census!$G85+AN$5-18)*IF((Census!$F85+AN$5)&gt;=Assumptions!$B$11,1,0))*MIN(15/26*Census!$D85*(1+Assumptions!$B$9)^AN$5*(INT((Census!$F85+AN$5))+IF((Census!$F85+AN$5)-INT((Census!$F85+AN$5))&gt;0.5,1,0)),Assumptions!$B$10))</f>
        <v>0</v>
      </c>
      <c r="AO85" s="30">
        <f>IF(AO$5&gt;$B85,0,INDEX(Decrements!$G$6:$G$58,Census!$G85+AO$5-18)/INDEX(Decrements!$G$6:$G$58,Census!$G85-17)*(INDEX(Decrements!$D$6:$D$58,Census!$G85+AO$5-18)+IF(AO$5=$B85,INDEX(Decrements!$F$6:$F$58,Census!$G85+AO$5-18),0)+INDEX(Decrements!$E$6:$E$58,Census!$G85+AO$5-18)*IF((Census!$F85+AO$5)&gt;=Assumptions!$B$11,1,0))*MIN(15/26*Census!$D85*(1+Assumptions!$B$9)^AO$5*(INT((Census!$F85+AO$5))+IF((Census!$F85+AO$5)-INT((Census!$F85+AO$5))&gt;0.5,1,0)),Assumptions!$B$10))</f>
        <v>0</v>
      </c>
      <c r="AP85" s="30">
        <f>IF(AP$5&gt;$B85,0,INDEX(Decrements!$G$6:$G$58,Census!$G85+AP$5-18)/INDEX(Decrements!$G$6:$G$58,Census!$G85-17)*(INDEX(Decrements!$D$6:$D$58,Census!$G85+AP$5-18)+IF(AP$5=$B85,INDEX(Decrements!$F$6:$F$58,Census!$G85+AP$5-18),0)+INDEX(Decrements!$E$6:$E$58,Census!$G85+AP$5-18)*IF((Census!$F85+AP$5)&gt;=Assumptions!$B$11,1,0))*MIN(15/26*Census!$D85*(1+Assumptions!$B$9)^AP$5*(INT((Census!$F85+AP$5))+IF((Census!$F85+AP$5)-INT((Census!$F85+AP$5))&gt;0.5,1,0)),Assumptions!$B$10))</f>
        <v>0</v>
      </c>
      <c r="AQ85" s="30">
        <f>IF(AQ$5&gt;$B85,0,INDEX(Decrements!$G$6:$G$58,Census!$G85+AQ$5-18)/INDEX(Decrements!$G$6:$G$58,Census!$G85-17)*(INDEX(Decrements!$D$6:$D$58,Census!$G85+AQ$5-18)+IF(AQ$5=$B85,INDEX(Decrements!$F$6:$F$58,Census!$G85+AQ$5-18),0)+INDEX(Decrements!$E$6:$E$58,Census!$G85+AQ$5-18)*IF((Census!$F85+AQ$5)&gt;=Assumptions!$B$11,1,0))*MIN(15/26*Census!$D85*(1+Assumptions!$B$9)^AQ$5*(INT((Census!$F85+AQ$5))+IF((Census!$F85+AQ$5)-INT((Census!$F85+AQ$5))&gt;0.5,1,0)),Assumptions!$B$10))</f>
        <v>0</v>
      </c>
      <c r="AR85" s="30">
        <f>IF(AR$5&gt;$B85,0,INDEX(Decrements!$G$6:$G$58,Census!$G85+AR$5-18)/INDEX(Decrements!$G$6:$G$58,Census!$G85-17)*(INDEX(Decrements!$D$6:$D$58,Census!$G85+AR$5-18)+IF(AR$5=$B85,INDEX(Decrements!$F$6:$F$58,Census!$G85+AR$5-18),0)+INDEX(Decrements!$E$6:$E$58,Census!$G85+AR$5-18)*IF((Census!$F85+AR$5)&gt;=Assumptions!$B$11,1,0))*MIN(15/26*Census!$D85*(1+Assumptions!$B$9)^AR$5*(INT((Census!$F85+AR$5))+IF((Census!$F85+AR$5)-INT((Census!$F85+AR$5))&gt;0.5,1,0)),Assumptions!$B$10))</f>
        <v>0</v>
      </c>
      <c r="AS85" s="30">
        <f>IF(AS$5&gt;$B85,0,INDEX(Decrements!$G$6:$G$58,Census!$G85+AS$5-18)/INDEX(Decrements!$G$6:$G$58,Census!$G85-17)*(INDEX(Decrements!$D$6:$D$58,Census!$G85+AS$5-18)+IF(AS$5=$B85,INDEX(Decrements!$F$6:$F$58,Census!$G85+AS$5-18),0)+INDEX(Decrements!$E$6:$E$58,Census!$G85+AS$5-18)*IF((Census!$F85+AS$5)&gt;=Assumptions!$B$11,1,0))*MIN(15/26*Census!$D85*(1+Assumptions!$B$9)^AS$5*(INT((Census!$F85+AS$5))+IF((Census!$F85+AS$5)-INT((Census!$F85+AS$5))&gt;0.5,1,0)),Assumptions!$B$10))</f>
        <v>0</v>
      </c>
      <c r="AT85" s="30">
        <f>IF(AT$5&gt;$B85,0,INDEX(Decrements!$G$6:$G$58,Census!$G85+AT$5-18)/INDEX(Decrements!$G$6:$G$58,Census!$G85-17)*(INDEX(Decrements!$D$6:$D$58,Census!$G85+AT$5-18)+IF(AT$5=$B85,INDEX(Decrements!$F$6:$F$58,Census!$G85+AT$5-18),0)+INDEX(Decrements!$E$6:$E$58,Census!$G85+AT$5-18)*IF((Census!$F85+AT$5)&gt;=Assumptions!$B$11,1,0))*MIN(15/26*Census!$D85*(1+Assumptions!$B$9)^AT$5*(INT((Census!$F85+AT$5))+IF((Census!$F85+AT$5)-INT((Census!$F85+AT$5))&gt;0.5,1,0)),Assumptions!$B$10))</f>
        <v>0</v>
      </c>
      <c r="AU85" s="30">
        <f>IF(AU$5&gt;$B85,0,INDEX(Decrements!$G$6:$G$58,Census!$G85+AU$5-18)/INDEX(Decrements!$G$6:$G$58,Census!$G85-17)*(INDEX(Decrements!$D$6:$D$58,Census!$G85+AU$5-18)+IF(AU$5=$B85,INDEX(Decrements!$F$6:$F$58,Census!$G85+AU$5-18),0)+INDEX(Decrements!$E$6:$E$58,Census!$G85+AU$5-18)*IF((Census!$F85+AU$5)&gt;=Assumptions!$B$11,1,0))*MIN(15/26*Census!$D85*(1+Assumptions!$B$9)^AU$5*(INT((Census!$F85+AU$5))+IF((Census!$F85+AU$5)-INT((Census!$F85+AU$5))&gt;0.5,1,0)),Assumptions!$B$10))</f>
        <v>0</v>
      </c>
    </row>
    <row r="86" spans="1:47" x14ac:dyDescent="0.3">
      <c r="A86" s="10" t="str">
        <f>Census!A86</f>
        <v>E081</v>
      </c>
      <c r="B86" s="29">
        <f>Census!H86</f>
        <v>24</v>
      </c>
      <c r="C86" s="30">
        <f>IF(C$5&gt;$B86,0,INDEX(Decrements!$G$6:$G$58,Census!$G86+C$5-18)/INDEX(Decrements!$G$6:$G$58,Census!$G86-17)*(INDEX(Decrements!$D$6:$D$58,Census!$G86+C$5-18)+IF(C$5=$B86,INDEX(Decrements!$F$6:$F$58,Census!$G86+C$5-18),0)+INDEX(Decrements!$E$6:$E$58,Census!$G86+C$5-18)*IF((Census!$F86+C$5)&gt;=Assumptions!$B$11,1,0))*MIN(15/26*Census!$D86*(1+Assumptions!$B$9)^C$5*(INT((Census!$F86+C$5))+IF((Census!$F86+C$5)-INT((Census!$F86+C$5))&gt;0.5,1,0)),Assumptions!$B$10))</f>
        <v>7491.3753001379537</v>
      </c>
      <c r="D86" s="30">
        <f>IF(D$5&gt;$B86,0,INDEX(Decrements!$G$6:$G$58,Census!$G86+D$5-18)/INDEX(Decrements!$G$6:$G$58,Census!$G86-17)*(INDEX(Decrements!$D$6:$D$58,Census!$G86+D$5-18)+IF(D$5=$B86,INDEX(Decrements!$F$6:$F$58,Census!$G86+D$5-18),0)+INDEX(Decrements!$E$6:$E$58,Census!$G86+D$5-18)*IF((Census!$F86+D$5)&gt;=Assumptions!$B$11,1,0))*MIN(15/26*Census!$D86*(1+Assumptions!$B$9)^D$5*(INT((Census!$F86+D$5))+IF((Census!$F86+D$5)-INT((Census!$F86+D$5))&gt;0.5,1,0)),Assumptions!$B$10))</f>
        <v>8929.3244029330308</v>
      </c>
      <c r="E86" s="30">
        <f>IF(E$5&gt;$B86,0,INDEX(Decrements!$G$6:$G$58,Census!$G86+E$5-18)/INDEX(Decrements!$G$6:$G$58,Census!$G86-17)*(INDEX(Decrements!$D$6:$D$58,Census!$G86+E$5-18)+IF(E$5=$B86,INDEX(Decrements!$F$6:$F$58,Census!$G86+E$5-18),0)+INDEX(Decrements!$E$6:$E$58,Census!$G86+E$5-18)*IF((Census!$F86+E$5)&gt;=Assumptions!$B$11,1,0))*MIN(15/26*Census!$D86*(1+Assumptions!$B$9)^E$5*(INT((Census!$F86+E$5))+IF((Census!$F86+E$5)-INT((Census!$F86+E$5))&gt;0.5,1,0)),Assumptions!$B$10))</f>
        <v>10347.720494295927</v>
      </c>
      <c r="F86" s="30">
        <f>IF(F$5&gt;$B86,0,INDEX(Decrements!$G$6:$G$58,Census!$G86+F$5-18)/INDEX(Decrements!$G$6:$G$58,Census!$G86-17)*(INDEX(Decrements!$D$6:$D$58,Census!$G86+F$5-18)+IF(F$5=$B86,INDEX(Decrements!$F$6:$F$58,Census!$G86+F$5-18),0)+INDEX(Decrements!$E$6:$E$58,Census!$G86+F$5-18)*IF((Census!$F86+F$5)&gt;=Assumptions!$B$11,1,0))*MIN(15/26*Census!$D86*(1+Assumptions!$B$9)^F$5*(INT((Census!$F86+F$5))+IF((Census!$F86+F$5)-INT((Census!$F86+F$5))&gt;0.5,1,0)),Assumptions!$B$10))</f>
        <v>11746.803968444376</v>
      </c>
      <c r="G86" s="30">
        <f>IF(G$5&gt;$B86,0,INDEX(Decrements!$G$6:$G$58,Census!$G86+G$5-18)/INDEX(Decrements!$G$6:$G$58,Census!$G86-17)*(INDEX(Decrements!$D$6:$D$58,Census!$G86+G$5-18)+IF(G$5=$B86,INDEX(Decrements!$F$6:$F$58,Census!$G86+G$5-18),0)+INDEX(Decrements!$E$6:$E$58,Census!$G86+G$5-18)*IF((Census!$F86+G$5)&gt;=Assumptions!$B$11,1,0))*MIN(15/26*Census!$D86*(1+Assumptions!$B$9)^G$5*(INT((Census!$F86+G$5))+IF((Census!$F86+G$5)-INT((Census!$F86+G$5))&gt;0.5,1,0)),Assumptions!$B$10))</f>
        <v>8285.9879331389457</v>
      </c>
      <c r="H86" s="30">
        <f>IF(H$5&gt;$B86,0,INDEX(Decrements!$G$6:$G$58,Census!$G86+H$5-18)/INDEX(Decrements!$G$6:$G$58,Census!$G86-17)*(INDEX(Decrements!$D$6:$D$58,Census!$G86+H$5-18)+IF(H$5=$B86,INDEX(Decrements!$F$6:$F$58,Census!$G86+H$5-18),0)+INDEX(Decrements!$E$6:$E$58,Census!$G86+H$5-18)*IF((Census!$F86+H$5)&gt;=Assumptions!$B$11,1,0))*MIN(15/26*Census!$D86*(1+Assumptions!$B$9)^H$5*(INT((Census!$F86+H$5))+IF((Census!$F86+H$5)-INT((Census!$F86+H$5))&gt;0.5,1,0)),Assumptions!$B$10))</f>
        <v>9449.8589539058357</v>
      </c>
      <c r="I86" s="30">
        <f>IF(I$5&gt;$B86,0,INDEX(Decrements!$G$6:$G$58,Census!$G86+I$5-18)/INDEX(Decrements!$G$6:$G$58,Census!$G86-17)*(INDEX(Decrements!$D$6:$D$58,Census!$G86+I$5-18)+IF(I$5=$B86,INDEX(Decrements!$F$6:$F$58,Census!$G86+I$5-18),0)+INDEX(Decrements!$E$6:$E$58,Census!$G86+I$5-18)*IF((Census!$F86+I$5)&gt;=Assumptions!$B$11,1,0))*MIN(15/26*Census!$D86*(1+Assumptions!$B$9)^I$5*(INT((Census!$F86+I$5))+IF((Census!$F86+I$5)-INT((Census!$F86+I$5))&gt;0.5,1,0)),Assumptions!$B$10))</f>
        <v>10670.257848751469</v>
      </c>
      <c r="J86" s="30">
        <f>IF(J$5&gt;$B86,0,INDEX(Decrements!$G$6:$G$58,Census!$G86+J$5-18)/INDEX(Decrements!$G$6:$G$58,Census!$G86-17)*(INDEX(Decrements!$D$6:$D$58,Census!$G86+J$5-18)+IF(J$5=$B86,INDEX(Decrements!$F$6:$F$58,Census!$G86+J$5-18),0)+INDEX(Decrements!$E$6:$E$58,Census!$G86+J$5-18)*IF((Census!$F86+J$5)&gt;=Assumptions!$B$11,1,0))*MIN(15/26*Census!$D86*(1+Assumptions!$B$9)^J$5*(INT((Census!$F86+J$5))+IF((Census!$F86+J$5)-INT((Census!$F86+J$5))&gt;0.5,1,0)),Assumptions!$B$10))</f>
        <v>11949.692896168413</v>
      </c>
      <c r="K86" s="30">
        <f>IF(K$5&gt;$B86,0,INDEX(Decrements!$G$6:$G$58,Census!$G86+K$5-18)/INDEX(Decrements!$G$6:$G$58,Census!$G86-17)*(INDEX(Decrements!$D$6:$D$58,Census!$G86+K$5-18)+IF(K$5=$B86,INDEX(Decrements!$F$6:$F$58,Census!$G86+K$5-18),0)+INDEX(Decrements!$E$6:$E$58,Census!$G86+K$5-18)*IF((Census!$F86+K$5)&gt;=Assumptions!$B$11,1,0))*MIN(15/26*Census!$D86*(1+Assumptions!$B$9)^K$5*(INT((Census!$F86+K$5))+IF((Census!$F86+K$5)-INT((Census!$F86+K$5))&gt;0.5,1,0)),Assumptions!$B$10))</f>
        <v>13290.818302585196</v>
      </c>
      <c r="L86" s="30">
        <f>IF(L$5&gt;$B86,0,INDEX(Decrements!$G$6:$G$58,Census!$G86+L$5-18)/INDEX(Decrements!$G$6:$G$58,Census!$G86-17)*(INDEX(Decrements!$D$6:$D$58,Census!$G86+L$5-18)+IF(L$5=$B86,INDEX(Decrements!$F$6:$F$58,Census!$G86+L$5-18),0)+INDEX(Decrements!$E$6:$E$58,Census!$G86+L$5-18)*IF((Census!$F86+L$5)&gt;=Assumptions!$B$11,1,0))*MIN(15/26*Census!$D86*(1+Assumptions!$B$9)^L$5*(INT((Census!$F86+L$5))+IF((Census!$F86+L$5)-INT((Census!$F86+L$5))&gt;0.5,1,0)),Assumptions!$B$10))</f>
        <v>9036.501205618506</v>
      </c>
      <c r="M86" s="30">
        <f>IF(M$5&gt;$B86,0,INDEX(Decrements!$G$6:$G$58,Census!$G86+M$5-18)/INDEX(Decrements!$G$6:$G$58,Census!$G86-17)*(INDEX(Decrements!$D$6:$D$58,Census!$G86+M$5-18)+IF(M$5=$B86,INDEX(Decrements!$F$6:$F$58,Census!$G86+M$5-18),0)+INDEX(Decrements!$E$6:$E$58,Census!$G86+M$5-18)*IF((Census!$F86+M$5)&gt;=Assumptions!$B$11,1,0))*MIN(15/26*Census!$D86*(1+Assumptions!$B$9)^M$5*(INT((Census!$F86+M$5))+IF((Census!$F86+M$5)-INT((Census!$F86+M$5))&gt;0.5,1,0)),Assumptions!$B$10))</f>
        <v>10170.308034036754</v>
      </c>
      <c r="N86" s="30">
        <f>IF(N$5&gt;$B86,0,INDEX(Decrements!$G$6:$G$58,Census!$G86+N$5-18)/INDEX(Decrements!$G$6:$G$58,Census!$G86-17)*(INDEX(Decrements!$D$6:$D$58,Census!$G86+N$5-18)+IF(N$5=$B86,INDEX(Decrements!$F$6:$F$58,Census!$G86+N$5-18),0)+INDEX(Decrements!$E$6:$E$58,Census!$G86+N$5-18)*IF((Census!$F86+N$5)&gt;=Assumptions!$B$11,1,0))*MIN(15/26*Census!$D86*(1+Assumptions!$B$9)^N$5*(INT((Census!$F86+N$5))+IF((Census!$F86+N$5)-INT((Census!$F86+N$5))&gt;0.5,1,0)),Assumptions!$B$10))</f>
        <v>11398.74939516556</v>
      </c>
      <c r="O86" s="30">
        <f>IF(O$5&gt;$B86,0,INDEX(Decrements!$G$6:$G$58,Census!$G86+O$5-18)/INDEX(Decrements!$G$6:$G$58,Census!$G86-17)*(INDEX(Decrements!$D$6:$D$58,Census!$G86+O$5-18)+IF(O$5=$B86,INDEX(Decrements!$F$6:$F$58,Census!$G86+O$5-18),0)+INDEX(Decrements!$E$6:$E$58,Census!$G86+O$5-18)*IF((Census!$F86+O$5)&gt;=Assumptions!$B$11,1,0))*MIN(15/26*Census!$D86*(1+Assumptions!$B$9)^O$5*(INT((Census!$F86+O$5))+IF((Census!$F86+O$5)-INT((Census!$F86+O$5))&gt;0.5,1,0)),Assumptions!$B$10))</f>
        <v>12729.592878278952</v>
      </c>
      <c r="P86" s="30">
        <f>IF(P$5&gt;$B86,0,INDEX(Decrements!$G$6:$G$58,Census!$G86+P$5-18)/INDEX(Decrements!$G$6:$G$58,Census!$G86-17)*(INDEX(Decrements!$D$6:$D$58,Census!$G86+P$5-18)+IF(P$5=$B86,INDEX(Decrements!$F$6:$F$58,Census!$G86+P$5-18),0)+INDEX(Decrements!$E$6:$E$58,Census!$G86+P$5-18)*IF((Census!$F86+P$5)&gt;=Assumptions!$B$11,1,0))*MIN(15/26*Census!$D86*(1+Assumptions!$B$9)^P$5*(INT((Census!$F86+P$5))+IF((Census!$F86+P$5)-INT((Census!$F86+P$5))&gt;0.5,1,0)),Assumptions!$B$10))</f>
        <v>14171.351047540144</v>
      </c>
      <c r="Q86" s="30">
        <f>IF(Q$5&gt;$B86,0,INDEX(Decrements!$G$6:$G$58,Census!$G86+Q$5-18)/INDEX(Decrements!$G$6:$G$58,Census!$G86-17)*(INDEX(Decrements!$D$6:$D$58,Census!$G86+Q$5-18)+IF(Q$5=$B86,INDEX(Decrements!$F$6:$F$58,Census!$G86+Q$5-18),0)+INDEX(Decrements!$E$6:$E$58,Census!$G86+Q$5-18)*IF((Census!$F86+Q$5)&gt;=Assumptions!$B$11,1,0))*MIN(15/26*Census!$D86*(1+Assumptions!$B$9)^Q$5*(INT((Census!$F86+Q$5))+IF((Census!$F86+Q$5)-INT((Census!$F86+Q$5))&gt;0.5,1,0)),Assumptions!$B$10))</f>
        <v>10946.452322146446</v>
      </c>
      <c r="R86" s="30">
        <f>IF(R$5&gt;$B86,0,INDEX(Decrements!$G$6:$G$58,Census!$G86+R$5-18)/INDEX(Decrements!$G$6:$G$58,Census!$G86-17)*(INDEX(Decrements!$D$6:$D$58,Census!$G86+R$5-18)+IF(R$5=$B86,INDEX(Decrements!$F$6:$F$58,Census!$G86+R$5-18),0)+INDEX(Decrements!$E$6:$E$58,Census!$G86+R$5-18)*IF((Census!$F86+R$5)&gt;=Assumptions!$B$11,1,0))*MIN(15/26*Census!$D86*(1+Assumptions!$B$9)^R$5*(INT((Census!$F86+R$5))+IF((Census!$F86+R$5)-INT((Census!$F86+R$5))&gt;0.5,1,0)),Assumptions!$B$10))</f>
        <v>12288.992032516311</v>
      </c>
      <c r="S86" s="30">
        <f>IF(S$5&gt;$B86,0,INDEX(Decrements!$G$6:$G$58,Census!$G86+S$5-18)/INDEX(Decrements!$G$6:$G$58,Census!$G86-17)*(INDEX(Decrements!$D$6:$D$58,Census!$G86+S$5-18)+IF(S$5=$B86,INDEX(Decrements!$F$6:$F$58,Census!$G86+S$5-18),0)+INDEX(Decrements!$E$6:$E$58,Census!$G86+S$5-18)*IF((Census!$F86+S$5)&gt;=Assumptions!$B$11,1,0))*MIN(15/26*Census!$D86*(1+Assumptions!$B$9)^S$5*(INT((Census!$F86+S$5))+IF((Census!$F86+S$5)-INT((Census!$F86+S$5))&gt;0.5,1,0)),Assumptions!$B$10))</f>
        <v>13770.988251882063</v>
      </c>
      <c r="T86" s="30">
        <f>IF(T$5&gt;$B86,0,INDEX(Decrements!$G$6:$G$58,Census!$G86+T$5-18)/INDEX(Decrements!$G$6:$G$58,Census!$G86-17)*(INDEX(Decrements!$D$6:$D$58,Census!$G86+T$5-18)+IF(T$5=$B86,INDEX(Decrements!$F$6:$F$58,Census!$G86+T$5-18),0)+INDEX(Decrements!$E$6:$E$58,Census!$G86+T$5-18)*IF((Census!$F86+T$5)&gt;=Assumptions!$B$11,1,0))*MIN(15/26*Census!$D86*(1+Assumptions!$B$9)^T$5*(INT((Census!$F86+T$5))+IF((Census!$F86+T$5)-INT((Census!$F86+T$5))&gt;0.5,1,0)),Assumptions!$B$10))</f>
        <v>15407.785080838124</v>
      </c>
      <c r="U86" s="30">
        <f>IF(U$5&gt;$B86,0,INDEX(Decrements!$G$6:$G$58,Census!$G86+U$5-18)/INDEX(Decrements!$G$6:$G$58,Census!$G86-17)*(INDEX(Decrements!$D$6:$D$58,Census!$G86+U$5-18)+IF(U$5=$B86,INDEX(Decrements!$F$6:$F$58,Census!$G86+U$5-18),0)+INDEX(Decrements!$E$6:$E$58,Census!$G86+U$5-18)*IF((Census!$F86+U$5)&gt;=Assumptions!$B$11,1,0))*MIN(15/26*Census!$D86*(1+Assumptions!$B$9)^U$5*(INT((Census!$F86+U$5))+IF((Census!$F86+U$5)-INT((Census!$F86+U$5))&gt;0.5,1,0)),Assumptions!$B$10))</f>
        <v>17216.646756374037</v>
      </c>
      <c r="V86" s="30">
        <f>IF(V$5&gt;$B86,0,INDEX(Decrements!$G$6:$G$58,Census!$G86+V$5-18)/INDEX(Decrements!$G$6:$G$58,Census!$G86-17)*(INDEX(Decrements!$D$6:$D$58,Census!$G86+V$5-18)+IF(V$5=$B86,INDEX(Decrements!$F$6:$F$58,Census!$G86+V$5-18),0)+INDEX(Decrements!$E$6:$E$58,Census!$G86+V$5-18)*IF((Census!$F86+V$5)&gt;=Assumptions!$B$11,1,0))*MIN(15/26*Census!$D86*(1+Assumptions!$B$9)^V$5*(INT((Census!$F86+V$5))+IF((Census!$F86+V$5)-INT((Census!$F86+V$5))&gt;0.5,1,0)),Assumptions!$B$10))</f>
        <v>11333.690955596778</v>
      </c>
      <c r="W86" s="30">
        <f>IF(W$5&gt;$B86,0,INDEX(Decrements!$G$6:$G$58,Census!$G86+W$5-18)/INDEX(Decrements!$G$6:$G$58,Census!$G86-17)*(INDEX(Decrements!$D$6:$D$58,Census!$G86+W$5-18)+IF(W$5=$B86,INDEX(Decrements!$F$6:$F$58,Census!$G86+W$5-18),0)+INDEX(Decrements!$E$6:$E$58,Census!$G86+W$5-18)*IF((Census!$F86+W$5)&gt;=Assumptions!$B$11,1,0))*MIN(15/26*Census!$D86*(1+Assumptions!$B$9)^W$5*(INT((Census!$F86+W$5))+IF((Census!$F86+W$5)-INT((Census!$F86+W$5))&gt;0.5,1,0)),Assumptions!$B$10))</f>
        <v>11975.182020972652</v>
      </c>
      <c r="X86" s="30">
        <f>IF(X$5&gt;$B86,0,INDEX(Decrements!$G$6:$G$58,Census!$G86+X$5-18)/INDEX(Decrements!$G$6:$G$58,Census!$G86-17)*(INDEX(Decrements!$D$6:$D$58,Census!$G86+X$5-18)+IF(X$5=$B86,INDEX(Decrements!$F$6:$F$58,Census!$G86+X$5-18),0)+INDEX(Decrements!$E$6:$E$58,Census!$G86+X$5-18)*IF((Census!$F86+X$5)&gt;=Assumptions!$B$11,1,0))*MIN(15/26*Census!$D86*(1+Assumptions!$B$9)^X$5*(INT((Census!$F86+X$5))+IF((Census!$F86+X$5)-INT((Census!$F86+X$5))&gt;0.5,1,0)),Assumptions!$B$10))</f>
        <v>12144.017069560188</v>
      </c>
      <c r="Y86" s="30">
        <f>IF(Y$5&gt;$B86,0,INDEX(Decrements!$G$6:$G$58,Census!$G86+Y$5-18)/INDEX(Decrements!$G$6:$G$58,Census!$G86-17)*(INDEX(Decrements!$D$6:$D$58,Census!$G86+Y$5-18)+IF(Y$5=$B86,INDEX(Decrements!$F$6:$F$58,Census!$G86+Y$5-18),0)+INDEX(Decrements!$E$6:$E$58,Census!$G86+Y$5-18)*IF((Census!$F86+Y$5)&gt;=Assumptions!$B$11,1,0))*MIN(15/26*Census!$D86*(1+Assumptions!$B$9)^Y$5*(INT((Census!$F86+Y$5))+IF((Census!$F86+Y$5)-INT((Census!$F86+Y$5))&gt;0.5,1,0)),Assumptions!$B$10))</f>
        <v>12333.728210636717</v>
      </c>
      <c r="Z86" s="30">
        <f>IF(Z$5&gt;$B86,0,INDEX(Decrements!$G$6:$G$58,Census!$G86+Z$5-18)/INDEX(Decrements!$G$6:$G$58,Census!$G86-17)*(INDEX(Decrements!$D$6:$D$58,Census!$G86+Z$5-18)+IF(Z$5=$B86,INDEX(Decrements!$F$6:$F$58,Census!$G86+Z$5-18),0)+INDEX(Decrements!$E$6:$E$58,Census!$G86+Z$5-18)*IF((Census!$F86+Z$5)&gt;=Assumptions!$B$11,1,0))*MIN(15/26*Census!$D86*(1+Assumptions!$B$9)^Z$5*(INT((Census!$F86+Z$5))+IF((Census!$F86+Z$5)-INT((Census!$F86+Z$5))&gt;0.5,1,0)),Assumptions!$B$10))</f>
        <v>777902.377824247</v>
      </c>
      <c r="AA86" s="30">
        <f>IF(AA$5&gt;$B86,0,INDEX(Decrements!$G$6:$G$58,Census!$G86+AA$5-18)/INDEX(Decrements!$G$6:$G$58,Census!$G86-17)*(INDEX(Decrements!$D$6:$D$58,Census!$G86+AA$5-18)+IF(AA$5=$B86,INDEX(Decrements!$F$6:$F$58,Census!$G86+AA$5-18),0)+INDEX(Decrements!$E$6:$E$58,Census!$G86+AA$5-18)*IF((Census!$F86+AA$5)&gt;=Assumptions!$B$11,1,0))*MIN(15/26*Census!$D86*(1+Assumptions!$B$9)^AA$5*(INT((Census!$F86+AA$5))+IF((Census!$F86+AA$5)-INT((Census!$F86+AA$5))&gt;0.5,1,0)),Assumptions!$B$10))</f>
        <v>0</v>
      </c>
      <c r="AB86" s="30">
        <f>IF(AB$5&gt;$B86,0,INDEX(Decrements!$G$6:$G$58,Census!$G86+AB$5-18)/INDEX(Decrements!$G$6:$G$58,Census!$G86-17)*(INDEX(Decrements!$D$6:$D$58,Census!$G86+AB$5-18)+IF(AB$5=$B86,INDEX(Decrements!$F$6:$F$58,Census!$G86+AB$5-18),0)+INDEX(Decrements!$E$6:$E$58,Census!$G86+AB$5-18)*IF((Census!$F86+AB$5)&gt;=Assumptions!$B$11,1,0))*MIN(15/26*Census!$D86*(1+Assumptions!$B$9)^AB$5*(INT((Census!$F86+AB$5))+IF((Census!$F86+AB$5)-INT((Census!$F86+AB$5))&gt;0.5,1,0)),Assumptions!$B$10))</f>
        <v>0</v>
      </c>
      <c r="AC86" s="30">
        <f>IF(AC$5&gt;$B86,0,INDEX(Decrements!$G$6:$G$58,Census!$G86+AC$5-18)/INDEX(Decrements!$G$6:$G$58,Census!$G86-17)*(INDEX(Decrements!$D$6:$D$58,Census!$G86+AC$5-18)+IF(AC$5=$B86,INDEX(Decrements!$F$6:$F$58,Census!$G86+AC$5-18),0)+INDEX(Decrements!$E$6:$E$58,Census!$G86+AC$5-18)*IF((Census!$F86+AC$5)&gt;=Assumptions!$B$11,1,0))*MIN(15/26*Census!$D86*(1+Assumptions!$B$9)^AC$5*(INT((Census!$F86+AC$5))+IF((Census!$F86+AC$5)-INT((Census!$F86+AC$5))&gt;0.5,1,0)),Assumptions!$B$10))</f>
        <v>0</v>
      </c>
      <c r="AD86" s="30">
        <f>IF(AD$5&gt;$B86,0,INDEX(Decrements!$G$6:$G$58,Census!$G86+AD$5-18)/INDEX(Decrements!$G$6:$G$58,Census!$G86-17)*(INDEX(Decrements!$D$6:$D$58,Census!$G86+AD$5-18)+IF(AD$5=$B86,INDEX(Decrements!$F$6:$F$58,Census!$G86+AD$5-18),0)+INDEX(Decrements!$E$6:$E$58,Census!$G86+AD$5-18)*IF((Census!$F86+AD$5)&gt;=Assumptions!$B$11,1,0))*MIN(15/26*Census!$D86*(1+Assumptions!$B$9)^AD$5*(INT((Census!$F86+AD$5))+IF((Census!$F86+AD$5)-INT((Census!$F86+AD$5))&gt;0.5,1,0)),Assumptions!$B$10))</f>
        <v>0</v>
      </c>
      <c r="AE86" s="30">
        <f>IF(AE$5&gt;$B86,0,INDEX(Decrements!$G$6:$G$58,Census!$G86+AE$5-18)/INDEX(Decrements!$G$6:$G$58,Census!$G86-17)*(INDEX(Decrements!$D$6:$D$58,Census!$G86+AE$5-18)+IF(AE$5=$B86,INDEX(Decrements!$F$6:$F$58,Census!$G86+AE$5-18),0)+INDEX(Decrements!$E$6:$E$58,Census!$G86+AE$5-18)*IF((Census!$F86+AE$5)&gt;=Assumptions!$B$11,1,0))*MIN(15/26*Census!$D86*(1+Assumptions!$B$9)^AE$5*(INT((Census!$F86+AE$5))+IF((Census!$F86+AE$5)-INT((Census!$F86+AE$5))&gt;0.5,1,0)),Assumptions!$B$10))</f>
        <v>0</v>
      </c>
      <c r="AF86" s="30">
        <f>IF(AF$5&gt;$B86,0,INDEX(Decrements!$G$6:$G$58,Census!$G86+AF$5-18)/INDEX(Decrements!$G$6:$G$58,Census!$G86-17)*(INDEX(Decrements!$D$6:$D$58,Census!$G86+AF$5-18)+IF(AF$5=$B86,INDEX(Decrements!$F$6:$F$58,Census!$G86+AF$5-18),0)+INDEX(Decrements!$E$6:$E$58,Census!$G86+AF$5-18)*IF((Census!$F86+AF$5)&gt;=Assumptions!$B$11,1,0))*MIN(15/26*Census!$D86*(1+Assumptions!$B$9)^AF$5*(INT((Census!$F86+AF$5))+IF((Census!$F86+AF$5)-INT((Census!$F86+AF$5))&gt;0.5,1,0)),Assumptions!$B$10))</f>
        <v>0</v>
      </c>
      <c r="AG86" s="30">
        <f>IF(AG$5&gt;$B86,0,INDEX(Decrements!$G$6:$G$58,Census!$G86+AG$5-18)/INDEX(Decrements!$G$6:$G$58,Census!$G86-17)*(INDEX(Decrements!$D$6:$D$58,Census!$G86+AG$5-18)+IF(AG$5=$B86,INDEX(Decrements!$F$6:$F$58,Census!$G86+AG$5-18),0)+INDEX(Decrements!$E$6:$E$58,Census!$G86+AG$5-18)*IF((Census!$F86+AG$5)&gt;=Assumptions!$B$11,1,0))*MIN(15/26*Census!$D86*(1+Assumptions!$B$9)^AG$5*(INT((Census!$F86+AG$5))+IF((Census!$F86+AG$5)-INT((Census!$F86+AG$5))&gt;0.5,1,0)),Assumptions!$B$10))</f>
        <v>0</v>
      </c>
      <c r="AH86" s="30">
        <f>IF(AH$5&gt;$B86,0,INDEX(Decrements!$G$6:$G$58,Census!$G86+AH$5-18)/INDEX(Decrements!$G$6:$G$58,Census!$G86-17)*(INDEX(Decrements!$D$6:$D$58,Census!$G86+AH$5-18)+IF(AH$5=$B86,INDEX(Decrements!$F$6:$F$58,Census!$G86+AH$5-18),0)+INDEX(Decrements!$E$6:$E$58,Census!$G86+AH$5-18)*IF((Census!$F86+AH$5)&gt;=Assumptions!$B$11,1,0))*MIN(15/26*Census!$D86*(1+Assumptions!$B$9)^AH$5*(INT((Census!$F86+AH$5))+IF((Census!$F86+AH$5)-INT((Census!$F86+AH$5))&gt;0.5,1,0)),Assumptions!$B$10))</f>
        <v>0</v>
      </c>
      <c r="AI86" s="30">
        <f>IF(AI$5&gt;$B86,0,INDEX(Decrements!$G$6:$G$58,Census!$G86+AI$5-18)/INDEX(Decrements!$G$6:$G$58,Census!$G86-17)*(INDEX(Decrements!$D$6:$D$58,Census!$G86+AI$5-18)+IF(AI$5=$B86,INDEX(Decrements!$F$6:$F$58,Census!$G86+AI$5-18),0)+INDEX(Decrements!$E$6:$E$58,Census!$G86+AI$5-18)*IF((Census!$F86+AI$5)&gt;=Assumptions!$B$11,1,0))*MIN(15/26*Census!$D86*(1+Assumptions!$B$9)^AI$5*(INT((Census!$F86+AI$5))+IF((Census!$F86+AI$5)-INT((Census!$F86+AI$5))&gt;0.5,1,0)),Assumptions!$B$10))</f>
        <v>0</v>
      </c>
      <c r="AJ86" s="30">
        <f>IF(AJ$5&gt;$B86,0,INDEX(Decrements!$G$6:$G$58,Census!$G86+AJ$5-18)/INDEX(Decrements!$G$6:$G$58,Census!$G86-17)*(INDEX(Decrements!$D$6:$D$58,Census!$G86+AJ$5-18)+IF(AJ$5=$B86,INDEX(Decrements!$F$6:$F$58,Census!$G86+AJ$5-18),0)+INDEX(Decrements!$E$6:$E$58,Census!$G86+AJ$5-18)*IF((Census!$F86+AJ$5)&gt;=Assumptions!$B$11,1,0))*MIN(15/26*Census!$D86*(1+Assumptions!$B$9)^AJ$5*(INT((Census!$F86+AJ$5))+IF((Census!$F86+AJ$5)-INT((Census!$F86+AJ$5))&gt;0.5,1,0)),Assumptions!$B$10))</f>
        <v>0</v>
      </c>
      <c r="AK86" s="30">
        <f>IF(AK$5&gt;$B86,0,INDEX(Decrements!$G$6:$G$58,Census!$G86+AK$5-18)/INDEX(Decrements!$G$6:$G$58,Census!$G86-17)*(INDEX(Decrements!$D$6:$D$58,Census!$G86+AK$5-18)+IF(AK$5=$B86,INDEX(Decrements!$F$6:$F$58,Census!$G86+AK$5-18),0)+INDEX(Decrements!$E$6:$E$58,Census!$G86+AK$5-18)*IF((Census!$F86+AK$5)&gt;=Assumptions!$B$11,1,0))*MIN(15/26*Census!$D86*(1+Assumptions!$B$9)^AK$5*(INT((Census!$F86+AK$5))+IF((Census!$F86+AK$5)-INT((Census!$F86+AK$5))&gt;0.5,1,0)),Assumptions!$B$10))</f>
        <v>0</v>
      </c>
      <c r="AL86" s="30">
        <f>IF(AL$5&gt;$B86,0,INDEX(Decrements!$G$6:$G$58,Census!$G86+AL$5-18)/INDEX(Decrements!$G$6:$G$58,Census!$G86-17)*(INDEX(Decrements!$D$6:$D$58,Census!$G86+AL$5-18)+IF(AL$5=$B86,INDEX(Decrements!$F$6:$F$58,Census!$G86+AL$5-18),0)+INDEX(Decrements!$E$6:$E$58,Census!$G86+AL$5-18)*IF((Census!$F86+AL$5)&gt;=Assumptions!$B$11,1,0))*MIN(15/26*Census!$D86*(1+Assumptions!$B$9)^AL$5*(INT((Census!$F86+AL$5))+IF((Census!$F86+AL$5)-INT((Census!$F86+AL$5))&gt;0.5,1,0)),Assumptions!$B$10))</f>
        <v>0</v>
      </c>
      <c r="AM86" s="30">
        <f>IF(AM$5&gt;$B86,0,INDEX(Decrements!$G$6:$G$58,Census!$G86+AM$5-18)/INDEX(Decrements!$G$6:$G$58,Census!$G86-17)*(INDEX(Decrements!$D$6:$D$58,Census!$G86+AM$5-18)+IF(AM$5=$B86,INDEX(Decrements!$F$6:$F$58,Census!$G86+AM$5-18),0)+INDEX(Decrements!$E$6:$E$58,Census!$G86+AM$5-18)*IF((Census!$F86+AM$5)&gt;=Assumptions!$B$11,1,0))*MIN(15/26*Census!$D86*(1+Assumptions!$B$9)^AM$5*(INT((Census!$F86+AM$5))+IF((Census!$F86+AM$5)-INT((Census!$F86+AM$5))&gt;0.5,1,0)),Assumptions!$B$10))</f>
        <v>0</v>
      </c>
      <c r="AN86" s="30">
        <f>IF(AN$5&gt;$B86,0,INDEX(Decrements!$G$6:$G$58,Census!$G86+AN$5-18)/INDEX(Decrements!$G$6:$G$58,Census!$G86-17)*(INDEX(Decrements!$D$6:$D$58,Census!$G86+AN$5-18)+IF(AN$5=$B86,INDEX(Decrements!$F$6:$F$58,Census!$G86+AN$5-18),0)+INDEX(Decrements!$E$6:$E$58,Census!$G86+AN$5-18)*IF((Census!$F86+AN$5)&gt;=Assumptions!$B$11,1,0))*MIN(15/26*Census!$D86*(1+Assumptions!$B$9)^AN$5*(INT((Census!$F86+AN$5))+IF((Census!$F86+AN$5)-INT((Census!$F86+AN$5))&gt;0.5,1,0)),Assumptions!$B$10))</f>
        <v>0</v>
      </c>
      <c r="AO86" s="30">
        <f>IF(AO$5&gt;$B86,0,INDEX(Decrements!$G$6:$G$58,Census!$G86+AO$5-18)/INDEX(Decrements!$G$6:$G$58,Census!$G86-17)*(INDEX(Decrements!$D$6:$D$58,Census!$G86+AO$5-18)+IF(AO$5=$B86,INDEX(Decrements!$F$6:$F$58,Census!$G86+AO$5-18),0)+INDEX(Decrements!$E$6:$E$58,Census!$G86+AO$5-18)*IF((Census!$F86+AO$5)&gt;=Assumptions!$B$11,1,0))*MIN(15/26*Census!$D86*(1+Assumptions!$B$9)^AO$5*(INT((Census!$F86+AO$5))+IF((Census!$F86+AO$5)-INT((Census!$F86+AO$5))&gt;0.5,1,0)),Assumptions!$B$10))</f>
        <v>0</v>
      </c>
      <c r="AP86" s="30">
        <f>IF(AP$5&gt;$B86,0,INDEX(Decrements!$G$6:$G$58,Census!$G86+AP$5-18)/INDEX(Decrements!$G$6:$G$58,Census!$G86-17)*(INDEX(Decrements!$D$6:$D$58,Census!$G86+AP$5-18)+IF(AP$5=$B86,INDEX(Decrements!$F$6:$F$58,Census!$G86+AP$5-18),0)+INDEX(Decrements!$E$6:$E$58,Census!$G86+AP$5-18)*IF((Census!$F86+AP$5)&gt;=Assumptions!$B$11,1,0))*MIN(15/26*Census!$D86*(1+Assumptions!$B$9)^AP$5*(INT((Census!$F86+AP$5))+IF((Census!$F86+AP$5)-INT((Census!$F86+AP$5))&gt;0.5,1,0)),Assumptions!$B$10))</f>
        <v>0</v>
      </c>
      <c r="AQ86" s="30">
        <f>IF(AQ$5&gt;$B86,0,INDEX(Decrements!$G$6:$G$58,Census!$G86+AQ$5-18)/INDEX(Decrements!$G$6:$G$58,Census!$G86-17)*(INDEX(Decrements!$D$6:$D$58,Census!$G86+AQ$5-18)+IF(AQ$5=$B86,INDEX(Decrements!$F$6:$F$58,Census!$G86+AQ$5-18),0)+INDEX(Decrements!$E$6:$E$58,Census!$G86+AQ$5-18)*IF((Census!$F86+AQ$5)&gt;=Assumptions!$B$11,1,0))*MIN(15/26*Census!$D86*(1+Assumptions!$B$9)^AQ$5*(INT((Census!$F86+AQ$5))+IF((Census!$F86+AQ$5)-INT((Census!$F86+AQ$5))&gt;0.5,1,0)),Assumptions!$B$10))</f>
        <v>0</v>
      </c>
      <c r="AR86" s="30">
        <f>IF(AR$5&gt;$B86,0,INDEX(Decrements!$G$6:$G$58,Census!$G86+AR$5-18)/INDEX(Decrements!$G$6:$G$58,Census!$G86-17)*(INDEX(Decrements!$D$6:$D$58,Census!$G86+AR$5-18)+IF(AR$5=$B86,INDEX(Decrements!$F$6:$F$58,Census!$G86+AR$5-18),0)+INDEX(Decrements!$E$6:$E$58,Census!$G86+AR$5-18)*IF((Census!$F86+AR$5)&gt;=Assumptions!$B$11,1,0))*MIN(15/26*Census!$D86*(1+Assumptions!$B$9)^AR$5*(INT((Census!$F86+AR$5))+IF((Census!$F86+AR$5)-INT((Census!$F86+AR$5))&gt;0.5,1,0)),Assumptions!$B$10))</f>
        <v>0</v>
      </c>
      <c r="AS86" s="30">
        <f>IF(AS$5&gt;$B86,0,INDEX(Decrements!$G$6:$G$58,Census!$G86+AS$5-18)/INDEX(Decrements!$G$6:$G$58,Census!$G86-17)*(INDEX(Decrements!$D$6:$D$58,Census!$G86+AS$5-18)+IF(AS$5=$B86,INDEX(Decrements!$F$6:$F$58,Census!$G86+AS$5-18),0)+INDEX(Decrements!$E$6:$E$58,Census!$G86+AS$5-18)*IF((Census!$F86+AS$5)&gt;=Assumptions!$B$11,1,0))*MIN(15/26*Census!$D86*(1+Assumptions!$B$9)^AS$5*(INT((Census!$F86+AS$5))+IF((Census!$F86+AS$5)-INT((Census!$F86+AS$5))&gt;0.5,1,0)),Assumptions!$B$10))</f>
        <v>0</v>
      </c>
      <c r="AT86" s="30">
        <f>IF(AT$5&gt;$B86,0,INDEX(Decrements!$G$6:$G$58,Census!$G86+AT$5-18)/INDEX(Decrements!$G$6:$G$58,Census!$G86-17)*(INDEX(Decrements!$D$6:$D$58,Census!$G86+AT$5-18)+IF(AT$5=$B86,INDEX(Decrements!$F$6:$F$58,Census!$G86+AT$5-18),0)+INDEX(Decrements!$E$6:$E$58,Census!$G86+AT$5-18)*IF((Census!$F86+AT$5)&gt;=Assumptions!$B$11,1,0))*MIN(15/26*Census!$D86*(1+Assumptions!$B$9)^AT$5*(INT((Census!$F86+AT$5))+IF((Census!$F86+AT$5)-INT((Census!$F86+AT$5))&gt;0.5,1,0)),Assumptions!$B$10))</f>
        <v>0</v>
      </c>
      <c r="AU86" s="30">
        <f>IF(AU$5&gt;$B86,0,INDEX(Decrements!$G$6:$G$58,Census!$G86+AU$5-18)/INDEX(Decrements!$G$6:$G$58,Census!$G86-17)*(INDEX(Decrements!$D$6:$D$58,Census!$G86+AU$5-18)+IF(AU$5=$B86,INDEX(Decrements!$F$6:$F$58,Census!$G86+AU$5-18),0)+INDEX(Decrements!$E$6:$E$58,Census!$G86+AU$5-18)*IF((Census!$F86+AU$5)&gt;=Assumptions!$B$11,1,0))*MIN(15/26*Census!$D86*(1+Assumptions!$B$9)^AU$5*(INT((Census!$F86+AU$5))+IF((Census!$F86+AU$5)-INT((Census!$F86+AU$5))&gt;0.5,1,0)),Assumptions!$B$10))</f>
        <v>0</v>
      </c>
    </row>
    <row r="87" spans="1:47" x14ac:dyDescent="0.3">
      <c r="A87" s="10" t="str">
        <f>Census!A87</f>
        <v>E082</v>
      </c>
      <c r="B87" s="29">
        <f>Census!H87</f>
        <v>13</v>
      </c>
      <c r="C87" s="30">
        <f>IF(C$5&gt;$B87,0,INDEX(Decrements!$G$6:$G$58,Census!$G87+C$5-18)/INDEX(Decrements!$G$6:$G$58,Census!$G87-17)*(INDEX(Decrements!$D$6:$D$58,Census!$G87+C$5-18)+IF(C$5=$B87,INDEX(Decrements!$F$6:$F$58,Census!$G87+C$5-18),0)+INDEX(Decrements!$E$6:$E$58,Census!$G87+C$5-18)*IF((Census!$F87+C$5)&gt;=Assumptions!$B$11,1,0))*MIN(15/26*Census!$D87*(1+Assumptions!$B$9)^C$5*(INT((Census!$F87+C$5))+IF((Census!$F87+C$5)-INT((Census!$F87+C$5))&gt;0.5,1,0)),Assumptions!$B$10))</f>
        <v>15383.199672311199</v>
      </c>
      <c r="D87" s="30">
        <f>IF(D$5&gt;$B87,0,INDEX(Decrements!$G$6:$G$58,Census!$G87+D$5-18)/INDEX(Decrements!$G$6:$G$58,Census!$G87-17)*(INDEX(Decrements!$D$6:$D$58,Census!$G87+D$5-18)+IF(D$5=$B87,INDEX(Decrements!$F$6:$F$58,Census!$G87+D$5-18),0)+INDEX(Decrements!$E$6:$E$58,Census!$G87+D$5-18)*IF((Census!$F87+D$5)&gt;=Assumptions!$B$11,1,0))*MIN(15/26*Census!$D87*(1+Assumptions!$B$9)^D$5*(INT((Census!$F87+D$5))+IF((Census!$F87+D$5)-INT((Census!$F87+D$5))&gt;0.5,1,0)),Assumptions!$B$10))</f>
        <v>17323.604903697884</v>
      </c>
      <c r="E87" s="30">
        <f>IF(E$5&gt;$B87,0,INDEX(Decrements!$G$6:$G$58,Census!$G87+E$5-18)/INDEX(Decrements!$G$6:$G$58,Census!$G87-17)*(INDEX(Decrements!$D$6:$D$58,Census!$G87+E$5-18)+IF(E$5=$B87,INDEX(Decrements!$F$6:$F$58,Census!$G87+E$5-18),0)+INDEX(Decrements!$E$6:$E$58,Census!$G87+E$5-18)*IF((Census!$F87+E$5)&gt;=Assumptions!$B$11,1,0))*MIN(15/26*Census!$D87*(1+Assumptions!$B$9)^E$5*(INT((Census!$F87+E$5))+IF((Census!$F87+E$5)-INT((Census!$F87+E$5))&gt;0.5,1,0)),Assumptions!$B$10))</f>
        <v>19428.539399053618</v>
      </c>
      <c r="F87" s="30">
        <f>IF(F$5&gt;$B87,0,INDEX(Decrements!$G$6:$G$58,Census!$G87+F$5-18)/INDEX(Decrements!$G$6:$G$58,Census!$G87-17)*(INDEX(Decrements!$D$6:$D$58,Census!$G87+F$5-18)+IF(F$5=$B87,INDEX(Decrements!$F$6:$F$58,Census!$G87+F$5-18),0)+INDEX(Decrements!$E$6:$E$58,Census!$G87+F$5-18)*IF((Census!$F87+F$5)&gt;=Assumptions!$B$11,1,0))*MIN(15/26*Census!$D87*(1+Assumptions!$B$9)^F$5*(INT((Census!$F87+F$5))+IF((Census!$F87+F$5)-INT((Census!$F87+F$5))&gt;0.5,1,0)),Assumptions!$B$10))</f>
        <v>15106.022551658429</v>
      </c>
      <c r="G87" s="30">
        <f>IF(G$5&gt;$B87,0,INDEX(Decrements!$G$6:$G$58,Census!$G87+G$5-18)/INDEX(Decrements!$G$6:$G$58,Census!$G87-17)*(INDEX(Decrements!$D$6:$D$58,Census!$G87+G$5-18)+IF(G$5=$B87,INDEX(Decrements!$F$6:$F$58,Census!$G87+G$5-18),0)+INDEX(Decrements!$E$6:$E$58,Census!$G87+G$5-18)*IF((Census!$F87+G$5)&gt;=Assumptions!$B$11,1,0))*MIN(15/26*Census!$D87*(1+Assumptions!$B$9)^G$5*(INT((Census!$F87+G$5))+IF((Census!$F87+G$5)-INT((Census!$F87+G$5))&gt;0.5,1,0)),Assumptions!$B$10))</f>
        <v>17058.474498367643</v>
      </c>
      <c r="H87" s="30">
        <f>IF(H$5&gt;$B87,0,INDEX(Decrements!$G$6:$G$58,Census!$G87+H$5-18)/INDEX(Decrements!$G$6:$G$58,Census!$G87-17)*(INDEX(Decrements!$D$6:$D$58,Census!$G87+H$5-18)+IF(H$5=$B87,INDEX(Decrements!$F$6:$F$58,Census!$G87+H$5-18),0)+INDEX(Decrements!$E$6:$E$58,Census!$G87+H$5-18)*IF((Census!$F87+H$5)&gt;=Assumptions!$B$11,1,0))*MIN(15/26*Census!$D87*(1+Assumptions!$B$9)^H$5*(INT((Census!$F87+H$5))+IF((Census!$F87+H$5)-INT((Census!$F87+H$5))&gt;0.5,1,0)),Assumptions!$B$10))</f>
        <v>19216.789480925614</v>
      </c>
      <c r="I87" s="30">
        <f>IF(I$5&gt;$B87,0,INDEX(Decrements!$G$6:$G$58,Census!$G87+I$5-18)/INDEX(Decrements!$G$6:$G$58,Census!$G87-17)*(INDEX(Decrements!$D$6:$D$58,Census!$G87+I$5-18)+IF(I$5=$B87,INDEX(Decrements!$F$6:$F$58,Census!$G87+I$5-18),0)+INDEX(Decrements!$E$6:$E$58,Census!$G87+I$5-18)*IF((Census!$F87+I$5)&gt;=Assumptions!$B$11,1,0))*MIN(15/26*Census!$D87*(1+Assumptions!$B$9)^I$5*(INT((Census!$F87+I$5))+IF((Census!$F87+I$5)-INT((Census!$F87+I$5))&gt;0.5,1,0)),Assumptions!$B$10))</f>
        <v>21603.740167068972</v>
      </c>
      <c r="J87" s="30">
        <f>IF(J$5&gt;$B87,0,INDEX(Decrements!$G$6:$G$58,Census!$G87+J$5-18)/INDEX(Decrements!$G$6:$G$58,Census!$G87-17)*(INDEX(Decrements!$D$6:$D$58,Census!$G87+J$5-18)+IF(J$5=$B87,INDEX(Decrements!$F$6:$F$58,Census!$G87+J$5-18),0)+INDEX(Decrements!$E$6:$E$58,Census!$G87+J$5-18)*IF((Census!$F87+J$5)&gt;=Assumptions!$B$11,1,0))*MIN(15/26*Census!$D87*(1+Assumptions!$B$9)^J$5*(INT((Census!$F87+J$5))+IF((Census!$F87+J$5)-INT((Census!$F87+J$5))&gt;0.5,1,0)),Assumptions!$B$10))</f>
        <v>24244.958556893998</v>
      </c>
      <c r="K87" s="30">
        <f>IF(K$5&gt;$B87,0,INDEX(Decrements!$G$6:$G$58,Census!$G87+K$5-18)/INDEX(Decrements!$G$6:$G$58,Census!$G87-17)*(INDEX(Decrements!$D$6:$D$58,Census!$G87+K$5-18)+IF(K$5=$B87,INDEX(Decrements!$F$6:$F$58,Census!$G87+K$5-18),0)+INDEX(Decrements!$E$6:$E$58,Census!$G87+K$5-18)*IF((Census!$F87+K$5)&gt;=Assumptions!$B$11,1,0))*MIN(15/26*Census!$D87*(1+Assumptions!$B$9)^K$5*(INT((Census!$F87+K$5))+IF((Census!$F87+K$5)-INT((Census!$F87+K$5))&gt;0.5,1,0)),Assumptions!$B$10))</f>
        <v>16023.752334576131</v>
      </c>
      <c r="L87" s="30">
        <f>IF(L$5&gt;$B87,0,INDEX(Decrements!$G$6:$G$58,Census!$G87+L$5-18)/INDEX(Decrements!$G$6:$G$58,Census!$G87-17)*(INDEX(Decrements!$D$6:$D$58,Census!$G87+L$5-18)+IF(L$5=$B87,INDEX(Decrements!$F$6:$F$58,Census!$G87+L$5-18),0)+INDEX(Decrements!$E$6:$E$58,Census!$G87+L$5-18)*IF((Census!$F87+L$5)&gt;=Assumptions!$B$11,1,0))*MIN(15/26*Census!$D87*(1+Assumptions!$B$9)^L$5*(INT((Census!$F87+L$5))+IF((Census!$F87+L$5)-INT((Census!$F87+L$5))&gt;0.5,1,0)),Assumptions!$B$10))</f>
        <v>18320.385495778635</v>
      </c>
      <c r="M87" s="30">
        <f>IF(M$5&gt;$B87,0,INDEX(Decrements!$G$6:$G$58,Census!$G87+M$5-18)/INDEX(Decrements!$G$6:$G$58,Census!$G87-17)*(INDEX(Decrements!$D$6:$D$58,Census!$G87+M$5-18)+IF(M$5=$B87,INDEX(Decrements!$F$6:$F$58,Census!$G87+M$5-18),0)+INDEX(Decrements!$E$6:$E$58,Census!$G87+M$5-18)*IF((Census!$F87+M$5)&gt;=Assumptions!$B$11,1,0))*MIN(15/26*Census!$D87*(1+Assumptions!$B$9)^M$5*(INT((Census!$F87+M$5))+IF((Census!$F87+M$5)-INT((Census!$F87+M$5))&gt;0.5,1,0)),Assumptions!$B$10))</f>
        <v>20937.364541639439</v>
      </c>
      <c r="N87" s="30">
        <f>IF(N$5&gt;$B87,0,INDEX(Decrements!$G$6:$G$58,Census!$G87+N$5-18)/INDEX(Decrements!$G$6:$G$58,Census!$G87-17)*(INDEX(Decrements!$D$6:$D$58,Census!$G87+N$5-18)+IF(N$5=$B87,INDEX(Decrements!$F$6:$F$58,Census!$G87+N$5-18),0)+INDEX(Decrements!$E$6:$E$58,Census!$G87+N$5-18)*IF((Census!$F87+N$5)&gt;=Assumptions!$B$11,1,0))*MIN(15/26*Census!$D87*(1+Assumptions!$B$9)^N$5*(INT((Census!$F87+N$5))+IF((Census!$F87+N$5)-INT((Census!$F87+N$5))&gt;0.5,1,0)),Assumptions!$B$10))</f>
        <v>23922.498832346842</v>
      </c>
      <c r="O87" s="30">
        <f>IF(O$5&gt;$B87,0,INDEX(Decrements!$G$6:$G$58,Census!$G87+O$5-18)/INDEX(Decrements!$G$6:$G$58,Census!$G87-17)*(INDEX(Decrements!$D$6:$D$58,Census!$G87+O$5-18)+IF(O$5=$B87,INDEX(Decrements!$F$6:$F$58,Census!$G87+O$5-18),0)+INDEX(Decrements!$E$6:$E$58,Census!$G87+O$5-18)*IF((Census!$F87+O$5)&gt;=Assumptions!$B$11,1,0))*MIN(15/26*Census!$D87*(1+Assumptions!$B$9)^O$5*(INT((Census!$F87+O$5))+IF((Census!$F87+O$5)-INT((Census!$F87+O$5))&gt;0.5,1,0)),Assumptions!$B$10))</f>
        <v>1516155.4056249335</v>
      </c>
      <c r="P87" s="30">
        <f>IF(P$5&gt;$B87,0,INDEX(Decrements!$G$6:$G$58,Census!$G87+P$5-18)/INDEX(Decrements!$G$6:$G$58,Census!$G87-17)*(INDEX(Decrements!$D$6:$D$58,Census!$G87+P$5-18)+IF(P$5=$B87,INDEX(Decrements!$F$6:$F$58,Census!$G87+P$5-18),0)+INDEX(Decrements!$E$6:$E$58,Census!$G87+P$5-18)*IF((Census!$F87+P$5)&gt;=Assumptions!$B$11,1,0))*MIN(15/26*Census!$D87*(1+Assumptions!$B$9)^P$5*(INT((Census!$F87+P$5))+IF((Census!$F87+P$5)-INT((Census!$F87+P$5))&gt;0.5,1,0)),Assumptions!$B$10))</f>
        <v>0</v>
      </c>
      <c r="Q87" s="30">
        <f>IF(Q$5&gt;$B87,0,INDEX(Decrements!$G$6:$G$58,Census!$G87+Q$5-18)/INDEX(Decrements!$G$6:$G$58,Census!$G87-17)*(INDEX(Decrements!$D$6:$D$58,Census!$G87+Q$5-18)+IF(Q$5=$B87,INDEX(Decrements!$F$6:$F$58,Census!$G87+Q$5-18),0)+INDEX(Decrements!$E$6:$E$58,Census!$G87+Q$5-18)*IF((Census!$F87+Q$5)&gt;=Assumptions!$B$11,1,0))*MIN(15/26*Census!$D87*(1+Assumptions!$B$9)^Q$5*(INT((Census!$F87+Q$5))+IF((Census!$F87+Q$5)-INT((Census!$F87+Q$5))&gt;0.5,1,0)),Assumptions!$B$10))</f>
        <v>0</v>
      </c>
      <c r="R87" s="30">
        <f>IF(R$5&gt;$B87,0,INDEX(Decrements!$G$6:$G$58,Census!$G87+R$5-18)/INDEX(Decrements!$G$6:$G$58,Census!$G87-17)*(INDEX(Decrements!$D$6:$D$58,Census!$G87+R$5-18)+IF(R$5=$B87,INDEX(Decrements!$F$6:$F$58,Census!$G87+R$5-18),0)+INDEX(Decrements!$E$6:$E$58,Census!$G87+R$5-18)*IF((Census!$F87+R$5)&gt;=Assumptions!$B$11,1,0))*MIN(15/26*Census!$D87*(1+Assumptions!$B$9)^R$5*(INT((Census!$F87+R$5))+IF((Census!$F87+R$5)-INT((Census!$F87+R$5))&gt;0.5,1,0)),Assumptions!$B$10))</f>
        <v>0</v>
      </c>
      <c r="S87" s="30">
        <f>IF(S$5&gt;$B87,0,INDEX(Decrements!$G$6:$G$58,Census!$G87+S$5-18)/INDEX(Decrements!$G$6:$G$58,Census!$G87-17)*(INDEX(Decrements!$D$6:$D$58,Census!$G87+S$5-18)+IF(S$5=$B87,INDEX(Decrements!$F$6:$F$58,Census!$G87+S$5-18),0)+INDEX(Decrements!$E$6:$E$58,Census!$G87+S$5-18)*IF((Census!$F87+S$5)&gt;=Assumptions!$B$11,1,0))*MIN(15/26*Census!$D87*(1+Assumptions!$B$9)^S$5*(INT((Census!$F87+S$5))+IF((Census!$F87+S$5)-INT((Census!$F87+S$5))&gt;0.5,1,0)),Assumptions!$B$10))</f>
        <v>0</v>
      </c>
      <c r="T87" s="30">
        <f>IF(T$5&gt;$B87,0,INDEX(Decrements!$G$6:$G$58,Census!$G87+T$5-18)/INDEX(Decrements!$G$6:$G$58,Census!$G87-17)*(INDEX(Decrements!$D$6:$D$58,Census!$G87+T$5-18)+IF(T$5=$B87,INDEX(Decrements!$F$6:$F$58,Census!$G87+T$5-18),0)+INDEX(Decrements!$E$6:$E$58,Census!$G87+T$5-18)*IF((Census!$F87+T$5)&gt;=Assumptions!$B$11,1,0))*MIN(15/26*Census!$D87*(1+Assumptions!$B$9)^T$5*(INT((Census!$F87+T$5))+IF((Census!$F87+T$5)-INT((Census!$F87+T$5))&gt;0.5,1,0)),Assumptions!$B$10))</f>
        <v>0</v>
      </c>
      <c r="U87" s="30">
        <f>IF(U$5&gt;$B87,0,INDEX(Decrements!$G$6:$G$58,Census!$G87+U$5-18)/INDEX(Decrements!$G$6:$G$58,Census!$G87-17)*(INDEX(Decrements!$D$6:$D$58,Census!$G87+U$5-18)+IF(U$5=$B87,INDEX(Decrements!$F$6:$F$58,Census!$G87+U$5-18),0)+INDEX(Decrements!$E$6:$E$58,Census!$G87+U$5-18)*IF((Census!$F87+U$5)&gt;=Assumptions!$B$11,1,0))*MIN(15/26*Census!$D87*(1+Assumptions!$B$9)^U$5*(INT((Census!$F87+U$5))+IF((Census!$F87+U$5)-INT((Census!$F87+U$5))&gt;0.5,1,0)),Assumptions!$B$10))</f>
        <v>0</v>
      </c>
      <c r="V87" s="30">
        <f>IF(V$5&gt;$B87,0,INDEX(Decrements!$G$6:$G$58,Census!$G87+V$5-18)/INDEX(Decrements!$G$6:$G$58,Census!$G87-17)*(INDEX(Decrements!$D$6:$D$58,Census!$G87+V$5-18)+IF(V$5=$B87,INDEX(Decrements!$F$6:$F$58,Census!$G87+V$5-18),0)+INDEX(Decrements!$E$6:$E$58,Census!$G87+V$5-18)*IF((Census!$F87+V$5)&gt;=Assumptions!$B$11,1,0))*MIN(15/26*Census!$D87*(1+Assumptions!$B$9)^V$5*(INT((Census!$F87+V$5))+IF((Census!$F87+V$5)-INT((Census!$F87+V$5))&gt;0.5,1,0)),Assumptions!$B$10))</f>
        <v>0</v>
      </c>
      <c r="W87" s="30">
        <f>IF(W$5&gt;$B87,0,INDEX(Decrements!$G$6:$G$58,Census!$G87+W$5-18)/INDEX(Decrements!$G$6:$G$58,Census!$G87-17)*(INDEX(Decrements!$D$6:$D$58,Census!$G87+W$5-18)+IF(W$5=$B87,INDEX(Decrements!$F$6:$F$58,Census!$G87+W$5-18),0)+INDEX(Decrements!$E$6:$E$58,Census!$G87+W$5-18)*IF((Census!$F87+W$5)&gt;=Assumptions!$B$11,1,0))*MIN(15/26*Census!$D87*(1+Assumptions!$B$9)^W$5*(INT((Census!$F87+W$5))+IF((Census!$F87+W$5)-INT((Census!$F87+W$5))&gt;0.5,1,0)),Assumptions!$B$10))</f>
        <v>0</v>
      </c>
      <c r="X87" s="30">
        <f>IF(X$5&gt;$B87,0,INDEX(Decrements!$G$6:$G$58,Census!$G87+X$5-18)/INDEX(Decrements!$G$6:$G$58,Census!$G87-17)*(INDEX(Decrements!$D$6:$D$58,Census!$G87+X$5-18)+IF(X$5=$B87,INDEX(Decrements!$F$6:$F$58,Census!$G87+X$5-18),0)+INDEX(Decrements!$E$6:$E$58,Census!$G87+X$5-18)*IF((Census!$F87+X$5)&gt;=Assumptions!$B$11,1,0))*MIN(15/26*Census!$D87*(1+Assumptions!$B$9)^X$5*(INT((Census!$F87+X$5))+IF((Census!$F87+X$5)-INT((Census!$F87+X$5))&gt;0.5,1,0)),Assumptions!$B$10))</f>
        <v>0</v>
      </c>
      <c r="Y87" s="30">
        <f>IF(Y$5&gt;$B87,0,INDEX(Decrements!$G$6:$G$58,Census!$G87+Y$5-18)/INDEX(Decrements!$G$6:$G$58,Census!$G87-17)*(INDEX(Decrements!$D$6:$D$58,Census!$G87+Y$5-18)+IF(Y$5=$B87,INDEX(Decrements!$F$6:$F$58,Census!$G87+Y$5-18),0)+INDEX(Decrements!$E$6:$E$58,Census!$G87+Y$5-18)*IF((Census!$F87+Y$5)&gt;=Assumptions!$B$11,1,0))*MIN(15/26*Census!$D87*(1+Assumptions!$B$9)^Y$5*(INT((Census!$F87+Y$5))+IF((Census!$F87+Y$5)-INT((Census!$F87+Y$5))&gt;0.5,1,0)),Assumptions!$B$10))</f>
        <v>0</v>
      </c>
      <c r="Z87" s="30">
        <f>IF(Z$5&gt;$B87,0,INDEX(Decrements!$G$6:$G$58,Census!$G87+Z$5-18)/INDEX(Decrements!$G$6:$G$58,Census!$G87-17)*(INDEX(Decrements!$D$6:$D$58,Census!$G87+Z$5-18)+IF(Z$5=$B87,INDEX(Decrements!$F$6:$F$58,Census!$G87+Z$5-18),0)+INDEX(Decrements!$E$6:$E$58,Census!$G87+Z$5-18)*IF((Census!$F87+Z$5)&gt;=Assumptions!$B$11,1,0))*MIN(15/26*Census!$D87*(1+Assumptions!$B$9)^Z$5*(INT((Census!$F87+Z$5))+IF((Census!$F87+Z$5)-INT((Census!$F87+Z$5))&gt;0.5,1,0)),Assumptions!$B$10))</f>
        <v>0</v>
      </c>
      <c r="AA87" s="30">
        <f>IF(AA$5&gt;$B87,0,INDEX(Decrements!$G$6:$G$58,Census!$G87+AA$5-18)/INDEX(Decrements!$G$6:$G$58,Census!$G87-17)*(INDEX(Decrements!$D$6:$D$58,Census!$G87+AA$5-18)+IF(AA$5=$B87,INDEX(Decrements!$F$6:$F$58,Census!$G87+AA$5-18),0)+INDEX(Decrements!$E$6:$E$58,Census!$G87+AA$5-18)*IF((Census!$F87+AA$5)&gt;=Assumptions!$B$11,1,0))*MIN(15/26*Census!$D87*(1+Assumptions!$B$9)^AA$5*(INT((Census!$F87+AA$5))+IF((Census!$F87+AA$5)-INT((Census!$F87+AA$5))&gt;0.5,1,0)),Assumptions!$B$10))</f>
        <v>0</v>
      </c>
      <c r="AB87" s="30">
        <f>IF(AB$5&gt;$B87,0,INDEX(Decrements!$G$6:$G$58,Census!$G87+AB$5-18)/INDEX(Decrements!$G$6:$G$58,Census!$G87-17)*(INDEX(Decrements!$D$6:$D$58,Census!$G87+AB$5-18)+IF(AB$5=$B87,INDEX(Decrements!$F$6:$F$58,Census!$G87+AB$5-18),0)+INDEX(Decrements!$E$6:$E$58,Census!$G87+AB$5-18)*IF((Census!$F87+AB$5)&gt;=Assumptions!$B$11,1,0))*MIN(15/26*Census!$D87*(1+Assumptions!$B$9)^AB$5*(INT((Census!$F87+AB$5))+IF((Census!$F87+AB$5)-INT((Census!$F87+AB$5))&gt;0.5,1,0)),Assumptions!$B$10))</f>
        <v>0</v>
      </c>
      <c r="AC87" s="30">
        <f>IF(AC$5&gt;$B87,0,INDEX(Decrements!$G$6:$G$58,Census!$G87+AC$5-18)/INDEX(Decrements!$G$6:$G$58,Census!$G87-17)*(INDEX(Decrements!$D$6:$D$58,Census!$G87+AC$5-18)+IF(AC$5=$B87,INDEX(Decrements!$F$6:$F$58,Census!$G87+AC$5-18),0)+INDEX(Decrements!$E$6:$E$58,Census!$G87+AC$5-18)*IF((Census!$F87+AC$5)&gt;=Assumptions!$B$11,1,0))*MIN(15/26*Census!$D87*(1+Assumptions!$B$9)^AC$5*(INT((Census!$F87+AC$5))+IF((Census!$F87+AC$5)-INT((Census!$F87+AC$5))&gt;0.5,1,0)),Assumptions!$B$10))</f>
        <v>0</v>
      </c>
      <c r="AD87" s="30">
        <f>IF(AD$5&gt;$B87,0,INDEX(Decrements!$G$6:$G$58,Census!$G87+AD$5-18)/INDEX(Decrements!$G$6:$G$58,Census!$G87-17)*(INDEX(Decrements!$D$6:$D$58,Census!$G87+AD$5-18)+IF(AD$5=$B87,INDEX(Decrements!$F$6:$F$58,Census!$G87+AD$5-18),0)+INDEX(Decrements!$E$6:$E$58,Census!$G87+AD$5-18)*IF((Census!$F87+AD$5)&gt;=Assumptions!$B$11,1,0))*MIN(15/26*Census!$D87*(1+Assumptions!$B$9)^AD$5*(INT((Census!$F87+AD$5))+IF((Census!$F87+AD$5)-INT((Census!$F87+AD$5))&gt;0.5,1,0)),Assumptions!$B$10))</f>
        <v>0</v>
      </c>
      <c r="AE87" s="30">
        <f>IF(AE$5&gt;$B87,0,INDEX(Decrements!$G$6:$G$58,Census!$G87+AE$5-18)/INDEX(Decrements!$G$6:$G$58,Census!$G87-17)*(INDEX(Decrements!$D$6:$D$58,Census!$G87+AE$5-18)+IF(AE$5=$B87,INDEX(Decrements!$F$6:$F$58,Census!$G87+AE$5-18),0)+INDEX(Decrements!$E$6:$E$58,Census!$G87+AE$5-18)*IF((Census!$F87+AE$5)&gt;=Assumptions!$B$11,1,0))*MIN(15/26*Census!$D87*(1+Assumptions!$B$9)^AE$5*(INT((Census!$F87+AE$5))+IF((Census!$F87+AE$5)-INT((Census!$F87+AE$5))&gt;0.5,1,0)),Assumptions!$B$10))</f>
        <v>0</v>
      </c>
      <c r="AF87" s="30">
        <f>IF(AF$5&gt;$B87,0,INDEX(Decrements!$G$6:$G$58,Census!$G87+AF$5-18)/INDEX(Decrements!$G$6:$G$58,Census!$G87-17)*(INDEX(Decrements!$D$6:$D$58,Census!$G87+AF$5-18)+IF(AF$5=$B87,INDEX(Decrements!$F$6:$F$58,Census!$G87+AF$5-18),0)+INDEX(Decrements!$E$6:$E$58,Census!$G87+AF$5-18)*IF((Census!$F87+AF$5)&gt;=Assumptions!$B$11,1,0))*MIN(15/26*Census!$D87*(1+Assumptions!$B$9)^AF$5*(INT((Census!$F87+AF$5))+IF((Census!$F87+AF$5)-INT((Census!$F87+AF$5))&gt;0.5,1,0)),Assumptions!$B$10))</f>
        <v>0</v>
      </c>
      <c r="AG87" s="30">
        <f>IF(AG$5&gt;$B87,0,INDEX(Decrements!$G$6:$G$58,Census!$G87+AG$5-18)/INDEX(Decrements!$G$6:$G$58,Census!$G87-17)*(INDEX(Decrements!$D$6:$D$58,Census!$G87+AG$5-18)+IF(AG$5=$B87,INDEX(Decrements!$F$6:$F$58,Census!$G87+AG$5-18),0)+INDEX(Decrements!$E$6:$E$58,Census!$G87+AG$5-18)*IF((Census!$F87+AG$5)&gt;=Assumptions!$B$11,1,0))*MIN(15/26*Census!$D87*(1+Assumptions!$B$9)^AG$5*(INT((Census!$F87+AG$5))+IF((Census!$F87+AG$5)-INT((Census!$F87+AG$5))&gt;0.5,1,0)),Assumptions!$B$10))</f>
        <v>0</v>
      </c>
      <c r="AH87" s="30">
        <f>IF(AH$5&gt;$B87,0,INDEX(Decrements!$G$6:$G$58,Census!$G87+AH$5-18)/INDEX(Decrements!$G$6:$G$58,Census!$G87-17)*(INDEX(Decrements!$D$6:$D$58,Census!$G87+AH$5-18)+IF(AH$5=$B87,INDEX(Decrements!$F$6:$F$58,Census!$G87+AH$5-18),0)+INDEX(Decrements!$E$6:$E$58,Census!$G87+AH$5-18)*IF((Census!$F87+AH$5)&gt;=Assumptions!$B$11,1,0))*MIN(15/26*Census!$D87*(1+Assumptions!$B$9)^AH$5*(INT((Census!$F87+AH$5))+IF((Census!$F87+AH$5)-INT((Census!$F87+AH$5))&gt;0.5,1,0)),Assumptions!$B$10))</f>
        <v>0</v>
      </c>
      <c r="AI87" s="30">
        <f>IF(AI$5&gt;$B87,0,INDEX(Decrements!$G$6:$G$58,Census!$G87+AI$5-18)/INDEX(Decrements!$G$6:$G$58,Census!$G87-17)*(INDEX(Decrements!$D$6:$D$58,Census!$G87+AI$5-18)+IF(AI$5=$B87,INDEX(Decrements!$F$6:$F$58,Census!$G87+AI$5-18),0)+INDEX(Decrements!$E$6:$E$58,Census!$G87+AI$5-18)*IF((Census!$F87+AI$5)&gt;=Assumptions!$B$11,1,0))*MIN(15/26*Census!$D87*(1+Assumptions!$B$9)^AI$5*(INT((Census!$F87+AI$5))+IF((Census!$F87+AI$5)-INT((Census!$F87+AI$5))&gt;0.5,1,0)),Assumptions!$B$10))</f>
        <v>0</v>
      </c>
      <c r="AJ87" s="30">
        <f>IF(AJ$5&gt;$B87,0,INDEX(Decrements!$G$6:$G$58,Census!$G87+AJ$5-18)/INDEX(Decrements!$G$6:$G$58,Census!$G87-17)*(INDEX(Decrements!$D$6:$D$58,Census!$G87+AJ$5-18)+IF(AJ$5=$B87,INDEX(Decrements!$F$6:$F$58,Census!$G87+AJ$5-18),0)+INDEX(Decrements!$E$6:$E$58,Census!$G87+AJ$5-18)*IF((Census!$F87+AJ$5)&gt;=Assumptions!$B$11,1,0))*MIN(15/26*Census!$D87*(1+Assumptions!$B$9)^AJ$5*(INT((Census!$F87+AJ$5))+IF((Census!$F87+AJ$5)-INT((Census!$F87+AJ$5))&gt;0.5,1,0)),Assumptions!$B$10))</f>
        <v>0</v>
      </c>
      <c r="AK87" s="30">
        <f>IF(AK$5&gt;$B87,0,INDEX(Decrements!$G$6:$G$58,Census!$G87+AK$5-18)/INDEX(Decrements!$G$6:$G$58,Census!$G87-17)*(INDEX(Decrements!$D$6:$D$58,Census!$G87+AK$5-18)+IF(AK$5=$B87,INDEX(Decrements!$F$6:$F$58,Census!$G87+AK$5-18),0)+INDEX(Decrements!$E$6:$E$58,Census!$G87+AK$5-18)*IF((Census!$F87+AK$5)&gt;=Assumptions!$B$11,1,0))*MIN(15/26*Census!$D87*(1+Assumptions!$B$9)^AK$5*(INT((Census!$F87+AK$5))+IF((Census!$F87+AK$5)-INT((Census!$F87+AK$5))&gt;0.5,1,0)),Assumptions!$B$10))</f>
        <v>0</v>
      </c>
      <c r="AL87" s="30">
        <f>IF(AL$5&gt;$B87,0,INDEX(Decrements!$G$6:$G$58,Census!$G87+AL$5-18)/INDEX(Decrements!$G$6:$G$58,Census!$G87-17)*(INDEX(Decrements!$D$6:$D$58,Census!$G87+AL$5-18)+IF(AL$5=$B87,INDEX(Decrements!$F$6:$F$58,Census!$G87+AL$5-18),0)+INDEX(Decrements!$E$6:$E$58,Census!$G87+AL$5-18)*IF((Census!$F87+AL$5)&gt;=Assumptions!$B$11,1,0))*MIN(15/26*Census!$D87*(1+Assumptions!$B$9)^AL$5*(INT((Census!$F87+AL$5))+IF((Census!$F87+AL$5)-INT((Census!$F87+AL$5))&gt;0.5,1,0)),Assumptions!$B$10))</f>
        <v>0</v>
      </c>
      <c r="AM87" s="30">
        <f>IF(AM$5&gt;$B87,0,INDEX(Decrements!$G$6:$G$58,Census!$G87+AM$5-18)/INDEX(Decrements!$G$6:$G$58,Census!$G87-17)*(INDEX(Decrements!$D$6:$D$58,Census!$G87+AM$5-18)+IF(AM$5=$B87,INDEX(Decrements!$F$6:$F$58,Census!$G87+AM$5-18),0)+INDEX(Decrements!$E$6:$E$58,Census!$G87+AM$5-18)*IF((Census!$F87+AM$5)&gt;=Assumptions!$B$11,1,0))*MIN(15/26*Census!$D87*(1+Assumptions!$B$9)^AM$5*(INT((Census!$F87+AM$5))+IF((Census!$F87+AM$5)-INT((Census!$F87+AM$5))&gt;0.5,1,0)),Assumptions!$B$10))</f>
        <v>0</v>
      </c>
      <c r="AN87" s="30">
        <f>IF(AN$5&gt;$B87,0,INDEX(Decrements!$G$6:$G$58,Census!$G87+AN$5-18)/INDEX(Decrements!$G$6:$G$58,Census!$G87-17)*(INDEX(Decrements!$D$6:$D$58,Census!$G87+AN$5-18)+IF(AN$5=$B87,INDEX(Decrements!$F$6:$F$58,Census!$G87+AN$5-18),0)+INDEX(Decrements!$E$6:$E$58,Census!$G87+AN$5-18)*IF((Census!$F87+AN$5)&gt;=Assumptions!$B$11,1,0))*MIN(15/26*Census!$D87*(1+Assumptions!$B$9)^AN$5*(INT((Census!$F87+AN$5))+IF((Census!$F87+AN$5)-INT((Census!$F87+AN$5))&gt;0.5,1,0)),Assumptions!$B$10))</f>
        <v>0</v>
      </c>
      <c r="AO87" s="30">
        <f>IF(AO$5&gt;$B87,0,INDEX(Decrements!$G$6:$G$58,Census!$G87+AO$5-18)/INDEX(Decrements!$G$6:$G$58,Census!$G87-17)*(INDEX(Decrements!$D$6:$D$58,Census!$G87+AO$5-18)+IF(AO$5=$B87,INDEX(Decrements!$F$6:$F$58,Census!$G87+AO$5-18),0)+INDEX(Decrements!$E$6:$E$58,Census!$G87+AO$5-18)*IF((Census!$F87+AO$5)&gt;=Assumptions!$B$11,1,0))*MIN(15/26*Census!$D87*(1+Assumptions!$B$9)^AO$5*(INT((Census!$F87+AO$5))+IF((Census!$F87+AO$5)-INT((Census!$F87+AO$5))&gt;0.5,1,0)),Assumptions!$B$10))</f>
        <v>0</v>
      </c>
      <c r="AP87" s="30">
        <f>IF(AP$5&gt;$B87,0,INDEX(Decrements!$G$6:$G$58,Census!$G87+AP$5-18)/INDEX(Decrements!$G$6:$G$58,Census!$G87-17)*(INDEX(Decrements!$D$6:$D$58,Census!$G87+AP$5-18)+IF(AP$5=$B87,INDEX(Decrements!$F$6:$F$58,Census!$G87+AP$5-18),0)+INDEX(Decrements!$E$6:$E$58,Census!$G87+AP$5-18)*IF((Census!$F87+AP$5)&gt;=Assumptions!$B$11,1,0))*MIN(15/26*Census!$D87*(1+Assumptions!$B$9)^AP$5*(INT((Census!$F87+AP$5))+IF((Census!$F87+AP$5)-INT((Census!$F87+AP$5))&gt;0.5,1,0)),Assumptions!$B$10))</f>
        <v>0</v>
      </c>
      <c r="AQ87" s="30">
        <f>IF(AQ$5&gt;$B87,0,INDEX(Decrements!$G$6:$G$58,Census!$G87+AQ$5-18)/INDEX(Decrements!$G$6:$G$58,Census!$G87-17)*(INDEX(Decrements!$D$6:$D$58,Census!$G87+AQ$5-18)+IF(AQ$5=$B87,INDEX(Decrements!$F$6:$F$58,Census!$G87+AQ$5-18),0)+INDEX(Decrements!$E$6:$E$58,Census!$G87+AQ$5-18)*IF((Census!$F87+AQ$5)&gt;=Assumptions!$B$11,1,0))*MIN(15/26*Census!$D87*(1+Assumptions!$B$9)^AQ$5*(INT((Census!$F87+AQ$5))+IF((Census!$F87+AQ$5)-INT((Census!$F87+AQ$5))&gt;0.5,1,0)),Assumptions!$B$10))</f>
        <v>0</v>
      </c>
      <c r="AR87" s="30">
        <f>IF(AR$5&gt;$B87,0,INDEX(Decrements!$G$6:$G$58,Census!$G87+AR$5-18)/INDEX(Decrements!$G$6:$G$58,Census!$G87-17)*(INDEX(Decrements!$D$6:$D$58,Census!$G87+AR$5-18)+IF(AR$5=$B87,INDEX(Decrements!$F$6:$F$58,Census!$G87+AR$5-18),0)+INDEX(Decrements!$E$6:$E$58,Census!$G87+AR$5-18)*IF((Census!$F87+AR$5)&gt;=Assumptions!$B$11,1,0))*MIN(15/26*Census!$D87*(1+Assumptions!$B$9)^AR$5*(INT((Census!$F87+AR$5))+IF((Census!$F87+AR$5)-INT((Census!$F87+AR$5))&gt;0.5,1,0)),Assumptions!$B$10))</f>
        <v>0</v>
      </c>
      <c r="AS87" s="30">
        <f>IF(AS$5&gt;$B87,0,INDEX(Decrements!$G$6:$G$58,Census!$G87+AS$5-18)/INDEX(Decrements!$G$6:$G$58,Census!$G87-17)*(INDEX(Decrements!$D$6:$D$58,Census!$G87+AS$5-18)+IF(AS$5=$B87,INDEX(Decrements!$F$6:$F$58,Census!$G87+AS$5-18),0)+INDEX(Decrements!$E$6:$E$58,Census!$G87+AS$5-18)*IF((Census!$F87+AS$5)&gt;=Assumptions!$B$11,1,0))*MIN(15/26*Census!$D87*(1+Assumptions!$B$9)^AS$5*(INT((Census!$F87+AS$5))+IF((Census!$F87+AS$5)-INT((Census!$F87+AS$5))&gt;0.5,1,0)),Assumptions!$B$10))</f>
        <v>0</v>
      </c>
      <c r="AT87" s="30">
        <f>IF(AT$5&gt;$B87,0,INDEX(Decrements!$G$6:$G$58,Census!$G87+AT$5-18)/INDEX(Decrements!$G$6:$G$58,Census!$G87-17)*(INDEX(Decrements!$D$6:$D$58,Census!$G87+AT$5-18)+IF(AT$5=$B87,INDEX(Decrements!$F$6:$F$58,Census!$G87+AT$5-18),0)+INDEX(Decrements!$E$6:$E$58,Census!$G87+AT$5-18)*IF((Census!$F87+AT$5)&gt;=Assumptions!$B$11,1,0))*MIN(15/26*Census!$D87*(1+Assumptions!$B$9)^AT$5*(INT((Census!$F87+AT$5))+IF((Census!$F87+AT$5)-INT((Census!$F87+AT$5))&gt;0.5,1,0)),Assumptions!$B$10))</f>
        <v>0</v>
      </c>
      <c r="AU87" s="30">
        <f>IF(AU$5&gt;$B87,0,INDEX(Decrements!$G$6:$G$58,Census!$G87+AU$5-18)/INDEX(Decrements!$G$6:$G$58,Census!$G87-17)*(INDEX(Decrements!$D$6:$D$58,Census!$G87+AU$5-18)+IF(AU$5=$B87,INDEX(Decrements!$F$6:$F$58,Census!$G87+AU$5-18),0)+INDEX(Decrements!$E$6:$E$58,Census!$G87+AU$5-18)*IF((Census!$F87+AU$5)&gt;=Assumptions!$B$11,1,0))*MIN(15/26*Census!$D87*(1+Assumptions!$B$9)^AU$5*(INT((Census!$F87+AU$5))+IF((Census!$F87+AU$5)-INT((Census!$F87+AU$5))&gt;0.5,1,0)),Assumptions!$B$10))</f>
        <v>0</v>
      </c>
    </row>
    <row r="88" spans="1:47" x14ac:dyDescent="0.3">
      <c r="A88" s="10" t="str">
        <f>Census!A88</f>
        <v>E083</v>
      </c>
      <c r="B88" s="29">
        <f>Census!H88</f>
        <v>26</v>
      </c>
      <c r="C88" s="30">
        <f>IF(C$5&gt;$B88,0,INDEX(Decrements!$G$6:$G$58,Census!$G88+C$5-18)/INDEX(Decrements!$G$6:$G$58,Census!$G88-17)*(INDEX(Decrements!$D$6:$D$58,Census!$G88+C$5-18)+IF(C$5=$B88,INDEX(Decrements!$F$6:$F$58,Census!$G88+C$5-18),0)+INDEX(Decrements!$E$6:$E$58,Census!$G88+C$5-18)*IF((Census!$F88+C$5)&gt;=Assumptions!$B$11,1,0))*MIN(15/26*Census!$D88*(1+Assumptions!$B$9)^C$5*(INT((Census!$F88+C$5))+IF((Census!$F88+C$5)-INT((Census!$F88+C$5))&gt;0.5,1,0)),Assumptions!$B$10))</f>
        <v>10600.298543175839</v>
      </c>
      <c r="D88" s="30">
        <f>IF(D$5&gt;$B88,0,INDEX(Decrements!$G$6:$G$58,Census!$G88+D$5-18)/INDEX(Decrements!$G$6:$G$58,Census!$G88-17)*(INDEX(Decrements!$D$6:$D$58,Census!$G88+D$5-18)+IF(D$5=$B88,INDEX(Decrements!$F$6:$F$58,Census!$G88+D$5-18),0)+INDEX(Decrements!$E$6:$E$58,Census!$G88+D$5-18)*IF((Census!$F88+D$5)&gt;=Assumptions!$B$11,1,0))*MIN(15/26*Census!$D88*(1+Assumptions!$B$9)^D$5*(INT((Census!$F88+D$5))+IF((Census!$F88+D$5)-INT((Census!$F88+D$5))&gt;0.5,1,0)),Assumptions!$B$10))</f>
        <v>8917.4592512103463</v>
      </c>
      <c r="E88" s="30">
        <f>IF(E$5&gt;$B88,0,INDEX(Decrements!$G$6:$G$58,Census!$G88+E$5-18)/INDEX(Decrements!$G$6:$G$58,Census!$G88-17)*(INDEX(Decrements!$D$6:$D$58,Census!$G88+E$5-18)+IF(E$5=$B88,INDEX(Decrements!$F$6:$F$58,Census!$G88+E$5-18),0)+INDEX(Decrements!$E$6:$E$58,Census!$G88+E$5-18)*IF((Census!$F88+E$5)&gt;=Assumptions!$B$11,1,0))*MIN(15/26*Census!$D88*(1+Assumptions!$B$9)^E$5*(INT((Census!$F88+E$5))+IF((Census!$F88+E$5)-INT((Census!$F88+E$5))&gt;0.5,1,0)),Assumptions!$B$10))</f>
        <v>10333.810593269842</v>
      </c>
      <c r="F88" s="30">
        <f>IF(F$5&gt;$B88,0,INDEX(Decrements!$G$6:$G$58,Census!$G88+F$5-18)/INDEX(Decrements!$G$6:$G$58,Census!$G88-17)*(INDEX(Decrements!$D$6:$D$58,Census!$G88+F$5-18)+IF(F$5=$B88,INDEX(Decrements!$F$6:$F$58,Census!$G88+F$5-18),0)+INDEX(Decrements!$E$6:$E$58,Census!$G88+F$5-18)*IF((Census!$F88+F$5)&gt;=Assumptions!$B$11,1,0))*MIN(15/26*Census!$D88*(1+Assumptions!$B$9)^F$5*(INT((Census!$F88+F$5))+IF((Census!$F88+F$5)-INT((Census!$F88+F$5))&gt;0.5,1,0)),Assumptions!$B$10))</f>
        <v>11730.816586231731</v>
      </c>
      <c r="G88" s="30">
        <f>IF(G$5&gt;$B88,0,INDEX(Decrements!$G$6:$G$58,Census!$G88+G$5-18)/INDEX(Decrements!$G$6:$G$58,Census!$G88-17)*(INDEX(Decrements!$D$6:$D$58,Census!$G88+G$5-18)+IF(G$5=$B88,INDEX(Decrements!$F$6:$F$58,Census!$G88+G$5-18),0)+INDEX(Decrements!$E$6:$E$58,Census!$G88+G$5-18)*IF((Census!$F88+G$5)&gt;=Assumptions!$B$11,1,0))*MIN(15/26*Census!$D88*(1+Assumptions!$B$9)^G$5*(INT((Census!$F88+G$5))+IF((Census!$F88+G$5)-INT((Census!$F88+G$5))&gt;0.5,1,0)),Assumptions!$B$10))</f>
        <v>13108.713311246938</v>
      </c>
      <c r="H88" s="30">
        <f>IF(H$5&gt;$B88,0,INDEX(Decrements!$G$6:$G$58,Census!$G88+H$5-18)/INDEX(Decrements!$G$6:$G$58,Census!$G88-17)*(INDEX(Decrements!$D$6:$D$58,Census!$G88+H$5-18)+IF(H$5=$B88,INDEX(Decrements!$F$6:$F$58,Census!$G88+H$5-18),0)+INDEX(Decrements!$E$6:$E$58,Census!$G88+H$5-18)*IF((Census!$F88+H$5)&gt;=Assumptions!$B$11,1,0))*MIN(15/26*Census!$D88*(1+Assumptions!$B$9)^H$5*(INT((Census!$F88+H$5))+IF((Census!$F88+H$5)-INT((Census!$F88+H$5))&gt;0.5,1,0)),Assumptions!$B$10))</f>
        <v>14467.738187341549</v>
      </c>
      <c r="I88" s="30">
        <f>IF(I$5&gt;$B88,0,INDEX(Decrements!$G$6:$G$58,Census!$G88+I$5-18)/INDEX(Decrements!$G$6:$G$58,Census!$G88-17)*(INDEX(Decrements!$D$6:$D$58,Census!$G88+I$5-18)+IF(I$5=$B88,INDEX(Decrements!$F$6:$F$58,Census!$G88+I$5-18),0)+INDEX(Decrements!$E$6:$E$58,Census!$G88+I$5-18)*IF((Census!$F88+I$5)&gt;=Assumptions!$B$11,1,0))*MIN(15/26*Census!$D88*(1+Assumptions!$B$9)^I$5*(INT((Census!$F88+I$5))+IF((Census!$F88+I$5)-INT((Census!$F88+I$5))&gt;0.5,1,0)),Assumptions!$B$10))</f>
        <v>9978.5026953998713</v>
      </c>
      <c r="J88" s="30">
        <f>IF(J$5&gt;$B88,0,INDEX(Decrements!$G$6:$G$58,Census!$G88+J$5-18)/INDEX(Decrements!$G$6:$G$58,Census!$G88-17)*(INDEX(Decrements!$D$6:$D$58,Census!$G88+J$5-18)+IF(J$5=$B88,INDEX(Decrements!$F$6:$F$58,Census!$G88+J$5-18),0)+INDEX(Decrements!$E$6:$E$58,Census!$G88+J$5-18)*IF((Census!$F88+J$5)&gt;=Assumptions!$B$11,1,0))*MIN(15/26*Census!$D88*(1+Assumptions!$B$9)^J$5*(INT((Census!$F88+J$5))+IF((Census!$F88+J$5)-INT((Census!$F88+J$5))&gt;0.5,1,0)),Assumptions!$B$10))</f>
        <v>11173.197594417641</v>
      </c>
      <c r="K88" s="30">
        <f>IF(K$5&gt;$B88,0,INDEX(Decrements!$G$6:$G$58,Census!$G88+K$5-18)/INDEX(Decrements!$G$6:$G$58,Census!$G88-17)*(INDEX(Decrements!$D$6:$D$58,Census!$G88+K$5-18)+IF(K$5=$B88,INDEX(Decrements!$F$6:$F$58,Census!$G88+K$5-18),0)+INDEX(Decrements!$E$6:$E$58,Census!$G88+K$5-18)*IF((Census!$F88+K$5)&gt;=Assumptions!$B$11,1,0))*MIN(15/26*Census!$D88*(1+Assumptions!$B$9)^K$5*(INT((Census!$F88+K$5))+IF((Census!$F88+K$5)-INT((Census!$F88+K$5))&gt;0.5,1,0)),Assumptions!$B$10))</f>
        <v>12425.002599262945</v>
      </c>
      <c r="L88" s="30">
        <f>IF(L$5&gt;$B88,0,INDEX(Decrements!$G$6:$G$58,Census!$G88+L$5-18)/INDEX(Decrements!$G$6:$G$58,Census!$G88-17)*(INDEX(Decrements!$D$6:$D$58,Census!$G88+L$5-18)+IF(L$5=$B88,INDEX(Decrements!$F$6:$F$58,Census!$G88+L$5-18),0)+INDEX(Decrements!$E$6:$E$58,Census!$G88+L$5-18)*IF((Census!$F88+L$5)&gt;=Assumptions!$B$11,1,0))*MIN(15/26*Census!$D88*(1+Assumptions!$B$9)^L$5*(INT((Census!$F88+L$5))+IF((Census!$F88+L$5)-INT((Census!$F88+L$5))&gt;0.5,1,0)),Assumptions!$B$10))</f>
        <v>13736.447813802684</v>
      </c>
      <c r="M88" s="30">
        <f>IF(M$5&gt;$B88,0,INDEX(Decrements!$G$6:$G$58,Census!$G88+M$5-18)/INDEX(Decrements!$G$6:$G$58,Census!$G88-17)*(INDEX(Decrements!$D$6:$D$58,Census!$G88+M$5-18)+IF(M$5=$B88,INDEX(Decrements!$F$6:$F$58,Census!$G88+M$5-18),0)+INDEX(Decrements!$E$6:$E$58,Census!$G88+M$5-18)*IF((Census!$F88+M$5)&gt;=Assumptions!$B$11,1,0))*MIN(15/26*Census!$D88*(1+Assumptions!$B$9)^M$5*(INT((Census!$F88+M$5))+IF((Census!$F88+M$5)-INT((Census!$F88+M$5))&gt;0.5,1,0)),Assumptions!$B$10))</f>
        <v>15110.211189662999</v>
      </c>
      <c r="N88" s="30">
        <f>IF(N$5&gt;$B88,0,INDEX(Decrements!$G$6:$G$58,Census!$G88+N$5-18)/INDEX(Decrements!$G$6:$G$58,Census!$G88-17)*(INDEX(Decrements!$D$6:$D$58,Census!$G88+N$5-18)+IF(N$5=$B88,INDEX(Decrements!$F$6:$F$58,Census!$G88+N$5-18),0)+INDEX(Decrements!$E$6:$E$58,Census!$G88+N$5-18)*IF((Census!$F88+N$5)&gt;=Assumptions!$B$11,1,0))*MIN(15/26*Census!$D88*(1+Assumptions!$B$9)^N$5*(INT((Census!$F88+N$5))+IF((Census!$F88+N$5)-INT((Census!$F88+N$5))&gt;0.5,1,0)),Assumptions!$B$10))</f>
        <v>10175.673523156971</v>
      </c>
      <c r="O88" s="30">
        <f>IF(O$5&gt;$B88,0,INDEX(Decrements!$G$6:$G$58,Census!$G88+O$5-18)/INDEX(Decrements!$G$6:$G$58,Census!$G88-17)*(INDEX(Decrements!$D$6:$D$58,Census!$G88+O$5-18)+IF(O$5=$B88,INDEX(Decrements!$F$6:$F$58,Census!$G88+O$5-18),0)+INDEX(Decrements!$E$6:$E$58,Census!$G88+O$5-18)*IF((Census!$F88+O$5)&gt;=Assumptions!$B$11,1,0))*MIN(15/26*Census!$D88*(1+Assumptions!$B$9)^O$5*(INT((Census!$F88+O$5))+IF((Census!$F88+O$5)-INT((Census!$F88+O$5))&gt;0.5,1,0)),Assumptions!$B$10))</f>
        <v>11356.97516080155</v>
      </c>
      <c r="P88" s="30">
        <f>IF(P$5&gt;$B88,0,INDEX(Decrements!$G$6:$G$58,Census!$G88+P$5-18)/INDEX(Decrements!$G$6:$G$58,Census!$G88-17)*(INDEX(Decrements!$D$6:$D$58,Census!$G88+P$5-18)+IF(P$5=$B88,INDEX(Decrements!$F$6:$F$58,Census!$G88+P$5-18),0)+INDEX(Decrements!$E$6:$E$58,Census!$G88+P$5-18)*IF((Census!$F88+P$5)&gt;=Assumptions!$B$11,1,0))*MIN(15/26*Census!$D88*(1+Assumptions!$B$9)^P$5*(INT((Census!$F88+P$5))+IF((Census!$F88+P$5)-INT((Census!$F88+P$5))&gt;0.5,1,0)),Assumptions!$B$10))</f>
        <v>12635.156772841878</v>
      </c>
      <c r="Q88" s="30">
        <f>IF(Q$5&gt;$B88,0,INDEX(Decrements!$G$6:$G$58,Census!$G88+Q$5-18)/INDEX(Decrements!$G$6:$G$58,Census!$G88-17)*(INDEX(Decrements!$D$6:$D$58,Census!$G88+Q$5-18)+IF(Q$5=$B88,INDEX(Decrements!$F$6:$F$58,Census!$G88+Q$5-18),0)+INDEX(Decrements!$E$6:$E$58,Census!$G88+Q$5-18)*IF((Census!$F88+Q$5)&gt;=Assumptions!$B$11,1,0))*MIN(15/26*Census!$D88*(1+Assumptions!$B$9)^Q$5*(INT((Census!$F88+Q$5))+IF((Census!$F88+Q$5)-INT((Census!$F88+Q$5))&gt;0.5,1,0)),Assumptions!$B$10))</f>
        <v>14018.130557717725</v>
      </c>
      <c r="R88" s="30">
        <f>IF(R$5&gt;$B88,0,INDEX(Decrements!$G$6:$G$58,Census!$G88+R$5-18)/INDEX(Decrements!$G$6:$G$58,Census!$G88-17)*(INDEX(Decrements!$D$6:$D$58,Census!$G88+R$5-18)+IF(R$5=$B88,INDEX(Decrements!$F$6:$F$58,Census!$G88+R$5-18),0)+INDEX(Decrements!$E$6:$E$58,Census!$G88+R$5-18)*IF((Census!$F88+R$5)&gt;=Assumptions!$B$11,1,0))*MIN(15/26*Census!$D88*(1+Assumptions!$B$9)^R$5*(INT((Census!$F88+R$5))+IF((Census!$F88+R$5)-INT((Census!$F88+R$5))&gt;0.5,1,0)),Assumptions!$B$10))</f>
        <v>15514.566800372068</v>
      </c>
      <c r="S88" s="30">
        <f>IF(S$5&gt;$B88,0,INDEX(Decrements!$G$6:$G$58,Census!$G88+S$5-18)/INDEX(Decrements!$G$6:$G$58,Census!$G88-17)*(INDEX(Decrements!$D$6:$D$58,Census!$G88+S$5-18)+IF(S$5=$B88,INDEX(Decrements!$F$6:$F$58,Census!$G88+S$5-18),0)+INDEX(Decrements!$E$6:$E$58,Census!$G88+S$5-18)*IF((Census!$F88+S$5)&gt;=Assumptions!$B$11,1,0))*MIN(15/26*Census!$D88*(1+Assumptions!$B$9)^S$5*(INT((Census!$F88+S$5))+IF((Census!$F88+S$5)-INT((Census!$F88+S$5))&gt;0.5,1,0)),Assumptions!$B$10))</f>
        <v>11920.925952559679</v>
      </c>
      <c r="T88" s="30">
        <f>IF(T$5&gt;$B88,0,INDEX(Decrements!$G$6:$G$58,Census!$G88+T$5-18)/INDEX(Decrements!$G$6:$G$58,Census!$G88-17)*(INDEX(Decrements!$D$6:$D$58,Census!$G88+T$5-18)+IF(T$5=$B88,INDEX(Decrements!$F$6:$F$58,Census!$G88+T$5-18),0)+INDEX(Decrements!$E$6:$E$58,Census!$G88+T$5-18)*IF((Census!$F88+T$5)&gt;=Assumptions!$B$11,1,0))*MIN(15/26*Census!$D88*(1+Assumptions!$B$9)^T$5*(INT((Census!$F88+T$5))+IF((Census!$F88+T$5)-INT((Census!$F88+T$5))&gt;0.5,1,0)),Assumptions!$B$10))</f>
        <v>13319.252574192686</v>
      </c>
      <c r="U88" s="30">
        <f>IF(U$5&gt;$B88,0,INDEX(Decrements!$G$6:$G$58,Census!$G88+U$5-18)/INDEX(Decrements!$G$6:$G$58,Census!$G88-17)*(INDEX(Decrements!$D$6:$D$58,Census!$G88+U$5-18)+IF(U$5=$B88,INDEX(Decrements!$F$6:$F$58,Census!$G88+U$5-18),0)+INDEX(Decrements!$E$6:$E$58,Census!$G88+U$5-18)*IF((Census!$F88+U$5)&gt;=Assumptions!$B$11,1,0))*MIN(15/26*Census!$D88*(1+Assumptions!$B$9)^U$5*(INT((Census!$F88+U$5))+IF((Census!$F88+U$5)-INT((Census!$F88+U$5))&gt;0.5,1,0)),Assumptions!$B$10))</f>
        <v>14860.880975661261</v>
      </c>
      <c r="V88" s="30">
        <f>IF(V$5&gt;$B88,0,INDEX(Decrements!$G$6:$G$58,Census!$G88+V$5-18)/INDEX(Decrements!$G$6:$G$58,Census!$G88-17)*(INDEX(Decrements!$D$6:$D$58,Census!$G88+V$5-18)+IF(V$5=$B88,INDEX(Decrements!$F$6:$F$58,Census!$G88+V$5-18),0)+INDEX(Decrements!$E$6:$E$58,Census!$G88+V$5-18)*IF((Census!$F88+V$5)&gt;=Assumptions!$B$11,1,0))*MIN(15/26*Census!$D88*(1+Assumptions!$B$9)^V$5*(INT((Census!$F88+V$5))+IF((Census!$F88+V$5)-INT((Census!$F88+V$5))&gt;0.5,1,0)),Assumptions!$B$10))</f>
        <v>16561.500406826846</v>
      </c>
      <c r="W88" s="30">
        <f>IF(W$5&gt;$B88,0,INDEX(Decrements!$G$6:$G$58,Census!$G88+W$5-18)/INDEX(Decrements!$G$6:$G$58,Census!$G88-17)*(INDEX(Decrements!$D$6:$D$58,Census!$G88+W$5-18)+IF(W$5=$B88,INDEX(Decrements!$F$6:$F$58,Census!$G88+W$5-18),0)+INDEX(Decrements!$E$6:$E$58,Census!$G88+W$5-18)*IF((Census!$F88+W$5)&gt;=Assumptions!$B$11,1,0))*MIN(15/26*Census!$D88*(1+Assumptions!$B$9)^W$5*(INT((Census!$F88+W$5))+IF((Census!$F88+W$5)-INT((Census!$F88+W$5))&gt;0.5,1,0)),Assumptions!$B$10))</f>
        <v>16544.989028592052</v>
      </c>
      <c r="X88" s="30">
        <f>IF(X$5&gt;$B88,0,INDEX(Decrements!$G$6:$G$58,Census!$G88+X$5-18)/INDEX(Decrements!$G$6:$G$58,Census!$G88-17)*(INDEX(Decrements!$D$6:$D$58,Census!$G88+X$5-18)+IF(X$5=$B88,INDEX(Decrements!$F$6:$F$58,Census!$G88+X$5-18),0)+INDEX(Decrements!$E$6:$E$58,Census!$G88+X$5-18)*IF((Census!$F88+X$5)&gt;=Assumptions!$B$11,1,0))*MIN(15/26*Census!$D88*(1+Assumptions!$B$9)^X$5*(INT((Census!$F88+X$5))+IF((Census!$F88+X$5)-INT((Census!$F88+X$5))&gt;0.5,1,0)),Assumptions!$B$10))</f>
        <v>9664.5607352137376</v>
      </c>
      <c r="Y88" s="30">
        <f>IF(Y$5&gt;$B88,0,INDEX(Decrements!$G$6:$G$58,Census!$G88+Y$5-18)/INDEX(Decrements!$G$6:$G$58,Census!$G88-17)*(INDEX(Decrements!$D$6:$D$58,Census!$G88+Y$5-18)+IF(Y$5=$B88,INDEX(Decrements!$F$6:$F$58,Census!$G88+Y$5-18),0)+INDEX(Decrements!$E$6:$E$58,Census!$G88+Y$5-18)*IF((Census!$F88+Y$5)&gt;=Assumptions!$B$11,1,0))*MIN(15/26*Census!$D88*(1+Assumptions!$B$9)^Y$5*(INT((Census!$F88+Y$5))+IF((Census!$F88+Y$5)-INT((Census!$F88+Y$5))&gt;0.5,1,0)),Assumptions!$B$10))</f>
        <v>9786.4142018456332</v>
      </c>
      <c r="Z88" s="30">
        <f>IF(Z$5&gt;$B88,0,INDEX(Decrements!$G$6:$G$58,Census!$G88+Z$5-18)/INDEX(Decrements!$G$6:$G$58,Census!$G88-17)*(INDEX(Decrements!$D$6:$D$58,Census!$G88+Z$5-18)+IF(Z$5=$B88,INDEX(Decrements!$F$6:$F$58,Census!$G88+Z$5-18),0)+INDEX(Decrements!$E$6:$E$58,Census!$G88+Z$5-18)*IF((Census!$F88+Z$5)&gt;=Assumptions!$B$11,1,0))*MIN(15/26*Census!$D88*(1+Assumptions!$B$9)^Z$5*(INT((Census!$F88+Z$5))+IF((Census!$F88+Z$5)-INT((Census!$F88+Z$5))&gt;0.5,1,0)),Assumptions!$B$10))</f>
        <v>9924.3903690865664</v>
      </c>
      <c r="AA88" s="30">
        <f>IF(AA$5&gt;$B88,0,INDEX(Decrements!$G$6:$G$58,Census!$G88+AA$5-18)/INDEX(Decrements!$G$6:$G$58,Census!$G88-17)*(INDEX(Decrements!$D$6:$D$58,Census!$G88+AA$5-18)+IF(AA$5=$B88,INDEX(Decrements!$F$6:$F$58,Census!$G88+AA$5-18),0)+INDEX(Decrements!$E$6:$E$58,Census!$G88+AA$5-18)*IF((Census!$F88+AA$5)&gt;=Assumptions!$B$11,1,0))*MIN(15/26*Census!$D88*(1+Assumptions!$B$9)^AA$5*(INT((Census!$F88+AA$5))+IF((Census!$F88+AA$5)-INT((Census!$F88+AA$5))&gt;0.5,1,0)),Assumptions!$B$10))</f>
        <v>10079.42699416902</v>
      </c>
      <c r="AB88" s="30">
        <f>IF(AB$5&gt;$B88,0,INDEX(Decrements!$G$6:$G$58,Census!$G88+AB$5-18)/INDEX(Decrements!$G$6:$G$58,Census!$G88-17)*(INDEX(Decrements!$D$6:$D$58,Census!$G88+AB$5-18)+IF(AB$5=$B88,INDEX(Decrements!$F$6:$F$58,Census!$G88+AB$5-18),0)+INDEX(Decrements!$E$6:$E$58,Census!$G88+AB$5-18)*IF((Census!$F88+AB$5)&gt;=Assumptions!$B$11,1,0))*MIN(15/26*Census!$D88*(1+Assumptions!$B$9)^AB$5*(INT((Census!$F88+AB$5))+IF((Census!$F88+AB$5)-INT((Census!$F88+AB$5))&gt;0.5,1,0)),Assumptions!$B$10))</f>
        <v>635721.01573537174</v>
      </c>
      <c r="AC88" s="30">
        <f>IF(AC$5&gt;$B88,0,INDEX(Decrements!$G$6:$G$58,Census!$G88+AC$5-18)/INDEX(Decrements!$G$6:$G$58,Census!$G88-17)*(INDEX(Decrements!$D$6:$D$58,Census!$G88+AC$5-18)+IF(AC$5=$B88,INDEX(Decrements!$F$6:$F$58,Census!$G88+AC$5-18),0)+INDEX(Decrements!$E$6:$E$58,Census!$G88+AC$5-18)*IF((Census!$F88+AC$5)&gt;=Assumptions!$B$11,1,0))*MIN(15/26*Census!$D88*(1+Assumptions!$B$9)^AC$5*(INT((Census!$F88+AC$5))+IF((Census!$F88+AC$5)-INT((Census!$F88+AC$5))&gt;0.5,1,0)),Assumptions!$B$10))</f>
        <v>0</v>
      </c>
      <c r="AD88" s="30">
        <f>IF(AD$5&gt;$B88,0,INDEX(Decrements!$G$6:$G$58,Census!$G88+AD$5-18)/INDEX(Decrements!$G$6:$G$58,Census!$G88-17)*(INDEX(Decrements!$D$6:$D$58,Census!$G88+AD$5-18)+IF(AD$5=$B88,INDEX(Decrements!$F$6:$F$58,Census!$G88+AD$5-18),0)+INDEX(Decrements!$E$6:$E$58,Census!$G88+AD$5-18)*IF((Census!$F88+AD$5)&gt;=Assumptions!$B$11,1,0))*MIN(15/26*Census!$D88*(1+Assumptions!$B$9)^AD$5*(INT((Census!$F88+AD$5))+IF((Census!$F88+AD$5)-INT((Census!$F88+AD$5))&gt;0.5,1,0)),Assumptions!$B$10))</f>
        <v>0</v>
      </c>
      <c r="AE88" s="30">
        <f>IF(AE$5&gt;$B88,0,INDEX(Decrements!$G$6:$G$58,Census!$G88+AE$5-18)/INDEX(Decrements!$G$6:$G$58,Census!$G88-17)*(INDEX(Decrements!$D$6:$D$58,Census!$G88+AE$5-18)+IF(AE$5=$B88,INDEX(Decrements!$F$6:$F$58,Census!$G88+AE$5-18),0)+INDEX(Decrements!$E$6:$E$58,Census!$G88+AE$5-18)*IF((Census!$F88+AE$5)&gt;=Assumptions!$B$11,1,0))*MIN(15/26*Census!$D88*(1+Assumptions!$B$9)^AE$5*(INT((Census!$F88+AE$5))+IF((Census!$F88+AE$5)-INT((Census!$F88+AE$5))&gt;0.5,1,0)),Assumptions!$B$10))</f>
        <v>0</v>
      </c>
      <c r="AF88" s="30">
        <f>IF(AF$5&gt;$B88,0,INDEX(Decrements!$G$6:$G$58,Census!$G88+AF$5-18)/INDEX(Decrements!$G$6:$G$58,Census!$G88-17)*(INDEX(Decrements!$D$6:$D$58,Census!$G88+AF$5-18)+IF(AF$5=$B88,INDEX(Decrements!$F$6:$F$58,Census!$G88+AF$5-18),0)+INDEX(Decrements!$E$6:$E$58,Census!$G88+AF$5-18)*IF((Census!$F88+AF$5)&gt;=Assumptions!$B$11,1,0))*MIN(15/26*Census!$D88*(1+Assumptions!$B$9)^AF$5*(INT((Census!$F88+AF$5))+IF((Census!$F88+AF$5)-INT((Census!$F88+AF$5))&gt;0.5,1,0)),Assumptions!$B$10))</f>
        <v>0</v>
      </c>
      <c r="AG88" s="30">
        <f>IF(AG$5&gt;$B88,0,INDEX(Decrements!$G$6:$G$58,Census!$G88+AG$5-18)/INDEX(Decrements!$G$6:$G$58,Census!$G88-17)*(INDEX(Decrements!$D$6:$D$58,Census!$G88+AG$5-18)+IF(AG$5=$B88,INDEX(Decrements!$F$6:$F$58,Census!$G88+AG$5-18),0)+INDEX(Decrements!$E$6:$E$58,Census!$G88+AG$5-18)*IF((Census!$F88+AG$5)&gt;=Assumptions!$B$11,1,0))*MIN(15/26*Census!$D88*(1+Assumptions!$B$9)^AG$5*(INT((Census!$F88+AG$5))+IF((Census!$F88+AG$5)-INT((Census!$F88+AG$5))&gt;0.5,1,0)),Assumptions!$B$10))</f>
        <v>0</v>
      </c>
      <c r="AH88" s="30">
        <f>IF(AH$5&gt;$B88,0,INDEX(Decrements!$G$6:$G$58,Census!$G88+AH$5-18)/INDEX(Decrements!$G$6:$G$58,Census!$G88-17)*(INDEX(Decrements!$D$6:$D$58,Census!$G88+AH$5-18)+IF(AH$5=$B88,INDEX(Decrements!$F$6:$F$58,Census!$G88+AH$5-18),0)+INDEX(Decrements!$E$6:$E$58,Census!$G88+AH$5-18)*IF((Census!$F88+AH$5)&gt;=Assumptions!$B$11,1,0))*MIN(15/26*Census!$D88*(1+Assumptions!$B$9)^AH$5*(INT((Census!$F88+AH$5))+IF((Census!$F88+AH$5)-INT((Census!$F88+AH$5))&gt;0.5,1,0)),Assumptions!$B$10))</f>
        <v>0</v>
      </c>
      <c r="AI88" s="30">
        <f>IF(AI$5&gt;$B88,0,INDEX(Decrements!$G$6:$G$58,Census!$G88+AI$5-18)/INDEX(Decrements!$G$6:$G$58,Census!$G88-17)*(INDEX(Decrements!$D$6:$D$58,Census!$G88+AI$5-18)+IF(AI$5=$B88,INDEX(Decrements!$F$6:$F$58,Census!$G88+AI$5-18),0)+INDEX(Decrements!$E$6:$E$58,Census!$G88+AI$5-18)*IF((Census!$F88+AI$5)&gt;=Assumptions!$B$11,1,0))*MIN(15/26*Census!$D88*(1+Assumptions!$B$9)^AI$5*(INT((Census!$F88+AI$5))+IF((Census!$F88+AI$5)-INT((Census!$F88+AI$5))&gt;0.5,1,0)),Assumptions!$B$10))</f>
        <v>0</v>
      </c>
      <c r="AJ88" s="30">
        <f>IF(AJ$5&gt;$B88,0,INDEX(Decrements!$G$6:$G$58,Census!$G88+AJ$5-18)/INDEX(Decrements!$G$6:$G$58,Census!$G88-17)*(INDEX(Decrements!$D$6:$D$58,Census!$G88+AJ$5-18)+IF(AJ$5=$B88,INDEX(Decrements!$F$6:$F$58,Census!$G88+AJ$5-18),0)+INDEX(Decrements!$E$6:$E$58,Census!$G88+AJ$5-18)*IF((Census!$F88+AJ$5)&gt;=Assumptions!$B$11,1,0))*MIN(15/26*Census!$D88*(1+Assumptions!$B$9)^AJ$5*(INT((Census!$F88+AJ$5))+IF((Census!$F88+AJ$5)-INT((Census!$F88+AJ$5))&gt;0.5,1,0)),Assumptions!$B$10))</f>
        <v>0</v>
      </c>
      <c r="AK88" s="30">
        <f>IF(AK$5&gt;$B88,0,INDEX(Decrements!$G$6:$G$58,Census!$G88+AK$5-18)/INDEX(Decrements!$G$6:$G$58,Census!$G88-17)*(INDEX(Decrements!$D$6:$D$58,Census!$G88+AK$5-18)+IF(AK$5=$B88,INDEX(Decrements!$F$6:$F$58,Census!$G88+AK$5-18),0)+INDEX(Decrements!$E$6:$E$58,Census!$G88+AK$5-18)*IF((Census!$F88+AK$5)&gt;=Assumptions!$B$11,1,0))*MIN(15/26*Census!$D88*(1+Assumptions!$B$9)^AK$5*(INT((Census!$F88+AK$5))+IF((Census!$F88+AK$5)-INT((Census!$F88+AK$5))&gt;0.5,1,0)),Assumptions!$B$10))</f>
        <v>0</v>
      </c>
      <c r="AL88" s="30">
        <f>IF(AL$5&gt;$B88,0,INDEX(Decrements!$G$6:$G$58,Census!$G88+AL$5-18)/INDEX(Decrements!$G$6:$G$58,Census!$G88-17)*(INDEX(Decrements!$D$6:$D$58,Census!$G88+AL$5-18)+IF(AL$5=$B88,INDEX(Decrements!$F$6:$F$58,Census!$G88+AL$5-18),0)+INDEX(Decrements!$E$6:$E$58,Census!$G88+AL$5-18)*IF((Census!$F88+AL$5)&gt;=Assumptions!$B$11,1,0))*MIN(15/26*Census!$D88*(1+Assumptions!$B$9)^AL$5*(INT((Census!$F88+AL$5))+IF((Census!$F88+AL$5)-INT((Census!$F88+AL$5))&gt;0.5,1,0)),Assumptions!$B$10))</f>
        <v>0</v>
      </c>
      <c r="AM88" s="30">
        <f>IF(AM$5&gt;$B88,0,INDEX(Decrements!$G$6:$G$58,Census!$G88+AM$5-18)/INDEX(Decrements!$G$6:$G$58,Census!$G88-17)*(INDEX(Decrements!$D$6:$D$58,Census!$G88+AM$5-18)+IF(AM$5=$B88,INDEX(Decrements!$F$6:$F$58,Census!$G88+AM$5-18),0)+INDEX(Decrements!$E$6:$E$58,Census!$G88+AM$5-18)*IF((Census!$F88+AM$5)&gt;=Assumptions!$B$11,1,0))*MIN(15/26*Census!$D88*(1+Assumptions!$B$9)^AM$5*(INT((Census!$F88+AM$5))+IF((Census!$F88+AM$5)-INT((Census!$F88+AM$5))&gt;0.5,1,0)),Assumptions!$B$10))</f>
        <v>0</v>
      </c>
      <c r="AN88" s="30">
        <f>IF(AN$5&gt;$B88,0,INDEX(Decrements!$G$6:$G$58,Census!$G88+AN$5-18)/INDEX(Decrements!$G$6:$G$58,Census!$G88-17)*(INDEX(Decrements!$D$6:$D$58,Census!$G88+AN$5-18)+IF(AN$5=$B88,INDEX(Decrements!$F$6:$F$58,Census!$G88+AN$5-18),0)+INDEX(Decrements!$E$6:$E$58,Census!$G88+AN$5-18)*IF((Census!$F88+AN$5)&gt;=Assumptions!$B$11,1,0))*MIN(15/26*Census!$D88*(1+Assumptions!$B$9)^AN$5*(INT((Census!$F88+AN$5))+IF((Census!$F88+AN$5)-INT((Census!$F88+AN$5))&gt;0.5,1,0)),Assumptions!$B$10))</f>
        <v>0</v>
      </c>
      <c r="AO88" s="30">
        <f>IF(AO$5&gt;$B88,0,INDEX(Decrements!$G$6:$G$58,Census!$G88+AO$5-18)/INDEX(Decrements!$G$6:$G$58,Census!$G88-17)*(INDEX(Decrements!$D$6:$D$58,Census!$G88+AO$5-18)+IF(AO$5=$B88,INDEX(Decrements!$F$6:$F$58,Census!$G88+AO$5-18),0)+INDEX(Decrements!$E$6:$E$58,Census!$G88+AO$5-18)*IF((Census!$F88+AO$5)&gt;=Assumptions!$B$11,1,0))*MIN(15/26*Census!$D88*(1+Assumptions!$B$9)^AO$5*(INT((Census!$F88+AO$5))+IF((Census!$F88+AO$5)-INT((Census!$F88+AO$5))&gt;0.5,1,0)),Assumptions!$B$10))</f>
        <v>0</v>
      </c>
      <c r="AP88" s="30">
        <f>IF(AP$5&gt;$B88,0,INDEX(Decrements!$G$6:$G$58,Census!$G88+AP$5-18)/INDEX(Decrements!$G$6:$G$58,Census!$G88-17)*(INDEX(Decrements!$D$6:$D$58,Census!$G88+AP$5-18)+IF(AP$5=$B88,INDEX(Decrements!$F$6:$F$58,Census!$G88+AP$5-18),0)+INDEX(Decrements!$E$6:$E$58,Census!$G88+AP$5-18)*IF((Census!$F88+AP$5)&gt;=Assumptions!$B$11,1,0))*MIN(15/26*Census!$D88*(1+Assumptions!$B$9)^AP$5*(INT((Census!$F88+AP$5))+IF((Census!$F88+AP$5)-INT((Census!$F88+AP$5))&gt;0.5,1,0)),Assumptions!$B$10))</f>
        <v>0</v>
      </c>
      <c r="AQ88" s="30">
        <f>IF(AQ$5&gt;$B88,0,INDEX(Decrements!$G$6:$G$58,Census!$G88+AQ$5-18)/INDEX(Decrements!$G$6:$G$58,Census!$G88-17)*(INDEX(Decrements!$D$6:$D$58,Census!$G88+AQ$5-18)+IF(AQ$5=$B88,INDEX(Decrements!$F$6:$F$58,Census!$G88+AQ$5-18),0)+INDEX(Decrements!$E$6:$E$58,Census!$G88+AQ$5-18)*IF((Census!$F88+AQ$5)&gt;=Assumptions!$B$11,1,0))*MIN(15/26*Census!$D88*(1+Assumptions!$B$9)^AQ$5*(INT((Census!$F88+AQ$5))+IF((Census!$F88+AQ$5)-INT((Census!$F88+AQ$5))&gt;0.5,1,0)),Assumptions!$B$10))</f>
        <v>0</v>
      </c>
      <c r="AR88" s="30">
        <f>IF(AR$5&gt;$B88,0,INDEX(Decrements!$G$6:$G$58,Census!$G88+AR$5-18)/INDEX(Decrements!$G$6:$G$58,Census!$G88-17)*(INDEX(Decrements!$D$6:$D$58,Census!$G88+AR$5-18)+IF(AR$5=$B88,INDEX(Decrements!$F$6:$F$58,Census!$G88+AR$5-18),0)+INDEX(Decrements!$E$6:$E$58,Census!$G88+AR$5-18)*IF((Census!$F88+AR$5)&gt;=Assumptions!$B$11,1,0))*MIN(15/26*Census!$D88*(1+Assumptions!$B$9)^AR$5*(INT((Census!$F88+AR$5))+IF((Census!$F88+AR$5)-INT((Census!$F88+AR$5))&gt;0.5,1,0)),Assumptions!$B$10))</f>
        <v>0</v>
      </c>
      <c r="AS88" s="30">
        <f>IF(AS$5&gt;$B88,0,INDEX(Decrements!$G$6:$G$58,Census!$G88+AS$5-18)/INDEX(Decrements!$G$6:$G$58,Census!$G88-17)*(INDEX(Decrements!$D$6:$D$58,Census!$G88+AS$5-18)+IF(AS$5=$B88,INDEX(Decrements!$F$6:$F$58,Census!$G88+AS$5-18),0)+INDEX(Decrements!$E$6:$E$58,Census!$G88+AS$5-18)*IF((Census!$F88+AS$5)&gt;=Assumptions!$B$11,1,0))*MIN(15/26*Census!$D88*(1+Assumptions!$B$9)^AS$5*(INT((Census!$F88+AS$5))+IF((Census!$F88+AS$5)-INT((Census!$F88+AS$5))&gt;0.5,1,0)),Assumptions!$B$10))</f>
        <v>0</v>
      </c>
      <c r="AT88" s="30">
        <f>IF(AT$5&gt;$B88,0,INDEX(Decrements!$G$6:$G$58,Census!$G88+AT$5-18)/INDEX(Decrements!$G$6:$G$58,Census!$G88-17)*(INDEX(Decrements!$D$6:$D$58,Census!$G88+AT$5-18)+IF(AT$5=$B88,INDEX(Decrements!$F$6:$F$58,Census!$G88+AT$5-18),0)+INDEX(Decrements!$E$6:$E$58,Census!$G88+AT$5-18)*IF((Census!$F88+AT$5)&gt;=Assumptions!$B$11,1,0))*MIN(15/26*Census!$D88*(1+Assumptions!$B$9)^AT$5*(INT((Census!$F88+AT$5))+IF((Census!$F88+AT$5)-INT((Census!$F88+AT$5))&gt;0.5,1,0)),Assumptions!$B$10))</f>
        <v>0</v>
      </c>
      <c r="AU88" s="30">
        <f>IF(AU$5&gt;$B88,0,INDEX(Decrements!$G$6:$G$58,Census!$G88+AU$5-18)/INDEX(Decrements!$G$6:$G$58,Census!$G88-17)*(INDEX(Decrements!$D$6:$D$58,Census!$G88+AU$5-18)+IF(AU$5=$B88,INDEX(Decrements!$F$6:$F$58,Census!$G88+AU$5-18),0)+INDEX(Decrements!$E$6:$E$58,Census!$G88+AU$5-18)*IF((Census!$F88+AU$5)&gt;=Assumptions!$B$11,1,0))*MIN(15/26*Census!$D88*(1+Assumptions!$B$9)^AU$5*(INT((Census!$F88+AU$5))+IF((Census!$F88+AU$5)-INT((Census!$F88+AU$5))&gt;0.5,1,0)),Assumptions!$B$10))</f>
        <v>0</v>
      </c>
    </row>
    <row r="89" spans="1:47" x14ac:dyDescent="0.3">
      <c r="A89" s="10" t="str">
        <f>Census!A89</f>
        <v>E084</v>
      </c>
      <c r="B89" s="29">
        <f>Census!H89</f>
        <v>15</v>
      </c>
      <c r="C89" s="30">
        <f>IF(C$5&gt;$B89,0,INDEX(Decrements!$G$6:$G$58,Census!$G89+C$5-18)/INDEX(Decrements!$G$6:$G$58,Census!$G89-17)*(INDEX(Decrements!$D$6:$D$58,Census!$G89+C$5-18)+IF(C$5=$B89,INDEX(Decrements!$F$6:$F$58,Census!$G89+C$5-18),0)+INDEX(Decrements!$E$6:$E$58,Census!$G89+C$5-18)*IF((Census!$F89+C$5)&gt;=Assumptions!$B$11,1,0))*MIN(15/26*Census!$D89*(1+Assumptions!$B$9)^C$5*(INT((Census!$F89+C$5))+IF((Census!$F89+C$5)-INT((Census!$F89+C$5))&gt;0.5,1,0)),Assumptions!$B$10))</f>
        <v>24204.147188393807</v>
      </c>
      <c r="D89" s="30">
        <f>IF(D$5&gt;$B89,0,INDEX(Decrements!$G$6:$G$58,Census!$G89+D$5-18)/INDEX(Decrements!$G$6:$G$58,Census!$G89-17)*(INDEX(Decrements!$D$6:$D$58,Census!$G89+D$5-18)+IF(D$5=$B89,INDEX(Decrements!$F$6:$F$58,Census!$G89+D$5-18),0)+INDEX(Decrements!$E$6:$E$58,Census!$G89+D$5-18)*IF((Census!$F89+D$5)&gt;=Assumptions!$B$11,1,0))*MIN(15/26*Census!$D89*(1+Assumptions!$B$9)^D$5*(INT((Census!$F89+D$5))+IF((Census!$F89+D$5)-INT((Census!$F89+D$5))&gt;0.5,1,0)),Assumptions!$B$10))</f>
        <v>26920.550812223875</v>
      </c>
      <c r="E89" s="30">
        <f>IF(E$5&gt;$B89,0,INDEX(Decrements!$G$6:$G$58,Census!$G89+E$5-18)/INDEX(Decrements!$G$6:$G$58,Census!$G89-17)*(INDEX(Decrements!$D$6:$D$58,Census!$G89+E$5-18)+IF(E$5=$B89,INDEX(Decrements!$F$6:$F$58,Census!$G89+E$5-18),0)+INDEX(Decrements!$E$6:$E$58,Census!$G89+E$5-18)*IF((Census!$F89+E$5)&gt;=Assumptions!$B$11,1,0))*MIN(15/26*Census!$D89*(1+Assumptions!$B$9)^E$5*(INT((Census!$F89+E$5))+IF((Census!$F89+E$5)-INT((Census!$F89+E$5))&gt;0.5,1,0)),Assumptions!$B$10))</f>
        <v>29857.910553029171</v>
      </c>
      <c r="F89" s="30">
        <f>IF(F$5&gt;$B89,0,INDEX(Decrements!$G$6:$G$58,Census!$G89+F$5-18)/INDEX(Decrements!$G$6:$G$58,Census!$G89-17)*(INDEX(Decrements!$D$6:$D$58,Census!$G89+F$5-18)+IF(F$5=$B89,INDEX(Decrements!$F$6:$F$58,Census!$G89+F$5-18),0)+INDEX(Decrements!$E$6:$E$58,Census!$G89+F$5-18)*IF((Census!$F89+F$5)&gt;=Assumptions!$B$11,1,0))*MIN(15/26*Census!$D89*(1+Assumptions!$B$9)^F$5*(INT((Census!$F89+F$5))+IF((Census!$F89+F$5)-INT((Census!$F89+F$5))&gt;0.5,1,0)),Assumptions!$B$10))</f>
        <v>33034.229155179084</v>
      </c>
      <c r="G89" s="30">
        <f>IF(G$5&gt;$B89,0,INDEX(Decrements!$G$6:$G$58,Census!$G89+G$5-18)/INDEX(Decrements!$G$6:$G$58,Census!$G89-17)*(INDEX(Decrements!$D$6:$D$58,Census!$G89+G$5-18)+IF(G$5=$B89,INDEX(Decrements!$F$6:$F$58,Census!$G89+G$5-18),0)+INDEX(Decrements!$E$6:$E$58,Census!$G89+G$5-18)*IF((Census!$F89+G$5)&gt;=Assumptions!$B$11,1,0))*MIN(15/26*Census!$D89*(1+Assumptions!$B$9)^G$5*(INT((Census!$F89+G$5))+IF((Census!$F89+G$5)-INT((Census!$F89+G$5))&gt;0.5,1,0)),Assumptions!$B$10))</f>
        <v>36469.233428422303</v>
      </c>
      <c r="H89" s="30">
        <f>IF(H$5&gt;$B89,0,INDEX(Decrements!$G$6:$G$58,Census!$G89+H$5-18)/INDEX(Decrements!$G$6:$G$58,Census!$G89-17)*(INDEX(Decrements!$D$6:$D$58,Census!$G89+H$5-18)+IF(H$5=$B89,INDEX(Decrements!$F$6:$F$58,Census!$G89+H$5-18),0)+INDEX(Decrements!$E$6:$E$58,Census!$G89+H$5-18)*IF((Census!$F89+H$5)&gt;=Assumptions!$B$11,1,0))*MIN(15/26*Census!$D89*(1+Assumptions!$B$9)^H$5*(INT((Census!$F89+H$5))+IF((Census!$F89+H$5)-INT((Census!$F89+H$5))&gt;0.5,1,0)),Assumptions!$B$10))</f>
        <v>27958.319165179753</v>
      </c>
      <c r="I89" s="30">
        <f>IF(I$5&gt;$B89,0,INDEX(Decrements!$G$6:$G$58,Census!$G89+I$5-18)/INDEX(Decrements!$G$6:$G$58,Census!$G89-17)*(INDEX(Decrements!$D$6:$D$58,Census!$G89+I$5-18)+IF(I$5=$B89,INDEX(Decrements!$F$6:$F$58,Census!$G89+I$5-18),0)+INDEX(Decrements!$E$6:$E$58,Census!$G89+I$5-18)*IF((Census!$F89+I$5)&gt;=Assumptions!$B$11,1,0))*MIN(15/26*Census!$D89*(1+Assumptions!$B$9)^I$5*(INT((Census!$F89+I$5))+IF((Census!$F89+I$5)-INT((Census!$F89+I$5))&gt;0.5,1,0)),Assumptions!$B$10))</f>
        <v>31173.293730425841</v>
      </c>
      <c r="J89" s="30">
        <f>IF(J$5&gt;$B89,0,INDEX(Decrements!$G$6:$G$58,Census!$G89+J$5-18)/INDEX(Decrements!$G$6:$G$58,Census!$G89-17)*(INDEX(Decrements!$D$6:$D$58,Census!$G89+J$5-18)+IF(J$5=$B89,INDEX(Decrements!$F$6:$F$58,Census!$G89+J$5-18),0)+INDEX(Decrements!$E$6:$E$58,Census!$G89+J$5-18)*IF((Census!$F89+J$5)&gt;=Assumptions!$B$11,1,0))*MIN(15/26*Census!$D89*(1+Assumptions!$B$9)^J$5*(INT((Census!$F89+J$5))+IF((Census!$F89+J$5)-INT((Census!$F89+J$5))&gt;0.5,1,0)),Assumptions!$B$10))</f>
        <v>34715.677359046837</v>
      </c>
      <c r="K89" s="30">
        <f>IF(K$5&gt;$B89,0,INDEX(Decrements!$G$6:$G$58,Census!$G89+K$5-18)/INDEX(Decrements!$G$6:$G$58,Census!$G89-17)*(INDEX(Decrements!$D$6:$D$58,Census!$G89+K$5-18)+IF(K$5=$B89,INDEX(Decrements!$F$6:$F$58,Census!$G89+K$5-18),0)+INDEX(Decrements!$E$6:$E$58,Census!$G89+K$5-18)*IF((Census!$F89+K$5)&gt;=Assumptions!$B$11,1,0))*MIN(15/26*Census!$D89*(1+Assumptions!$B$9)^K$5*(INT((Census!$F89+K$5))+IF((Census!$F89+K$5)-INT((Census!$F89+K$5))&gt;0.5,1,0)),Assumptions!$B$10))</f>
        <v>37365.022607895771</v>
      </c>
      <c r="L89" s="30">
        <f>IF(L$5&gt;$B89,0,INDEX(Decrements!$G$6:$G$58,Census!$G89+L$5-18)/INDEX(Decrements!$G$6:$G$58,Census!$G89-17)*(INDEX(Decrements!$D$6:$D$58,Census!$G89+L$5-18)+IF(L$5=$B89,INDEX(Decrements!$F$6:$F$58,Census!$G89+L$5-18),0)+INDEX(Decrements!$E$6:$E$58,Census!$G89+L$5-18)*IF((Census!$F89+L$5)&gt;=Assumptions!$B$11,1,0))*MIN(15/26*Census!$D89*(1+Assumptions!$B$9)^L$5*(INT((Census!$F89+L$5))+IF((Census!$F89+L$5)-INT((Census!$F89+L$5))&gt;0.5,1,0)),Assumptions!$B$10))</f>
        <v>36978.108772793166</v>
      </c>
      <c r="M89" s="30">
        <f>IF(M$5&gt;$B89,0,INDEX(Decrements!$G$6:$G$58,Census!$G89+M$5-18)/INDEX(Decrements!$G$6:$G$58,Census!$G89-17)*(INDEX(Decrements!$D$6:$D$58,Census!$G89+M$5-18)+IF(M$5=$B89,INDEX(Decrements!$F$6:$F$58,Census!$G89+M$5-18),0)+INDEX(Decrements!$E$6:$E$58,Census!$G89+M$5-18)*IF((Census!$F89+M$5)&gt;=Assumptions!$B$11,1,0))*MIN(15/26*Census!$D89*(1+Assumptions!$B$9)^M$5*(INT((Census!$F89+M$5))+IF((Census!$F89+M$5)-INT((Census!$F89+M$5))&gt;0.5,1,0)),Assumptions!$B$10))</f>
        <v>21600.327294892835</v>
      </c>
      <c r="N89" s="30">
        <f>IF(N$5&gt;$B89,0,INDEX(Decrements!$G$6:$G$58,Census!$G89+N$5-18)/INDEX(Decrements!$G$6:$G$58,Census!$G89-17)*(INDEX(Decrements!$D$6:$D$58,Census!$G89+N$5-18)+IF(N$5=$B89,INDEX(Decrements!$F$6:$F$58,Census!$G89+N$5-18),0)+INDEX(Decrements!$E$6:$E$58,Census!$G89+N$5-18)*IF((Census!$F89+N$5)&gt;=Assumptions!$B$11,1,0))*MIN(15/26*Census!$D89*(1+Assumptions!$B$9)^N$5*(INT((Census!$F89+N$5))+IF((Census!$F89+N$5)-INT((Census!$F89+N$5))&gt;0.5,1,0)),Assumptions!$B$10))</f>
        <v>21872.670222148288</v>
      </c>
      <c r="O89" s="30">
        <f>IF(O$5&gt;$B89,0,INDEX(Decrements!$G$6:$G$58,Census!$G89+O$5-18)/INDEX(Decrements!$G$6:$G$58,Census!$G89-17)*(INDEX(Decrements!$D$6:$D$58,Census!$G89+O$5-18)+IF(O$5=$B89,INDEX(Decrements!$F$6:$F$58,Census!$G89+O$5-18),0)+INDEX(Decrements!$E$6:$E$58,Census!$G89+O$5-18)*IF((Census!$F89+O$5)&gt;=Assumptions!$B$11,1,0))*MIN(15/26*Census!$D89*(1+Assumptions!$B$9)^O$5*(INT((Census!$F89+O$5))+IF((Census!$F89+O$5)-INT((Census!$F89+O$5))&gt;0.5,1,0)),Assumptions!$B$10))</f>
        <v>22181.047442070965</v>
      </c>
      <c r="P89" s="30">
        <f>IF(P$5&gt;$B89,0,INDEX(Decrements!$G$6:$G$58,Census!$G89+P$5-18)/INDEX(Decrements!$G$6:$G$58,Census!$G89-17)*(INDEX(Decrements!$D$6:$D$58,Census!$G89+P$5-18)+IF(P$5=$B89,INDEX(Decrements!$F$6:$F$58,Census!$G89+P$5-18),0)+INDEX(Decrements!$E$6:$E$58,Census!$G89+P$5-18)*IF((Census!$F89+P$5)&gt;=Assumptions!$B$11,1,0))*MIN(15/26*Census!$D89*(1+Assumptions!$B$9)^P$5*(INT((Census!$F89+P$5))+IF((Census!$F89+P$5)-INT((Census!$F89+P$5))&gt;0.5,1,0)),Assumptions!$B$10))</f>
        <v>22527.554845379509</v>
      </c>
      <c r="Q89" s="30">
        <f>IF(Q$5&gt;$B89,0,INDEX(Decrements!$G$6:$G$58,Census!$G89+Q$5-18)/INDEX(Decrements!$G$6:$G$58,Census!$G89-17)*(INDEX(Decrements!$D$6:$D$58,Census!$G89+Q$5-18)+IF(Q$5=$B89,INDEX(Decrements!$F$6:$F$58,Census!$G89+Q$5-18),0)+INDEX(Decrements!$E$6:$E$58,Census!$G89+Q$5-18)*IF((Census!$F89+Q$5)&gt;=Assumptions!$B$11,1,0))*MIN(15/26*Census!$D89*(1+Assumptions!$B$9)^Q$5*(INT((Census!$F89+Q$5))+IF((Census!$F89+Q$5)-INT((Census!$F89+Q$5))&gt;0.5,1,0)),Assumptions!$B$10))</f>
        <v>1420838.7100401479</v>
      </c>
      <c r="R89" s="30">
        <f>IF(R$5&gt;$B89,0,INDEX(Decrements!$G$6:$G$58,Census!$G89+R$5-18)/INDEX(Decrements!$G$6:$G$58,Census!$G89-17)*(INDEX(Decrements!$D$6:$D$58,Census!$G89+R$5-18)+IF(R$5=$B89,INDEX(Decrements!$F$6:$F$58,Census!$G89+R$5-18),0)+INDEX(Decrements!$E$6:$E$58,Census!$G89+R$5-18)*IF((Census!$F89+R$5)&gt;=Assumptions!$B$11,1,0))*MIN(15/26*Census!$D89*(1+Assumptions!$B$9)^R$5*(INT((Census!$F89+R$5))+IF((Census!$F89+R$5)-INT((Census!$F89+R$5))&gt;0.5,1,0)),Assumptions!$B$10))</f>
        <v>0</v>
      </c>
      <c r="S89" s="30">
        <f>IF(S$5&gt;$B89,0,INDEX(Decrements!$G$6:$G$58,Census!$G89+S$5-18)/INDEX(Decrements!$G$6:$G$58,Census!$G89-17)*(INDEX(Decrements!$D$6:$D$58,Census!$G89+S$5-18)+IF(S$5=$B89,INDEX(Decrements!$F$6:$F$58,Census!$G89+S$5-18),0)+INDEX(Decrements!$E$6:$E$58,Census!$G89+S$5-18)*IF((Census!$F89+S$5)&gt;=Assumptions!$B$11,1,0))*MIN(15/26*Census!$D89*(1+Assumptions!$B$9)^S$5*(INT((Census!$F89+S$5))+IF((Census!$F89+S$5)-INT((Census!$F89+S$5))&gt;0.5,1,0)),Assumptions!$B$10))</f>
        <v>0</v>
      </c>
      <c r="T89" s="30">
        <f>IF(T$5&gt;$B89,0,INDEX(Decrements!$G$6:$G$58,Census!$G89+T$5-18)/INDEX(Decrements!$G$6:$G$58,Census!$G89-17)*(INDEX(Decrements!$D$6:$D$58,Census!$G89+T$5-18)+IF(T$5=$B89,INDEX(Decrements!$F$6:$F$58,Census!$G89+T$5-18),0)+INDEX(Decrements!$E$6:$E$58,Census!$G89+T$5-18)*IF((Census!$F89+T$5)&gt;=Assumptions!$B$11,1,0))*MIN(15/26*Census!$D89*(1+Assumptions!$B$9)^T$5*(INT((Census!$F89+T$5))+IF((Census!$F89+T$5)-INT((Census!$F89+T$5))&gt;0.5,1,0)),Assumptions!$B$10))</f>
        <v>0</v>
      </c>
      <c r="U89" s="30">
        <f>IF(U$5&gt;$B89,0,INDEX(Decrements!$G$6:$G$58,Census!$G89+U$5-18)/INDEX(Decrements!$G$6:$G$58,Census!$G89-17)*(INDEX(Decrements!$D$6:$D$58,Census!$G89+U$5-18)+IF(U$5=$B89,INDEX(Decrements!$F$6:$F$58,Census!$G89+U$5-18),0)+INDEX(Decrements!$E$6:$E$58,Census!$G89+U$5-18)*IF((Census!$F89+U$5)&gt;=Assumptions!$B$11,1,0))*MIN(15/26*Census!$D89*(1+Assumptions!$B$9)^U$5*(INT((Census!$F89+U$5))+IF((Census!$F89+U$5)-INT((Census!$F89+U$5))&gt;0.5,1,0)),Assumptions!$B$10))</f>
        <v>0</v>
      </c>
      <c r="V89" s="30">
        <f>IF(V$5&gt;$B89,0,INDEX(Decrements!$G$6:$G$58,Census!$G89+V$5-18)/INDEX(Decrements!$G$6:$G$58,Census!$G89-17)*(INDEX(Decrements!$D$6:$D$58,Census!$G89+V$5-18)+IF(V$5=$B89,INDEX(Decrements!$F$6:$F$58,Census!$G89+V$5-18),0)+INDEX(Decrements!$E$6:$E$58,Census!$G89+V$5-18)*IF((Census!$F89+V$5)&gt;=Assumptions!$B$11,1,0))*MIN(15/26*Census!$D89*(1+Assumptions!$B$9)^V$5*(INT((Census!$F89+V$5))+IF((Census!$F89+V$5)-INT((Census!$F89+V$5))&gt;0.5,1,0)),Assumptions!$B$10))</f>
        <v>0</v>
      </c>
      <c r="W89" s="30">
        <f>IF(W$5&gt;$B89,0,INDEX(Decrements!$G$6:$G$58,Census!$G89+W$5-18)/INDEX(Decrements!$G$6:$G$58,Census!$G89-17)*(INDEX(Decrements!$D$6:$D$58,Census!$G89+W$5-18)+IF(W$5=$B89,INDEX(Decrements!$F$6:$F$58,Census!$G89+W$5-18),0)+INDEX(Decrements!$E$6:$E$58,Census!$G89+W$5-18)*IF((Census!$F89+W$5)&gt;=Assumptions!$B$11,1,0))*MIN(15/26*Census!$D89*(1+Assumptions!$B$9)^W$5*(INT((Census!$F89+W$5))+IF((Census!$F89+W$5)-INT((Census!$F89+W$5))&gt;0.5,1,0)),Assumptions!$B$10))</f>
        <v>0</v>
      </c>
      <c r="X89" s="30">
        <f>IF(X$5&gt;$B89,0,INDEX(Decrements!$G$6:$G$58,Census!$G89+X$5-18)/INDEX(Decrements!$G$6:$G$58,Census!$G89-17)*(INDEX(Decrements!$D$6:$D$58,Census!$G89+X$5-18)+IF(X$5=$B89,INDEX(Decrements!$F$6:$F$58,Census!$G89+X$5-18),0)+INDEX(Decrements!$E$6:$E$58,Census!$G89+X$5-18)*IF((Census!$F89+X$5)&gt;=Assumptions!$B$11,1,0))*MIN(15/26*Census!$D89*(1+Assumptions!$B$9)^X$5*(INT((Census!$F89+X$5))+IF((Census!$F89+X$5)-INT((Census!$F89+X$5))&gt;0.5,1,0)),Assumptions!$B$10))</f>
        <v>0</v>
      </c>
      <c r="Y89" s="30">
        <f>IF(Y$5&gt;$B89,0,INDEX(Decrements!$G$6:$G$58,Census!$G89+Y$5-18)/INDEX(Decrements!$G$6:$G$58,Census!$G89-17)*(INDEX(Decrements!$D$6:$D$58,Census!$G89+Y$5-18)+IF(Y$5=$B89,INDEX(Decrements!$F$6:$F$58,Census!$G89+Y$5-18),0)+INDEX(Decrements!$E$6:$E$58,Census!$G89+Y$5-18)*IF((Census!$F89+Y$5)&gt;=Assumptions!$B$11,1,0))*MIN(15/26*Census!$D89*(1+Assumptions!$B$9)^Y$5*(INT((Census!$F89+Y$5))+IF((Census!$F89+Y$5)-INT((Census!$F89+Y$5))&gt;0.5,1,0)),Assumptions!$B$10))</f>
        <v>0</v>
      </c>
      <c r="Z89" s="30">
        <f>IF(Z$5&gt;$B89,0,INDEX(Decrements!$G$6:$G$58,Census!$G89+Z$5-18)/INDEX(Decrements!$G$6:$G$58,Census!$G89-17)*(INDEX(Decrements!$D$6:$D$58,Census!$G89+Z$5-18)+IF(Z$5=$B89,INDEX(Decrements!$F$6:$F$58,Census!$G89+Z$5-18),0)+INDEX(Decrements!$E$6:$E$58,Census!$G89+Z$5-18)*IF((Census!$F89+Z$5)&gt;=Assumptions!$B$11,1,0))*MIN(15/26*Census!$D89*(1+Assumptions!$B$9)^Z$5*(INT((Census!$F89+Z$5))+IF((Census!$F89+Z$5)-INT((Census!$F89+Z$5))&gt;0.5,1,0)),Assumptions!$B$10))</f>
        <v>0</v>
      </c>
      <c r="AA89" s="30">
        <f>IF(AA$5&gt;$B89,0,INDEX(Decrements!$G$6:$G$58,Census!$G89+AA$5-18)/INDEX(Decrements!$G$6:$G$58,Census!$G89-17)*(INDEX(Decrements!$D$6:$D$58,Census!$G89+AA$5-18)+IF(AA$5=$B89,INDEX(Decrements!$F$6:$F$58,Census!$G89+AA$5-18),0)+INDEX(Decrements!$E$6:$E$58,Census!$G89+AA$5-18)*IF((Census!$F89+AA$5)&gt;=Assumptions!$B$11,1,0))*MIN(15/26*Census!$D89*(1+Assumptions!$B$9)^AA$5*(INT((Census!$F89+AA$5))+IF((Census!$F89+AA$5)-INT((Census!$F89+AA$5))&gt;0.5,1,0)),Assumptions!$B$10))</f>
        <v>0</v>
      </c>
      <c r="AB89" s="30">
        <f>IF(AB$5&gt;$B89,0,INDEX(Decrements!$G$6:$G$58,Census!$G89+AB$5-18)/INDEX(Decrements!$G$6:$G$58,Census!$G89-17)*(INDEX(Decrements!$D$6:$D$58,Census!$G89+AB$5-18)+IF(AB$5=$B89,INDEX(Decrements!$F$6:$F$58,Census!$G89+AB$5-18),0)+INDEX(Decrements!$E$6:$E$58,Census!$G89+AB$5-18)*IF((Census!$F89+AB$5)&gt;=Assumptions!$B$11,1,0))*MIN(15/26*Census!$D89*(1+Assumptions!$B$9)^AB$5*(INT((Census!$F89+AB$5))+IF((Census!$F89+AB$5)-INT((Census!$F89+AB$5))&gt;0.5,1,0)),Assumptions!$B$10))</f>
        <v>0</v>
      </c>
      <c r="AC89" s="30">
        <f>IF(AC$5&gt;$B89,0,INDEX(Decrements!$G$6:$G$58,Census!$G89+AC$5-18)/INDEX(Decrements!$G$6:$G$58,Census!$G89-17)*(INDEX(Decrements!$D$6:$D$58,Census!$G89+AC$5-18)+IF(AC$5=$B89,INDEX(Decrements!$F$6:$F$58,Census!$G89+AC$5-18),0)+INDEX(Decrements!$E$6:$E$58,Census!$G89+AC$5-18)*IF((Census!$F89+AC$5)&gt;=Assumptions!$B$11,1,0))*MIN(15/26*Census!$D89*(1+Assumptions!$B$9)^AC$5*(INT((Census!$F89+AC$5))+IF((Census!$F89+AC$5)-INT((Census!$F89+AC$5))&gt;0.5,1,0)),Assumptions!$B$10))</f>
        <v>0</v>
      </c>
      <c r="AD89" s="30">
        <f>IF(AD$5&gt;$B89,0,INDEX(Decrements!$G$6:$G$58,Census!$G89+AD$5-18)/INDEX(Decrements!$G$6:$G$58,Census!$G89-17)*(INDEX(Decrements!$D$6:$D$58,Census!$G89+AD$5-18)+IF(AD$5=$B89,INDEX(Decrements!$F$6:$F$58,Census!$G89+AD$5-18),0)+INDEX(Decrements!$E$6:$E$58,Census!$G89+AD$5-18)*IF((Census!$F89+AD$5)&gt;=Assumptions!$B$11,1,0))*MIN(15/26*Census!$D89*(1+Assumptions!$B$9)^AD$5*(INT((Census!$F89+AD$5))+IF((Census!$F89+AD$5)-INT((Census!$F89+AD$5))&gt;0.5,1,0)),Assumptions!$B$10))</f>
        <v>0</v>
      </c>
      <c r="AE89" s="30">
        <f>IF(AE$5&gt;$B89,0,INDEX(Decrements!$G$6:$G$58,Census!$G89+AE$5-18)/INDEX(Decrements!$G$6:$G$58,Census!$G89-17)*(INDEX(Decrements!$D$6:$D$58,Census!$G89+AE$5-18)+IF(AE$5=$B89,INDEX(Decrements!$F$6:$F$58,Census!$G89+AE$5-18),0)+INDEX(Decrements!$E$6:$E$58,Census!$G89+AE$5-18)*IF((Census!$F89+AE$5)&gt;=Assumptions!$B$11,1,0))*MIN(15/26*Census!$D89*(1+Assumptions!$B$9)^AE$5*(INT((Census!$F89+AE$5))+IF((Census!$F89+AE$5)-INT((Census!$F89+AE$5))&gt;0.5,1,0)),Assumptions!$B$10))</f>
        <v>0</v>
      </c>
      <c r="AF89" s="30">
        <f>IF(AF$5&gt;$B89,0,INDEX(Decrements!$G$6:$G$58,Census!$G89+AF$5-18)/INDEX(Decrements!$G$6:$G$58,Census!$G89-17)*(INDEX(Decrements!$D$6:$D$58,Census!$G89+AF$5-18)+IF(AF$5=$B89,INDEX(Decrements!$F$6:$F$58,Census!$G89+AF$5-18),0)+INDEX(Decrements!$E$6:$E$58,Census!$G89+AF$5-18)*IF((Census!$F89+AF$5)&gt;=Assumptions!$B$11,1,0))*MIN(15/26*Census!$D89*(1+Assumptions!$B$9)^AF$5*(INT((Census!$F89+AF$5))+IF((Census!$F89+AF$5)-INT((Census!$F89+AF$5))&gt;0.5,1,0)),Assumptions!$B$10))</f>
        <v>0</v>
      </c>
      <c r="AG89" s="30">
        <f>IF(AG$5&gt;$B89,0,INDEX(Decrements!$G$6:$G$58,Census!$G89+AG$5-18)/INDEX(Decrements!$G$6:$G$58,Census!$G89-17)*(INDEX(Decrements!$D$6:$D$58,Census!$G89+AG$5-18)+IF(AG$5=$B89,INDEX(Decrements!$F$6:$F$58,Census!$G89+AG$5-18),0)+INDEX(Decrements!$E$6:$E$58,Census!$G89+AG$5-18)*IF((Census!$F89+AG$5)&gt;=Assumptions!$B$11,1,0))*MIN(15/26*Census!$D89*(1+Assumptions!$B$9)^AG$5*(INT((Census!$F89+AG$5))+IF((Census!$F89+AG$5)-INT((Census!$F89+AG$5))&gt;0.5,1,0)),Assumptions!$B$10))</f>
        <v>0</v>
      </c>
      <c r="AH89" s="30">
        <f>IF(AH$5&gt;$B89,0,INDEX(Decrements!$G$6:$G$58,Census!$G89+AH$5-18)/INDEX(Decrements!$G$6:$G$58,Census!$G89-17)*(INDEX(Decrements!$D$6:$D$58,Census!$G89+AH$5-18)+IF(AH$5=$B89,INDEX(Decrements!$F$6:$F$58,Census!$G89+AH$5-18),0)+INDEX(Decrements!$E$6:$E$58,Census!$G89+AH$5-18)*IF((Census!$F89+AH$5)&gt;=Assumptions!$B$11,1,0))*MIN(15/26*Census!$D89*(1+Assumptions!$B$9)^AH$5*(INT((Census!$F89+AH$5))+IF((Census!$F89+AH$5)-INT((Census!$F89+AH$5))&gt;0.5,1,0)),Assumptions!$B$10))</f>
        <v>0</v>
      </c>
      <c r="AI89" s="30">
        <f>IF(AI$5&gt;$B89,0,INDEX(Decrements!$G$6:$G$58,Census!$G89+AI$5-18)/INDEX(Decrements!$G$6:$G$58,Census!$G89-17)*(INDEX(Decrements!$D$6:$D$58,Census!$G89+AI$5-18)+IF(AI$5=$B89,INDEX(Decrements!$F$6:$F$58,Census!$G89+AI$5-18),0)+INDEX(Decrements!$E$6:$E$58,Census!$G89+AI$5-18)*IF((Census!$F89+AI$5)&gt;=Assumptions!$B$11,1,0))*MIN(15/26*Census!$D89*(1+Assumptions!$B$9)^AI$5*(INT((Census!$F89+AI$5))+IF((Census!$F89+AI$5)-INT((Census!$F89+AI$5))&gt;0.5,1,0)),Assumptions!$B$10))</f>
        <v>0</v>
      </c>
      <c r="AJ89" s="30">
        <f>IF(AJ$5&gt;$B89,0,INDEX(Decrements!$G$6:$G$58,Census!$G89+AJ$5-18)/INDEX(Decrements!$G$6:$G$58,Census!$G89-17)*(INDEX(Decrements!$D$6:$D$58,Census!$G89+AJ$5-18)+IF(AJ$5=$B89,INDEX(Decrements!$F$6:$F$58,Census!$G89+AJ$5-18),0)+INDEX(Decrements!$E$6:$E$58,Census!$G89+AJ$5-18)*IF((Census!$F89+AJ$5)&gt;=Assumptions!$B$11,1,0))*MIN(15/26*Census!$D89*(1+Assumptions!$B$9)^AJ$5*(INT((Census!$F89+AJ$5))+IF((Census!$F89+AJ$5)-INT((Census!$F89+AJ$5))&gt;0.5,1,0)),Assumptions!$B$10))</f>
        <v>0</v>
      </c>
      <c r="AK89" s="30">
        <f>IF(AK$5&gt;$B89,0,INDEX(Decrements!$G$6:$G$58,Census!$G89+AK$5-18)/INDEX(Decrements!$G$6:$G$58,Census!$G89-17)*(INDEX(Decrements!$D$6:$D$58,Census!$G89+AK$5-18)+IF(AK$5=$B89,INDEX(Decrements!$F$6:$F$58,Census!$G89+AK$5-18),0)+INDEX(Decrements!$E$6:$E$58,Census!$G89+AK$5-18)*IF((Census!$F89+AK$5)&gt;=Assumptions!$B$11,1,0))*MIN(15/26*Census!$D89*(1+Assumptions!$B$9)^AK$5*(INT((Census!$F89+AK$5))+IF((Census!$F89+AK$5)-INT((Census!$F89+AK$5))&gt;0.5,1,0)),Assumptions!$B$10))</f>
        <v>0</v>
      </c>
      <c r="AL89" s="30">
        <f>IF(AL$5&gt;$B89,0,INDEX(Decrements!$G$6:$G$58,Census!$G89+AL$5-18)/INDEX(Decrements!$G$6:$G$58,Census!$G89-17)*(INDEX(Decrements!$D$6:$D$58,Census!$G89+AL$5-18)+IF(AL$5=$B89,INDEX(Decrements!$F$6:$F$58,Census!$G89+AL$5-18),0)+INDEX(Decrements!$E$6:$E$58,Census!$G89+AL$5-18)*IF((Census!$F89+AL$5)&gt;=Assumptions!$B$11,1,0))*MIN(15/26*Census!$D89*(1+Assumptions!$B$9)^AL$5*(INT((Census!$F89+AL$5))+IF((Census!$F89+AL$5)-INT((Census!$F89+AL$5))&gt;0.5,1,0)),Assumptions!$B$10))</f>
        <v>0</v>
      </c>
      <c r="AM89" s="30">
        <f>IF(AM$5&gt;$B89,0,INDEX(Decrements!$G$6:$G$58,Census!$G89+AM$5-18)/INDEX(Decrements!$G$6:$G$58,Census!$G89-17)*(INDEX(Decrements!$D$6:$D$58,Census!$G89+AM$5-18)+IF(AM$5=$B89,INDEX(Decrements!$F$6:$F$58,Census!$G89+AM$5-18),0)+INDEX(Decrements!$E$6:$E$58,Census!$G89+AM$5-18)*IF((Census!$F89+AM$5)&gt;=Assumptions!$B$11,1,0))*MIN(15/26*Census!$D89*(1+Assumptions!$B$9)^AM$5*(INT((Census!$F89+AM$5))+IF((Census!$F89+AM$5)-INT((Census!$F89+AM$5))&gt;0.5,1,0)),Assumptions!$B$10))</f>
        <v>0</v>
      </c>
      <c r="AN89" s="30">
        <f>IF(AN$5&gt;$B89,0,INDEX(Decrements!$G$6:$G$58,Census!$G89+AN$5-18)/INDEX(Decrements!$G$6:$G$58,Census!$G89-17)*(INDEX(Decrements!$D$6:$D$58,Census!$G89+AN$5-18)+IF(AN$5=$B89,INDEX(Decrements!$F$6:$F$58,Census!$G89+AN$5-18),0)+INDEX(Decrements!$E$6:$E$58,Census!$G89+AN$5-18)*IF((Census!$F89+AN$5)&gt;=Assumptions!$B$11,1,0))*MIN(15/26*Census!$D89*(1+Assumptions!$B$9)^AN$5*(INT((Census!$F89+AN$5))+IF((Census!$F89+AN$5)-INT((Census!$F89+AN$5))&gt;0.5,1,0)),Assumptions!$B$10))</f>
        <v>0</v>
      </c>
      <c r="AO89" s="30">
        <f>IF(AO$5&gt;$B89,0,INDEX(Decrements!$G$6:$G$58,Census!$G89+AO$5-18)/INDEX(Decrements!$G$6:$G$58,Census!$G89-17)*(INDEX(Decrements!$D$6:$D$58,Census!$G89+AO$5-18)+IF(AO$5=$B89,INDEX(Decrements!$F$6:$F$58,Census!$G89+AO$5-18),0)+INDEX(Decrements!$E$6:$E$58,Census!$G89+AO$5-18)*IF((Census!$F89+AO$5)&gt;=Assumptions!$B$11,1,0))*MIN(15/26*Census!$D89*(1+Assumptions!$B$9)^AO$5*(INT((Census!$F89+AO$5))+IF((Census!$F89+AO$5)-INT((Census!$F89+AO$5))&gt;0.5,1,0)),Assumptions!$B$10))</f>
        <v>0</v>
      </c>
      <c r="AP89" s="30">
        <f>IF(AP$5&gt;$B89,0,INDEX(Decrements!$G$6:$G$58,Census!$G89+AP$5-18)/INDEX(Decrements!$G$6:$G$58,Census!$G89-17)*(INDEX(Decrements!$D$6:$D$58,Census!$G89+AP$5-18)+IF(AP$5=$B89,INDEX(Decrements!$F$6:$F$58,Census!$G89+AP$5-18),0)+INDEX(Decrements!$E$6:$E$58,Census!$G89+AP$5-18)*IF((Census!$F89+AP$5)&gt;=Assumptions!$B$11,1,0))*MIN(15/26*Census!$D89*(1+Assumptions!$B$9)^AP$5*(INT((Census!$F89+AP$5))+IF((Census!$F89+AP$5)-INT((Census!$F89+AP$5))&gt;0.5,1,0)),Assumptions!$B$10))</f>
        <v>0</v>
      </c>
      <c r="AQ89" s="30">
        <f>IF(AQ$5&gt;$B89,0,INDEX(Decrements!$G$6:$G$58,Census!$G89+AQ$5-18)/INDEX(Decrements!$G$6:$G$58,Census!$G89-17)*(INDEX(Decrements!$D$6:$D$58,Census!$G89+AQ$5-18)+IF(AQ$5=$B89,INDEX(Decrements!$F$6:$F$58,Census!$G89+AQ$5-18),0)+INDEX(Decrements!$E$6:$E$58,Census!$G89+AQ$5-18)*IF((Census!$F89+AQ$5)&gt;=Assumptions!$B$11,1,0))*MIN(15/26*Census!$D89*(1+Assumptions!$B$9)^AQ$5*(INT((Census!$F89+AQ$5))+IF((Census!$F89+AQ$5)-INT((Census!$F89+AQ$5))&gt;0.5,1,0)),Assumptions!$B$10))</f>
        <v>0</v>
      </c>
      <c r="AR89" s="30">
        <f>IF(AR$5&gt;$B89,0,INDEX(Decrements!$G$6:$G$58,Census!$G89+AR$5-18)/INDEX(Decrements!$G$6:$G$58,Census!$G89-17)*(INDEX(Decrements!$D$6:$D$58,Census!$G89+AR$5-18)+IF(AR$5=$B89,INDEX(Decrements!$F$6:$F$58,Census!$G89+AR$5-18),0)+INDEX(Decrements!$E$6:$E$58,Census!$G89+AR$5-18)*IF((Census!$F89+AR$5)&gt;=Assumptions!$B$11,1,0))*MIN(15/26*Census!$D89*(1+Assumptions!$B$9)^AR$5*(INT((Census!$F89+AR$5))+IF((Census!$F89+AR$5)-INT((Census!$F89+AR$5))&gt;0.5,1,0)),Assumptions!$B$10))</f>
        <v>0</v>
      </c>
      <c r="AS89" s="30">
        <f>IF(AS$5&gt;$B89,0,INDEX(Decrements!$G$6:$G$58,Census!$G89+AS$5-18)/INDEX(Decrements!$G$6:$G$58,Census!$G89-17)*(INDEX(Decrements!$D$6:$D$58,Census!$G89+AS$5-18)+IF(AS$5=$B89,INDEX(Decrements!$F$6:$F$58,Census!$G89+AS$5-18),0)+INDEX(Decrements!$E$6:$E$58,Census!$G89+AS$5-18)*IF((Census!$F89+AS$5)&gt;=Assumptions!$B$11,1,0))*MIN(15/26*Census!$D89*(1+Assumptions!$B$9)^AS$5*(INT((Census!$F89+AS$5))+IF((Census!$F89+AS$5)-INT((Census!$F89+AS$5))&gt;0.5,1,0)),Assumptions!$B$10))</f>
        <v>0</v>
      </c>
      <c r="AT89" s="30">
        <f>IF(AT$5&gt;$B89,0,INDEX(Decrements!$G$6:$G$58,Census!$G89+AT$5-18)/INDEX(Decrements!$G$6:$G$58,Census!$G89-17)*(INDEX(Decrements!$D$6:$D$58,Census!$G89+AT$5-18)+IF(AT$5=$B89,INDEX(Decrements!$F$6:$F$58,Census!$G89+AT$5-18),0)+INDEX(Decrements!$E$6:$E$58,Census!$G89+AT$5-18)*IF((Census!$F89+AT$5)&gt;=Assumptions!$B$11,1,0))*MIN(15/26*Census!$D89*(1+Assumptions!$B$9)^AT$5*(INT((Census!$F89+AT$5))+IF((Census!$F89+AT$5)-INT((Census!$F89+AT$5))&gt;0.5,1,0)),Assumptions!$B$10))</f>
        <v>0</v>
      </c>
      <c r="AU89" s="30">
        <f>IF(AU$5&gt;$B89,0,INDEX(Decrements!$G$6:$G$58,Census!$G89+AU$5-18)/INDEX(Decrements!$G$6:$G$58,Census!$G89-17)*(INDEX(Decrements!$D$6:$D$58,Census!$G89+AU$5-18)+IF(AU$5=$B89,INDEX(Decrements!$F$6:$F$58,Census!$G89+AU$5-18),0)+INDEX(Decrements!$E$6:$E$58,Census!$G89+AU$5-18)*IF((Census!$F89+AU$5)&gt;=Assumptions!$B$11,1,0))*MIN(15/26*Census!$D89*(1+Assumptions!$B$9)^AU$5*(INT((Census!$F89+AU$5))+IF((Census!$F89+AU$5)-INT((Census!$F89+AU$5))&gt;0.5,1,0)),Assumptions!$B$10))</f>
        <v>0</v>
      </c>
    </row>
    <row r="90" spans="1:47" x14ac:dyDescent="0.3">
      <c r="A90" s="10" t="str">
        <f>Census!A90</f>
        <v>E085</v>
      </c>
      <c r="B90" s="29">
        <f>Census!H90</f>
        <v>12</v>
      </c>
      <c r="C90" s="30">
        <f>IF(C$5&gt;$B90,0,INDEX(Decrements!$G$6:$G$58,Census!$G90+C$5-18)/INDEX(Decrements!$G$6:$G$58,Census!$G90-17)*(INDEX(Decrements!$D$6:$D$58,Census!$G90+C$5-18)+IF(C$5=$B90,INDEX(Decrements!$F$6:$F$58,Census!$G90+C$5-18),0)+INDEX(Decrements!$E$6:$E$58,Census!$G90+C$5-18)*IF((Census!$F90+C$5)&gt;=Assumptions!$B$11,1,0))*MIN(15/26*Census!$D90*(1+Assumptions!$B$9)^C$5*(INT((Census!$F90+C$5))+IF((Census!$F90+C$5)-INT((Census!$F90+C$5))&gt;0.5,1,0)),Assumptions!$B$10))</f>
        <v>15622.051377944848</v>
      </c>
      <c r="D90" s="30">
        <f>IF(D$5&gt;$B90,0,INDEX(Decrements!$G$6:$G$58,Census!$G90+D$5-18)/INDEX(Decrements!$G$6:$G$58,Census!$G90-17)*(INDEX(Decrements!$D$6:$D$58,Census!$G90+D$5-18)+IF(D$5=$B90,INDEX(Decrements!$F$6:$F$58,Census!$G90+D$5-18),0)+INDEX(Decrements!$E$6:$E$58,Census!$G90+D$5-18)*IF((Census!$F90+D$5)&gt;=Assumptions!$B$11,1,0))*MIN(15/26*Census!$D90*(1+Assumptions!$B$9)^D$5*(INT((Census!$F90+D$5))+IF((Census!$F90+D$5)-INT((Census!$F90+D$5))&gt;0.5,1,0)),Assumptions!$B$10))</f>
        <v>17688.699481727661</v>
      </c>
      <c r="E90" s="30">
        <f>IF(E$5&gt;$B90,0,INDEX(Decrements!$G$6:$G$58,Census!$G90+E$5-18)/INDEX(Decrements!$G$6:$G$58,Census!$G90-17)*(INDEX(Decrements!$D$6:$D$58,Census!$G90+E$5-18)+IF(E$5=$B90,INDEX(Decrements!$F$6:$F$58,Census!$G90+E$5-18),0)+INDEX(Decrements!$E$6:$E$58,Census!$G90+E$5-18)*IF((Census!$F90+E$5)&gt;=Assumptions!$B$11,1,0))*MIN(15/26*Census!$D90*(1+Assumptions!$B$9)^E$5*(INT((Census!$F90+E$5))+IF((Census!$F90+E$5)-INT((Census!$F90+E$5))&gt;0.5,1,0)),Assumptions!$B$10))</f>
        <v>13868.840854204305</v>
      </c>
      <c r="F90" s="30">
        <f>IF(F$5&gt;$B90,0,INDEX(Decrements!$G$6:$G$58,Census!$G90+F$5-18)/INDEX(Decrements!$G$6:$G$58,Census!$G90-17)*(INDEX(Decrements!$D$6:$D$58,Census!$G90+F$5-18)+IF(F$5=$B90,INDEX(Decrements!$F$6:$F$58,Census!$G90+F$5-18),0)+INDEX(Decrements!$E$6:$E$58,Census!$G90+F$5-18)*IF((Census!$F90+F$5)&gt;=Assumptions!$B$11,1,0))*MIN(15/26*Census!$D90*(1+Assumptions!$B$9)^F$5*(INT((Census!$F90+F$5))+IF((Census!$F90+F$5)-INT((Census!$F90+F$5))&gt;0.5,1,0)),Assumptions!$B$10))</f>
        <v>15777.397462211651</v>
      </c>
      <c r="G90" s="30">
        <f>IF(G$5&gt;$B90,0,INDEX(Decrements!$G$6:$G$58,Census!$G90+G$5-18)/INDEX(Decrements!$G$6:$G$58,Census!$G90-17)*(INDEX(Decrements!$D$6:$D$58,Census!$G90+G$5-18)+IF(G$5=$B90,INDEX(Decrements!$F$6:$F$58,Census!$G90+G$5-18),0)+INDEX(Decrements!$E$6:$E$58,Census!$G90+G$5-18)*IF((Census!$F90+G$5)&gt;=Assumptions!$B$11,1,0))*MIN(15/26*Census!$D90*(1+Assumptions!$B$9)^G$5*(INT((Census!$F90+G$5))+IF((Census!$F90+G$5)-INT((Census!$F90+G$5))&gt;0.5,1,0)),Assumptions!$B$10))</f>
        <v>17890.556553544266</v>
      </c>
      <c r="H90" s="30">
        <f>IF(H$5&gt;$B90,0,INDEX(Decrements!$G$6:$G$58,Census!$G90+H$5-18)/INDEX(Decrements!$G$6:$G$58,Census!$G90-17)*(INDEX(Decrements!$D$6:$D$58,Census!$G90+H$5-18)+IF(H$5=$B90,INDEX(Decrements!$F$6:$F$58,Census!$G90+H$5-18),0)+INDEX(Decrements!$E$6:$E$58,Census!$G90+H$5-18)*IF((Census!$F90+H$5)&gt;=Assumptions!$B$11,1,0))*MIN(15/26*Census!$D90*(1+Assumptions!$B$9)^H$5*(INT((Census!$F90+H$5))+IF((Census!$F90+H$5)-INT((Census!$F90+H$5))&gt;0.5,1,0)),Assumptions!$B$10))</f>
        <v>20231.083984696033</v>
      </c>
      <c r="I90" s="30">
        <f>IF(I$5&gt;$B90,0,INDEX(Decrements!$G$6:$G$58,Census!$G90+I$5-18)/INDEX(Decrements!$G$6:$G$58,Census!$G90-17)*(INDEX(Decrements!$D$6:$D$58,Census!$G90+I$5-18)+IF(I$5=$B90,INDEX(Decrements!$F$6:$F$58,Census!$G90+I$5-18),0)+INDEX(Decrements!$E$6:$E$58,Census!$G90+I$5-18)*IF((Census!$F90+I$5)&gt;=Assumptions!$B$11,1,0))*MIN(15/26*Census!$D90*(1+Assumptions!$B$9)^I$5*(INT((Census!$F90+I$5))+IF((Census!$F90+I$5)-INT((Census!$F90+I$5))&gt;0.5,1,0)),Assumptions!$B$10))</f>
        <v>22824.614466638923</v>
      </c>
      <c r="J90" s="30">
        <f>IF(J$5&gt;$B90,0,INDEX(Decrements!$G$6:$G$58,Census!$G90+J$5-18)/INDEX(Decrements!$G$6:$G$58,Census!$G90-17)*(INDEX(Decrements!$D$6:$D$58,Census!$G90+J$5-18)+IF(J$5=$B90,INDEX(Decrements!$F$6:$F$58,Census!$G90+J$5-18),0)+INDEX(Decrements!$E$6:$E$58,Census!$G90+J$5-18)*IF((Census!$F90+J$5)&gt;=Assumptions!$B$11,1,0))*MIN(15/26*Census!$D90*(1+Assumptions!$B$9)^J$5*(INT((Census!$F90+J$5))+IF((Census!$F90+J$5)-INT((Census!$F90+J$5))&gt;0.5,1,0)),Assumptions!$B$10))</f>
        <v>15157.208924524812</v>
      </c>
      <c r="K90" s="30">
        <f>IF(K$5&gt;$B90,0,INDEX(Decrements!$G$6:$G$58,Census!$G90+K$5-18)/INDEX(Decrements!$G$6:$G$58,Census!$G90-17)*(INDEX(Decrements!$D$6:$D$58,Census!$G90+K$5-18)+IF(K$5=$B90,INDEX(Decrements!$F$6:$F$58,Census!$G90+K$5-18),0)+INDEX(Decrements!$E$6:$E$58,Census!$G90+K$5-18)*IF((Census!$F90+K$5)&gt;=Assumptions!$B$11,1,0))*MIN(15/26*Census!$D90*(1+Assumptions!$B$9)^K$5*(INT((Census!$F90+K$5))+IF((Census!$F90+K$5)-INT((Census!$F90+K$5))&gt;0.5,1,0)),Assumptions!$B$10))</f>
        <v>17404.989465630235</v>
      </c>
      <c r="L90" s="30">
        <f>IF(L$5&gt;$B90,0,INDEX(Decrements!$G$6:$G$58,Census!$G90+L$5-18)/INDEX(Decrements!$G$6:$G$58,Census!$G90-17)*(INDEX(Decrements!$D$6:$D$58,Census!$G90+L$5-18)+IF(L$5=$B90,INDEX(Decrements!$F$6:$F$58,Census!$G90+L$5-18),0)+INDEX(Decrements!$E$6:$E$58,Census!$G90+L$5-18)*IF((Census!$F90+L$5)&gt;=Assumptions!$B$11,1,0))*MIN(15/26*Census!$D90*(1+Assumptions!$B$9)^L$5*(INT((Census!$F90+L$5))+IF((Census!$F90+L$5)-INT((Census!$F90+L$5))&gt;0.5,1,0)),Assumptions!$B$10))</f>
        <v>19970.141954107992</v>
      </c>
      <c r="M90" s="30">
        <f>IF(M$5&gt;$B90,0,INDEX(Decrements!$G$6:$G$58,Census!$G90+M$5-18)/INDEX(Decrements!$G$6:$G$58,Census!$G90-17)*(INDEX(Decrements!$D$6:$D$58,Census!$G90+M$5-18)+IF(M$5=$B90,INDEX(Decrements!$F$6:$F$58,Census!$G90+M$5-18),0)+INDEX(Decrements!$E$6:$E$58,Census!$G90+M$5-18)*IF((Census!$F90+M$5)&gt;=Assumptions!$B$11,1,0))*MIN(15/26*Census!$D90*(1+Assumptions!$B$9)^M$5*(INT((Census!$F90+M$5))+IF((Census!$F90+M$5)-INT((Census!$F90+M$5))&gt;0.5,1,0)),Assumptions!$B$10))</f>
        <v>22900.347240162933</v>
      </c>
      <c r="N90" s="30">
        <f>IF(N$5&gt;$B90,0,INDEX(Decrements!$G$6:$G$58,Census!$G90+N$5-18)/INDEX(Decrements!$G$6:$G$58,Census!$G90-17)*(INDEX(Decrements!$D$6:$D$58,Census!$G90+N$5-18)+IF(N$5=$B90,INDEX(Decrements!$F$6:$F$58,Census!$G90+N$5-18),0)+INDEX(Decrements!$E$6:$E$58,Census!$G90+N$5-18)*IF((Census!$F90+N$5)&gt;=Assumptions!$B$11,1,0))*MIN(15/26*Census!$D90*(1+Assumptions!$B$9)^N$5*(INT((Census!$F90+N$5))+IF((Census!$F90+N$5)-INT((Census!$F90+N$5))&gt;0.5,1,0)),Assumptions!$B$10))</f>
        <v>1566568.793935776</v>
      </c>
      <c r="O90" s="30">
        <f>IF(O$5&gt;$B90,0,INDEX(Decrements!$G$6:$G$58,Census!$G90+O$5-18)/INDEX(Decrements!$G$6:$G$58,Census!$G90-17)*(INDEX(Decrements!$D$6:$D$58,Census!$G90+O$5-18)+IF(O$5=$B90,INDEX(Decrements!$F$6:$F$58,Census!$G90+O$5-18),0)+INDEX(Decrements!$E$6:$E$58,Census!$G90+O$5-18)*IF((Census!$F90+O$5)&gt;=Assumptions!$B$11,1,0))*MIN(15/26*Census!$D90*(1+Assumptions!$B$9)^O$5*(INT((Census!$F90+O$5))+IF((Census!$F90+O$5)-INT((Census!$F90+O$5))&gt;0.5,1,0)),Assumptions!$B$10))</f>
        <v>0</v>
      </c>
      <c r="P90" s="30">
        <f>IF(P$5&gt;$B90,0,INDEX(Decrements!$G$6:$G$58,Census!$G90+P$5-18)/INDEX(Decrements!$G$6:$G$58,Census!$G90-17)*(INDEX(Decrements!$D$6:$D$58,Census!$G90+P$5-18)+IF(P$5=$B90,INDEX(Decrements!$F$6:$F$58,Census!$G90+P$5-18),0)+INDEX(Decrements!$E$6:$E$58,Census!$G90+P$5-18)*IF((Census!$F90+P$5)&gt;=Assumptions!$B$11,1,0))*MIN(15/26*Census!$D90*(1+Assumptions!$B$9)^P$5*(INT((Census!$F90+P$5))+IF((Census!$F90+P$5)-INT((Census!$F90+P$5))&gt;0.5,1,0)),Assumptions!$B$10))</f>
        <v>0</v>
      </c>
      <c r="Q90" s="30">
        <f>IF(Q$5&gt;$B90,0,INDEX(Decrements!$G$6:$G$58,Census!$G90+Q$5-18)/INDEX(Decrements!$G$6:$G$58,Census!$G90-17)*(INDEX(Decrements!$D$6:$D$58,Census!$G90+Q$5-18)+IF(Q$5=$B90,INDEX(Decrements!$F$6:$F$58,Census!$G90+Q$5-18),0)+INDEX(Decrements!$E$6:$E$58,Census!$G90+Q$5-18)*IF((Census!$F90+Q$5)&gt;=Assumptions!$B$11,1,0))*MIN(15/26*Census!$D90*(1+Assumptions!$B$9)^Q$5*(INT((Census!$F90+Q$5))+IF((Census!$F90+Q$5)-INT((Census!$F90+Q$5))&gt;0.5,1,0)),Assumptions!$B$10))</f>
        <v>0</v>
      </c>
      <c r="R90" s="30">
        <f>IF(R$5&gt;$B90,0,INDEX(Decrements!$G$6:$G$58,Census!$G90+R$5-18)/INDEX(Decrements!$G$6:$G$58,Census!$G90-17)*(INDEX(Decrements!$D$6:$D$58,Census!$G90+R$5-18)+IF(R$5=$B90,INDEX(Decrements!$F$6:$F$58,Census!$G90+R$5-18),0)+INDEX(Decrements!$E$6:$E$58,Census!$G90+R$5-18)*IF((Census!$F90+R$5)&gt;=Assumptions!$B$11,1,0))*MIN(15/26*Census!$D90*(1+Assumptions!$B$9)^R$5*(INT((Census!$F90+R$5))+IF((Census!$F90+R$5)-INT((Census!$F90+R$5))&gt;0.5,1,0)),Assumptions!$B$10))</f>
        <v>0</v>
      </c>
      <c r="S90" s="30">
        <f>IF(S$5&gt;$B90,0,INDEX(Decrements!$G$6:$G$58,Census!$G90+S$5-18)/INDEX(Decrements!$G$6:$G$58,Census!$G90-17)*(INDEX(Decrements!$D$6:$D$58,Census!$G90+S$5-18)+IF(S$5=$B90,INDEX(Decrements!$F$6:$F$58,Census!$G90+S$5-18),0)+INDEX(Decrements!$E$6:$E$58,Census!$G90+S$5-18)*IF((Census!$F90+S$5)&gt;=Assumptions!$B$11,1,0))*MIN(15/26*Census!$D90*(1+Assumptions!$B$9)^S$5*(INT((Census!$F90+S$5))+IF((Census!$F90+S$5)-INT((Census!$F90+S$5))&gt;0.5,1,0)),Assumptions!$B$10))</f>
        <v>0</v>
      </c>
      <c r="T90" s="30">
        <f>IF(T$5&gt;$B90,0,INDEX(Decrements!$G$6:$G$58,Census!$G90+T$5-18)/INDEX(Decrements!$G$6:$G$58,Census!$G90-17)*(INDEX(Decrements!$D$6:$D$58,Census!$G90+T$5-18)+IF(T$5=$B90,INDEX(Decrements!$F$6:$F$58,Census!$G90+T$5-18),0)+INDEX(Decrements!$E$6:$E$58,Census!$G90+T$5-18)*IF((Census!$F90+T$5)&gt;=Assumptions!$B$11,1,0))*MIN(15/26*Census!$D90*(1+Assumptions!$B$9)^T$5*(INT((Census!$F90+T$5))+IF((Census!$F90+T$5)-INT((Census!$F90+T$5))&gt;0.5,1,0)),Assumptions!$B$10))</f>
        <v>0</v>
      </c>
      <c r="U90" s="30">
        <f>IF(U$5&gt;$B90,0,INDEX(Decrements!$G$6:$G$58,Census!$G90+U$5-18)/INDEX(Decrements!$G$6:$G$58,Census!$G90-17)*(INDEX(Decrements!$D$6:$D$58,Census!$G90+U$5-18)+IF(U$5=$B90,INDEX(Decrements!$F$6:$F$58,Census!$G90+U$5-18),0)+INDEX(Decrements!$E$6:$E$58,Census!$G90+U$5-18)*IF((Census!$F90+U$5)&gt;=Assumptions!$B$11,1,0))*MIN(15/26*Census!$D90*(1+Assumptions!$B$9)^U$5*(INT((Census!$F90+U$5))+IF((Census!$F90+U$5)-INT((Census!$F90+U$5))&gt;0.5,1,0)),Assumptions!$B$10))</f>
        <v>0</v>
      </c>
      <c r="V90" s="30">
        <f>IF(V$5&gt;$B90,0,INDEX(Decrements!$G$6:$G$58,Census!$G90+V$5-18)/INDEX(Decrements!$G$6:$G$58,Census!$G90-17)*(INDEX(Decrements!$D$6:$D$58,Census!$G90+V$5-18)+IF(V$5=$B90,INDEX(Decrements!$F$6:$F$58,Census!$G90+V$5-18),0)+INDEX(Decrements!$E$6:$E$58,Census!$G90+V$5-18)*IF((Census!$F90+V$5)&gt;=Assumptions!$B$11,1,0))*MIN(15/26*Census!$D90*(1+Assumptions!$B$9)^V$5*(INT((Census!$F90+V$5))+IF((Census!$F90+V$5)-INT((Census!$F90+V$5))&gt;0.5,1,0)),Assumptions!$B$10))</f>
        <v>0</v>
      </c>
      <c r="W90" s="30">
        <f>IF(W$5&gt;$B90,0,INDEX(Decrements!$G$6:$G$58,Census!$G90+W$5-18)/INDEX(Decrements!$G$6:$G$58,Census!$G90-17)*(INDEX(Decrements!$D$6:$D$58,Census!$G90+W$5-18)+IF(W$5=$B90,INDEX(Decrements!$F$6:$F$58,Census!$G90+W$5-18),0)+INDEX(Decrements!$E$6:$E$58,Census!$G90+W$5-18)*IF((Census!$F90+W$5)&gt;=Assumptions!$B$11,1,0))*MIN(15/26*Census!$D90*(1+Assumptions!$B$9)^W$5*(INT((Census!$F90+W$5))+IF((Census!$F90+W$5)-INT((Census!$F90+W$5))&gt;0.5,1,0)),Assumptions!$B$10))</f>
        <v>0</v>
      </c>
      <c r="X90" s="30">
        <f>IF(X$5&gt;$B90,0,INDEX(Decrements!$G$6:$G$58,Census!$G90+X$5-18)/INDEX(Decrements!$G$6:$G$58,Census!$G90-17)*(INDEX(Decrements!$D$6:$D$58,Census!$G90+X$5-18)+IF(X$5=$B90,INDEX(Decrements!$F$6:$F$58,Census!$G90+X$5-18),0)+INDEX(Decrements!$E$6:$E$58,Census!$G90+X$5-18)*IF((Census!$F90+X$5)&gt;=Assumptions!$B$11,1,0))*MIN(15/26*Census!$D90*(1+Assumptions!$B$9)^X$5*(INT((Census!$F90+X$5))+IF((Census!$F90+X$5)-INT((Census!$F90+X$5))&gt;0.5,1,0)),Assumptions!$B$10))</f>
        <v>0</v>
      </c>
      <c r="Y90" s="30">
        <f>IF(Y$5&gt;$B90,0,INDEX(Decrements!$G$6:$G$58,Census!$G90+Y$5-18)/INDEX(Decrements!$G$6:$G$58,Census!$G90-17)*(INDEX(Decrements!$D$6:$D$58,Census!$G90+Y$5-18)+IF(Y$5=$B90,INDEX(Decrements!$F$6:$F$58,Census!$G90+Y$5-18),0)+INDEX(Decrements!$E$6:$E$58,Census!$G90+Y$5-18)*IF((Census!$F90+Y$5)&gt;=Assumptions!$B$11,1,0))*MIN(15/26*Census!$D90*(1+Assumptions!$B$9)^Y$5*(INT((Census!$F90+Y$5))+IF((Census!$F90+Y$5)-INT((Census!$F90+Y$5))&gt;0.5,1,0)),Assumptions!$B$10))</f>
        <v>0</v>
      </c>
      <c r="Z90" s="30">
        <f>IF(Z$5&gt;$B90,0,INDEX(Decrements!$G$6:$G$58,Census!$G90+Z$5-18)/INDEX(Decrements!$G$6:$G$58,Census!$G90-17)*(INDEX(Decrements!$D$6:$D$58,Census!$G90+Z$5-18)+IF(Z$5=$B90,INDEX(Decrements!$F$6:$F$58,Census!$G90+Z$5-18),0)+INDEX(Decrements!$E$6:$E$58,Census!$G90+Z$5-18)*IF((Census!$F90+Z$5)&gt;=Assumptions!$B$11,1,0))*MIN(15/26*Census!$D90*(1+Assumptions!$B$9)^Z$5*(INT((Census!$F90+Z$5))+IF((Census!$F90+Z$5)-INT((Census!$F90+Z$5))&gt;0.5,1,0)),Assumptions!$B$10))</f>
        <v>0</v>
      </c>
      <c r="AA90" s="30">
        <f>IF(AA$5&gt;$B90,0,INDEX(Decrements!$G$6:$G$58,Census!$G90+AA$5-18)/INDEX(Decrements!$G$6:$G$58,Census!$G90-17)*(INDEX(Decrements!$D$6:$D$58,Census!$G90+AA$5-18)+IF(AA$5=$B90,INDEX(Decrements!$F$6:$F$58,Census!$G90+AA$5-18),0)+INDEX(Decrements!$E$6:$E$58,Census!$G90+AA$5-18)*IF((Census!$F90+AA$5)&gt;=Assumptions!$B$11,1,0))*MIN(15/26*Census!$D90*(1+Assumptions!$B$9)^AA$5*(INT((Census!$F90+AA$5))+IF((Census!$F90+AA$5)-INT((Census!$F90+AA$5))&gt;0.5,1,0)),Assumptions!$B$10))</f>
        <v>0</v>
      </c>
      <c r="AB90" s="30">
        <f>IF(AB$5&gt;$B90,0,INDEX(Decrements!$G$6:$G$58,Census!$G90+AB$5-18)/INDEX(Decrements!$G$6:$G$58,Census!$G90-17)*(INDEX(Decrements!$D$6:$D$58,Census!$G90+AB$5-18)+IF(AB$5=$B90,INDEX(Decrements!$F$6:$F$58,Census!$G90+AB$5-18),0)+INDEX(Decrements!$E$6:$E$58,Census!$G90+AB$5-18)*IF((Census!$F90+AB$5)&gt;=Assumptions!$B$11,1,0))*MIN(15/26*Census!$D90*(1+Assumptions!$B$9)^AB$5*(INT((Census!$F90+AB$5))+IF((Census!$F90+AB$5)-INT((Census!$F90+AB$5))&gt;0.5,1,0)),Assumptions!$B$10))</f>
        <v>0</v>
      </c>
      <c r="AC90" s="30">
        <f>IF(AC$5&gt;$B90,0,INDEX(Decrements!$G$6:$G$58,Census!$G90+AC$5-18)/INDEX(Decrements!$G$6:$G$58,Census!$G90-17)*(INDEX(Decrements!$D$6:$D$58,Census!$G90+AC$5-18)+IF(AC$5=$B90,INDEX(Decrements!$F$6:$F$58,Census!$G90+AC$5-18),0)+INDEX(Decrements!$E$6:$E$58,Census!$G90+AC$5-18)*IF((Census!$F90+AC$5)&gt;=Assumptions!$B$11,1,0))*MIN(15/26*Census!$D90*(1+Assumptions!$B$9)^AC$5*(INT((Census!$F90+AC$5))+IF((Census!$F90+AC$5)-INT((Census!$F90+AC$5))&gt;0.5,1,0)),Assumptions!$B$10))</f>
        <v>0</v>
      </c>
      <c r="AD90" s="30">
        <f>IF(AD$5&gt;$B90,0,INDEX(Decrements!$G$6:$G$58,Census!$G90+AD$5-18)/INDEX(Decrements!$G$6:$G$58,Census!$G90-17)*(INDEX(Decrements!$D$6:$D$58,Census!$G90+AD$5-18)+IF(AD$5=$B90,INDEX(Decrements!$F$6:$F$58,Census!$G90+AD$5-18),0)+INDEX(Decrements!$E$6:$E$58,Census!$G90+AD$5-18)*IF((Census!$F90+AD$5)&gt;=Assumptions!$B$11,1,0))*MIN(15/26*Census!$D90*(1+Assumptions!$B$9)^AD$5*(INT((Census!$F90+AD$5))+IF((Census!$F90+AD$5)-INT((Census!$F90+AD$5))&gt;0.5,1,0)),Assumptions!$B$10))</f>
        <v>0</v>
      </c>
      <c r="AE90" s="30">
        <f>IF(AE$5&gt;$B90,0,INDEX(Decrements!$G$6:$G$58,Census!$G90+AE$5-18)/INDEX(Decrements!$G$6:$G$58,Census!$G90-17)*(INDEX(Decrements!$D$6:$D$58,Census!$G90+AE$5-18)+IF(AE$5=$B90,INDEX(Decrements!$F$6:$F$58,Census!$G90+AE$5-18),0)+INDEX(Decrements!$E$6:$E$58,Census!$G90+AE$5-18)*IF((Census!$F90+AE$5)&gt;=Assumptions!$B$11,1,0))*MIN(15/26*Census!$D90*(1+Assumptions!$B$9)^AE$5*(INT((Census!$F90+AE$5))+IF((Census!$F90+AE$5)-INT((Census!$F90+AE$5))&gt;0.5,1,0)),Assumptions!$B$10))</f>
        <v>0</v>
      </c>
      <c r="AF90" s="30">
        <f>IF(AF$5&gt;$B90,0,INDEX(Decrements!$G$6:$G$58,Census!$G90+AF$5-18)/INDEX(Decrements!$G$6:$G$58,Census!$G90-17)*(INDEX(Decrements!$D$6:$D$58,Census!$G90+AF$5-18)+IF(AF$5=$B90,INDEX(Decrements!$F$6:$F$58,Census!$G90+AF$5-18),0)+INDEX(Decrements!$E$6:$E$58,Census!$G90+AF$5-18)*IF((Census!$F90+AF$5)&gt;=Assumptions!$B$11,1,0))*MIN(15/26*Census!$D90*(1+Assumptions!$B$9)^AF$5*(INT((Census!$F90+AF$5))+IF((Census!$F90+AF$5)-INT((Census!$F90+AF$5))&gt;0.5,1,0)),Assumptions!$B$10))</f>
        <v>0</v>
      </c>
      <c r="AG90" s="30">
        <f>IF(AG$5&gt;$B90,0,INDEX(Decrements!$G$6:$G$58,Census!$G90+AG$5-18)/INDEX(Decrements!$G$6:$G$58,Census!$G90-17)*(INDEX(Decrements!$D$6:$D$58,Census!$G90+AG$5-18)+IF(AG$5=$B90,INDEX(Decrements!$F$6:$F$58,Census!$G90+AG$5-18),0)+INDEX(Decrements!$E$6:$E$58,Census!$G90+AG$5-18)*IF((Census!$F90+AG$5)&gt;=Assumptions!$B$11,1,0))*MIN(15/26*Census!$D90*(1+Assumptions!$B$9)^AG$5*(INT((Census!$F90+AG$5))+IF((Census!$F90+AG$5)-INT((Census!$F90+AG$5))&gt;0.5,1,0)),Assumptions!$B$10))</f>
        <v>0</v>
      </c>
      <c r="AH90" s="30">
        <f>IF(AH$5&gt;$B90,0,INDEX(Decrements!$G$6:$G$58,Census!$G90+AH$5-18)/INDEX(Decrements!$G$6:$G$58,Census!$G90-17)*(INDEX(Decrements!$D$6:$D$58,Census!$G90+AH$5-18)+IF(AH$5=$B90,INDEX(Decrements!$F$6:$F$58,Census!$G90+AH$5-18),0)+INDEX(Decrements!$E$6:$E$58,Census!$G90+AH$5-18)*IF((Census!$F90+AH$5)&gt;=Assumptions!$B$11,1,0))*MIN(15/26*Census!$D90*(1+Assumptions!$B$9)^AH$5*(INT((Census!$F90+AH$5))+IF((Census!$F90+AH$5)-INT((Census!$F90+AH$5))&gt;0.5,1,0)),Assumptions!$B$10))</f>
        <v>0</v>
      </c>
      <c r="AI90" s="30">
        <f>IF(AI$5&gt;$B90,0,INDEX(Decrements!$G$6:$G$58,Census!$G90+AI$5-18)/INDEX(Decrements!$G$6:$G$58,Census!$G90-17)*(INDEX(Decrements!$D$6:$D$58,Census!$G90+AI$5-18)+IF(AI$5=$B90,INDEX(Decrements!$F$6:$F$58,Census!$G90+AI$5-18),0)+INDEX(Decrements!$E$6:$E$58,Census!$G90+AI$5-18)*IF((Census!$F90+AI$5)&gt;=Assumptions!$B$11,1,0))*MIN(15/26*Census!$D90*(1+Assumptions!$B$9)^AI$5*(INT((Census!$F90+AI$5))+IF((Census!$F90+AI$5)-INT((Census!$F90+AI$5))&gt;0.5,1,0)),Assumptions!$B$10))</f>
        <v>0</v>
      </c>
      <c r="AJ90" s="30">
        <f>IF(AJ$5&gt;$B90,0,INDEX(Decrements!$G$6:$G$58,Census!$G90+AJ$5-18)/INDEX(Decrements!$G$6:$G$58,Census!$G90-17)*(INDEX(Decrements!$D$6:$D$58,Census!$G90+AJ$5-18)+IF(AJ$5=$B90,INDEX(Decrements!$F$6:$F$58,Census!$G90+AJ$5-18),0)+INDEX(Decrements!$E$6:$E$58,Census!$G90+AJ$5-18)*IF((Census!$F90+AJ$5)&gt;=Assumptions!$B$11,1,0))*MIN(15/26*Census!$D90*(1+Assumptions!$B$9)^AJ$5*(INT((Census!$F90+AJ$5))+IF((Census!$F90+AJ$5)-INT((Census!$F90+AJ$5))&gt;0.5,1,0)),Assumptions!$B$10))</f>
        <v>0</v>
      </c>
      <c r="AK90" s="30">
        <f>IF(AK$5&gt;$B90,0,INDEX(Decrements!$G$6:$G$58,Census!$G90+AK$5-18)/INDEX(Decrements!$G$6:$G$58,Census!$G90-17)*(INDEX(Decrements!$D$6:$D$58,Census!$G90+AK$5-18)+IF(AK$5=$B90,INDEX(Decrements!$F$6:$F$58,Census!$G90+AK$5-18),0)+INDEX(Decrements!$E$6:$E$58,Census!$G90+AK$5-18)*IF((Census!$F90+AK$5)&gt;=Assumptions!$B$11,1,0))*MIN(15/26*Census!$D90*(1+Assumptions!$B$9)^AK$5*(INT((Census!$F90+AK$5))+IF((Census!$F90+AK$5)-INT((Census!$F90+AK$5))&gt;0.5,1,0)),Assumptions!$B$10))</f>
        <v>0</v>
      </c>
      <c r="AL90" s="30">
        <f>IF(AL$5&gt;$B90,0,INDEX(Decrements!$G$6:$G$58,Census!$G90+AL$5-18)/INDEX(Decrements!$G$6:$G$58,Census!$G90-17)*(INDEX(Decrements!$D$6:$D$58,Census!$G90+AL$5-18)+IF(AL$5=$B90,INDEX(Decrements!$F$6:$F$58,Census!$G90+AL$5-18),0)+INDEX(Decrements!$E$6:$E$58,Census!$G90+AL$5-18)*IF((Census!$F90+AL$5)&gt;=Assumptions!$B$11,1,0))*MIN(15/26*Census!$D90*(1+Assumptions!$B$9)^AL$5*(INT((Census!$F90+AL$5))+IF((Census!$F90+AL$5)-INT((Census!$F90+AL$5))&gt;0.5,1,0)),Assumptions!$B$10))</f>
        <v>0</v>
      </c>
      <c r="AM90" s="30">
        <f>IF(AM$5&gt;$B90,0,INDEX(Decrements!$G$6:$G$58,Census!$G90+AM$5-18)/INDEX(Decrements!$G$6:$G$58,Census!$G90-17)*(INDEX(Decrements!$D$6:$D$58,Census!$G90+AM$5-18)+IF(AM$5=$B90,INDEX(Decrements!$F$6:$F$58,Census!$G90+AM$5-18),0)+INDEX(Decrements!$E$6:$E$58,Census!$G90+AM$5-18)*IF((Census!$F90+AM$5)&gt;=Assumptions!$B$11,1,0))*MIN(15/26*Census!$D90*(1+Assumptions!$B$9)^AM$5*(INT((Census!$F90+AM$5))+IF((Census!$F90+AM$5)-INT((Census!$F90+AM$5))&gt;0.5,1,0)),Assumptions!$B$10))</f>
        <v>0</v>
      </c>
      <c r="AN90" s="30">
        <f>IF(AN$5&gt;$B90,0,INDEX(Decrements!$G$6:$G$58,Census!$G90+AN$5-18)/INDEX(Decrements!$G$6:$G$58,Census!$G90-17)*(INDEX(Decrements!$D$6:$D$58,Census!$G90+AN$5-18)+IF(AN$5=$B90,INDEX(Decrements!$F$6:$F$58,Census!$G90+AN$5-18),0)+INDEX(Decrements!$E$6:$E$58,Census!$G90+AN$5-18)*IF((Census!$F90+AN$5)&gt;=Assumptions!$B$11,1,0))*MIN(15/26*Census!$D90*(1+Assumptions!$B$9)^AN$5*(INT((Census!$F90+AN$5))+IF((Census!$F90+AN$5)-INT((Census!$F90+AN$5))&gt;0.5,1,0)),Assumptions!$B$10))</f>
        <v>0</v>
      </c>
      <c r="AO90" s="30">
        <f>IF(AO$5&gt;$B90,0,INDEX(Decrements!$G$6:$G$58,Census!$G90+AO$5-18)/INDEX(Decrements!$G$6:$G$58,Census!$G90-17)*(INDEX(Decrements!$D$6:$D$58,Census!$G90+AO$5-18)+IF(AO$5=$B90,INDEX(Decrements!$F$6:$F$58,Census!$G90+AO$5-18),0)+INDEX(Decrements!$E$6:$E$58,Census!$G90+AO$5-18)*IF((Census!$F90+AO$5)&gt;=Assumptions!$B$11,1,0))*MIN(15/26*Census!$D90*(1+Assumptions!$B$9)^AO$5*(INT((Census!$F90+AO$5))+IF((Census!$F90+AO$5)-INT((Census!$F90+AO$5))&gt;0.5,1,0)),Assumptions!$B$10))</f>
        <v>0</v>
      </c>
      <c r="AP90" s="30">
        <f>IF(AP$5&gt;$B90,0,INDEX(Decrements!$G$6:$G$58,Census!$G90+AP$5-18)/INDEX(Decrements!$G$6:$G$58,Census!$G90-17)*(INDEX(Decrements!$D$6:$D$58,Census!$G90+AP$5-18)+IF(AP$5=$B90,INDEX(Decrements!$F$6:$F$58,Census!$G90+AP$5-18),0)+INDEX(Decrements!$E$6:$E$58,Census!$G90+AP$5-18)*IF((Census!$F90+AP$5)&gt;=Assumptions!$B$11,1,0))*MIN(15/26*Census!$D90*(1+Assumptions!$B$9)^AP$5*(INT((Census!$F90+AP$5))+IF((Census!$F90+AP$5)-INT((Census!$F90+AP$5))&gt;0.5,1,0)),Assumptions!$B$10))</f>
        <v>0</v>
      </c>
      <c r="AQ90" s="30">
        <f>IF(AQ$5&gt;$B90,0,INDEX(Decrements!$G$6:$G$58,Census!$G90+AQ$5-18)/INDEX(Decrements!$G$6:$G$58,Census!$G90-17)*(INDEX(Decrements!$D$6:$D$58,Census!$G90+AQ$5-18)+IF(AQ$5=$B90,INDEX(Decrements!$F$6:$F$58,Census!$G90+AQ$5-18),0)+INDEX(Decrements!$E$6:$E$58,Census!$G90+AQ$5-18)*IF((Census!$F90+AQ$5)&gt;=Assumptions!$B$11,1,0))*MIN(15/26*Census!$D90*(1+Assumptions!$B$9)^AQ$5*(INT((Census!$F90+AQ$5))+IF((Census!$F90+AQ$5)-INT((Census!$F90+AQ$5))&gt;0.5,1,0)),Assumptions!$B$10))</f>
        <v>0</v>
      </c>
      <c r="AR90" s="30">
        <f>IF(AR$5&gt;$B90,0,INDEX(Decrements!$G$6:$G$58,Census!$G90+AR$5-18)/INDEX(Decrements!$G$6:$G$58,Census!$G90-17)*(INDEX(Decrements!$D$6:$D$58,Census!$G90+AR$5-18)+IF(AR$5=$B90,INDEX(Decrements!$F$6:$F$58,Census!$G90+AR$5-18),0)+INDEX(Decrements!$E$6:$E$58,Census!$G90+AR$5-18)*IF((Census!$F90+AR$5)&gt;=Assumptions!$B$11,1,0))*MIN(15/26*Census!$D90*(1+Assumptions!$B$9)^AR$5*(INT((Census!$F90+AR$5))+IF((Census!$F90+AR$5)-INT((Census!$F90+AR$5))&gt;0.5,1,0)),Assumptions!$B$10))</f>
        <v>0</v>
      </c>
      <c r="AS90" s="30">
        <f>IF(AS$5&gt;$B90,0,INDEX(Decrements!$G$6:$G$58,Census!$G90+AS$5-18)/INDEX(Decrements!$G$6:$G$58,Census!$G90-17)*(INDEX(Decrements!$D$6:$D$58,Census!$G90+AS$5-18)+IF(AS$5=$B90,INDEX(Decrements!$F$6:$F$58,Census!$G90+AS$5-18),0)+INDEX(Decrements!$E$6:$E$58,Census!$G90+AS$5-18)*IF((Census!$F90+AS$5)&gt;=Assumptions!$B$11,1,0))*MIN(15/26*Census!$D90*(1+Assumptions!$B$9)^AS$5*(INT((Census!$F90+AS$5))+IF((Census!$F90+AS$5)-INT((Census!$F90+AS$5))&gt;0.5,1,0)),Assumptions!$B$10))</f>
        <v>0</v>
      </c>
      <c r="AT90" s="30">
        <f>IF(AT$5&gt;$B90,0,INDEX(Decrements!$G$6:$G$58,Census!$G90+AT$5-18)/INDEX(Decrements!$G$6:$G$58,Census!$G90-17)*(INDEX(Decrements!$D$6:$D$58,Census!$G90+AT$5-18)+IF(AT$5=$B90,INDEX(Decrements!$F$6:$F$58,Census!$G90+AT$5-18),0)+INDEX(Decrements!$E$6:$E$58,Census!$G90+AT$5-18)*IF((Census!$F90+AT$5)&gt;=Assumptions!$B$11,1,0))*MIN(15/26*Census!$D90*(1+Assumptions!$B$9)^AT$5*(INT((Census!$F90+AT$5))+IF((Census!$F90+AT$5)-INT((Census!$F90+AT$5))&gt;0.5,1,0)),Assumptions!$B$10))</f>
        <v>0</v>
      </c>
      <c r="AU90" s="30">
        <f>IF(AU$5&gt;$B90,0,INDEX(Decrements!$G$6:$G$58,Census!$G90+AU$5-18)/INDEX(Decrements!$G$6:$G$58,Census!$G90-17)*(INDEX(Decrements!$D$6:$D$58,Census!$G90+AU$5-18)+IF(AU$5=$B90,INDEX(Decrements!$F$6:$F$58,Census!$G90+AU$5-18),0)+INDEX(Decrements!$E$6:$E$58,Census!$G90+AU$5-18)*IF((Census!$F90+AU$5)&gt;=Assumptions!$B$11,1,0))*MIN(15/26*Census!$D90*(1+Assumptions!$B$9)^AU$5*(INT((Census!$F90+AU$5))+IF((Census!$F90+AU$5)-INT((Census!$F90+AU$5))&gt;0.5,1,0)),Assumptions!$B$10))</f>
        <v>0</v>
      </c>
    </row>
    <row r="91" spans="1:47" x14ac:dyDescent="0.3">
      <c r="A91" s="10" t="str">
        <f>Census!A91</f>
        <v>E086</v>
      </c>
      <c r="B91" s="29">
        <f>Census!H91</f>
        <v>18</v>
      </c>
      <c r="C91" s="30">
        <f>IF(C$5&gt;$B91,0,INDEX(Decrements!$G$6:$G$58,Census!$G91+C$5-18)/INDEX(Decrements!$G$6:$G$58,Census!$G91-17)*(INDEX(Decrements!$D$6:$D$58,Census!$G91+C$5-18)+IF(C$5=$B91,INDEX(Decrements!$F$6:$F$58,Census!$G91+C$5-18),0)+INDEX(Decrements!$E$6:$E$58,Census!$G91+C$5-18)*IF((Census!$F91+C$5)&gt;=Assumptions!$B$11,1,0))*MIN(15/26*Census!$D91*(1+Assumptions!$B$9)^C$5*(INT((Census!$F91+C$5))+IF((Census!$F91+C$5)-INT((Census!$F91+C$5))&gt;0.5,1,0)),Assumptions!$B$10))</f>
        <v>27849.696082647784</v>
      </c>
      <c r="D91" s="30">
        <f>IF(D$5&gt;$B91,0,INDEX(Decrements!$G$6:$G$58,Census!$G91+D$5-18)/INDEX(Decrements!$G$6:$G$58,Census!$G91-17)*(INDEX(Decrements!$D$6:$D$58,Census!$G91+D$5-18)+IF(D$5=$B91,INDEX(Decrements!$F$6:$F$58,Census!$G91+D$5-18),0)+INDEX(Decrements!$E$6:$E$58,Census!$G91+D$5-18)*IF((Census!$F91+D$5)&gt;=Assumptions!$B$11,1,0))*MIN(15/26*Census!$D91*(1+Assumptions!$B$9)^D$5*(INT((Census!$F91+D$5))+IF((Census!$F91+D$5)-INT((Census!$F91+D$5))&gt;0.5,1,0)),Assumptions!$B$10))</f>
        <v>30789.200550529444</v>
      </c>
      <c r="E91" s="30">
        <f>IF(E$5&gt;$B91,0,INDEX(Decrements!$G$6:$G$58,Census!$G91+E$5-18)/INDEX(Decrements!$G$6:$G$58,Census!$G91-17)*(INDEX(Decrements!$D$6:$D$58,Census!$G91+E$5-18)+IF(E$5=$B91,INDEX(Decrements!$F$6:$F$58,Census!$G91+E$5-18),0)+INDEX(Decrements!$E$6:$E$58,Census!$G91+E$5-18)*IF((Census!$F91+E$5)&gt;=Assumptions!$B$11,1,0))*MIN(15/26*Census!$D91*(1+Assumptions!$B$9)^E$5*(INT((Census!$F91+E$5))+IF((Census!$F91+E$5)-INT((Census!$F91+E$5))&gt;0.5,1,0)),Assumptions!$B$10))</f>
        <v>33868.386426068137</v>
      </c>
      <c r="F91" s="30">
        <f>IF(F$5&gt;$B91,0,INDEX(Decrements!$G$6:$G$58,Census!$G91+F$5-18)/INDEX(Decrements!$G$6:$G$58,Census!$G91-17)*(INDEX(Decrements!$D$6:$D$58,Census!$G91+F$5-18)+IF(F$5=$B91,INDEX(Decrements!$F$6:$F$58,Census!$G91+F$5-18),0)+INDEX(Decrements!$E$6:$E$58,Census!$G91+F$5-18)*IF((Census!$F91+F$5)&gt;=Assumptions!$B$11,1,0))*MIN(15/26*Census!$D91*(1+Assumptions!$B$9)^F$5*(INT((Census!$F91+F$5))+IF((Census!$F91+F$5)-INT((Census!$F91+F$5))&gt;0.5,1,0)),Assumptions!$B$10))</f>
        <v>22807.996440417508</v>
      </c>
      <c r="G91" s="30">
        <f>IF(G$5&gt;$B91,0,INDEX(Decrements!$G$6:$G$58,Census!$G91+G$5-18)/INDEX(Decrements!$G$6:$G$58,Census!$G91-17)*(INDEX(Decrements!$D$6:$D$58,Census!$G91+G$5-18)+IF(G$5=$B91,INDEX(Decrements!$F$6:$F$58,Census!$G91+G$5-18),0)+INDEX(Decrements!$E$6:$E$58,Census!$G91+G$5-18)*IF((Census!$F91+G$5)&gt;=Assumptions!$B$11,1,0))*MIN(15/26*Census!$D91*(1+Assumptions!$B$9)^G$5*(INT((Census!$F91+G$5))+IF((Census!$F91+G$5)-INT((Census!$F91+G$5))&gt;0.5,1,0)),Assumptions!$B$10))</f>
        <v>25455.794002430674</v>
      </c>
      <c r="H91" s="30">
        <f>IF(H$5&gt;$B91,0,INDEX(Decrements!$G$6:$G$58,Census!$G91+H$5-18)/INDEX(Decrements!$G$6:$G$58,Census!$G91-17)*(INDEX(Decrements!$D$6:$D$58,Census!$G91+H$5-18)+IF(H$5=$B91,INDEX(Decrements!$F$6:$F$58,Census!$G91+H$5-18),0)+INDEX(Decrements!$E$6:$E$58,Census!$G91+H$5-18)*IF((Census!$F91+H$5)&gt;=Assumptions!$B$11,1,0))*MIN(15/26*Census!$D91*(1+Assumptions!$B$9)^H$5*(INT((Census!$F91+H$5))+IF((Census!$F91+H$5)-INT((Census!$F91+H$5))&gt;0.5,1,0)),Assumptions!$B$10))</f>
        <v>28320.74064122362</v>
      </c>
      <c r="I91" s="30">
        <f>IF(I$5&gt;$B91,0,INDEX(Decrements!$G$6:$G$58,Census!$G91+I$5-18)/INDEX(Decrements!$G$6:$G$58,Census!$G91-17)*(INDEX(Decrements!$D$6:$D$58,Census!$G91+I$5-18)+IF(I$5=$B91,INDEX(Decrements!$F$6:$F$58,Census!$G91+I$5-18),0)+INDEX(Decrements!$E$6:$E$58,Census!$G91+I$5-18)*IF((Census!$F91+I$5)&gt;=Assumptions!$B$11,1,0))*MIN(15/26*Census!$D91*(1+Assumptions!$B$9)^I$5*(INT((Census!$F91+I$5))+IF((Census!$F91+I$5)-INT((Census!$F91+I$5))&gt;0.5,1,0)),Assumptions!$B$10))</f>
        <v>31420.570946397656</v>
      </c>
      <c r="J91" s="30">
        <f>IF(J$5&gt;$B91,0,INDEX(Decrements!$G$6:$G$58,Census!$G91+J$5-18)/INDEX(Decrements!$G$6:$G$58,Census!$G91-17)*(INDEX(Decrements!$D$6:$D$58,Census!$G91+J$5-18)+IF(J$5=$B91,INDEX(Decrements!$F$6:$F$58,Census!$G91+J$5-18),0)+INDEX(Decrements!$E$6:$E$58,Census!$G91+J$5-18)*IF((Census!$F91+J$5)&gt;=Assumptions!$B$11,1,0))*MIN(15/26*Census!$D91*(1+Assumptions!$B$9)^J$5*(INT((Census!$F91+J$5))+IF((Census!$F91+J$5)-INT((Census!$F91+J$5))&gt;0.5,1,0)),Assumptions!$B$10))</f>
        <v>34774.718700656871</v>
      </c>
      <c r="K91" s="30">
        <f>IF(K$5&gt;$B91,0,INDEX(Decrements!$G$6:$G$58,Census!$G91+K$5-18)/INDEX(Decrements!$G$6:$G$58,Census!$G91-17)*(INDEX(Decrements!$D$6:$D$58,Census!$G91+K$5-18)+IF(K$5=$B91,INDEX(Decrements!$F$6:$F$58,Census!$G91+K$5-18),0)+INDEX(Decrements!$E$6:$E$58,Census!$G91+K$5-18)*IF((Census!$F91+K$5)&gt;=Assumptions!$B$11,1,0))*MIN(15/26*Census!$D91*(1+Assumptions!$B$9)^K$5*(INT((Census!$F91+K$5))+IF((Census!$F91+K$5)-INT((Census!$F91+K$5))&gt;0.5,1,0)),Assumptions!$B$10))</f>
        <v>26719.846708300065</v>
      </c>
      <c r="L91" s="30">
        <f>IF(L$5&gt;$B91,0,INDEX(Decrements!$G$6:$G$58,Census!$G91+L$5-18)/INDEX(Decrements!$G$6:$G$58,Census!$G91-17)*(INDEX(Decrements!$D$6:$D$58,Census!$G91+L$5-18)+IF(L$5=$B91,INDEX(Decrements!$F$6:$F$58,Census!$G91+L$5-18),0)+INDEX(Decrements!$E$6:$E$58,Census!$G91+L$5-18)*IF((Census!$F91+L$5)&gt;=Assumptions!$B$11,1,0))*MIN(15/26*Census!$D91*(1+Assumptions!$B$9)^L$5*(INT((Census!$F91+L$5))+IF((Census!$F91+L$5)-INT((Census!$F91+L$5))&gt;0.5,1,0)),Assumptions!$B$10))</f>
        <v>29854.089226612683</v>
      </c>
      <c r="M91" s="30">
        <f>IF(M$5&gt;$B91,0,INDEX(Decrements!$G$6:$G$58,Census!$G91+M$5-18)/INDEX(Decrements!$G$6:$G$58,Census!$G91-17)*(INDEX(Decrements!$D$6:$D$58,Census!$G91+M$5-18)+IF(M$5=$B91,INDEX(Decrements!$F$6:$F$58,Census!$G91+M$5-18),0)+INDEX(Decrements!$E$6:$E$58,Census!$G91+M$5-18)*IF((Census!$F91+M$5)&gt;=Assumptions!$B$11,1,0))*MIN(15/26*Census!$D91*(1+Assumptions!$B$9)^M$5*(INT((Census!$F91+M$5))+IF((Census!$F91+M$5)-INT((Census!$F91+M$5))&gt;0.5,1,0)),Assumptions!$B$10))</f>
        <v>32234.05951835799</v>
      </c>
      <c r="N91" s="30">
        <f>IF(N$5&gt;$B91,0,INDEX(Decrements!$G$6:$G$58,Census!$G91+N$5-18)/INDEX(Decrements!$G$6:$G$58,Census!$G91-17)*(INDEX(Decrements!$D$6:$D$58,Census!$G91+N$5-18)+IF(N$5=$B91,INDEX(Decrements!$F$6:$F$58,Census!$G91+N$5-18),0)+INDEX(Decrements!$E$6:$E$58,Census!$G91+N$5-18)*IF((Census!$F91+N$5)&gt;=Assumptions!$B$11,1,0))*MIN(15/26*Census!$D91*(1+Assumptions!$B$9)^N$5*(INT((Census!$F91+N$5))+IF((Census!$F91+N$5)-INT((Census!$F91+N$5))&gt;0.5,1,0)),Assumptions!$B$10))</f>
        <v>31875.937459815548</v>
      </c>
      <c r="O91" s="30">
        <f>IF(O$5&gt;$B91,0,INDEX(Decrements!$G$6:$G$58,Census!$G91+O$5-18)/INDEX(Decrements!$G$6:$G$58,Census!$G91-17)*(INDEX(Decrements!$D$6:$D$58,Census!$G91+O$5-18)+IF(O$5=$B91,INDEX(Decrements!$F$6:$F$58,Census!$G91+O$5-18),0)+INDEX(Decrements!$E$6:$E$58,Census!$G91+O$5-18)*IF((Census!$F91+O$5)&gt;=Assumptions!$B$11,1,0))*MIN(15/26*Census!$D91*(1+Assumptions!$B$9)^O$5*(INT((Census!$F91+O$5))+IF((Census!$F91+O$5)-INT((Census!$F91+O$5))&gt;0.5,1,0)),Assumptions!$B$10))</f>
        <v>31545.862958336133</v>
      </c>
      <c r="P91" s="30">
        <f>IF(P$5&gt;$B91,0,INDEX(Decrements!$G$6:$G$58,Census!$G91+P$5-18)/INDEX(Decrements!$G$6:$G$58,Census!$G91-17)*(INDEX(Decrements!$D$6:$D$58,Census!$G91+P$5-18)+IF(P$5=$B91,INDEX(Decrements!$F$6:$F$58,Census!$G91+P$5-18),0)+INDEX(Decrements!$E$6:$E$58,Census!$G91+P$5-18)*IF((Census!$F91+P$5)&gt;=Assumptions!$B$11,1,0))*MIN(15/26*Census!$D91*(1+Assumptions!$B$9)^P$5*(INT((Census!$F91+P$5))+IF((Census!$F91+P$5)-INT((Census!$F91+P$5))&gt;0.5,1,0)),Assumptions!$B$10))</f>
        <v>18427.144797660425</v>
      </c>
      <c r="Q91" s="30">
        <f>IF(Q$5&gt;$B91,0,INDEX(Decrements!$G$6:$G$58,Census!$G91+Q$5-18)/INDEX(Decrements!$G$6:$G$58,Census!$G91-17)*(INDEX(Decrements!$D$6:$D$58,Census!$G91+Q$5-18)+IF(Q$5=$B91,INDEX(Decrements!$F$6:$F$58,Census!$G91+Q$5-18),0)+INDEX(Decrements!$E$6:$E$58,Census!$G91+Q$5-18)*IF((Census!$F91+Q$5)&gt;=Assumptions!$B$11,1,0))*MIN(15/26*Census!$D91*(1+Assumptions!$B$9)^Q$5*(INT((Census!$F91+Q$5))+IF((Census!$F91+Q$5)-INT((Census!$F91+Q$5))&gt;0.5,1,0)),Assumptions!$B$10))</f>
        <v>18659.479358458564</v>
      </c>
      <c r="R91" s="30">
        <f>IF(R$5&gt;$B91,0,INDEX(Decrements!$G$6:$G$58,Census!$G91+R$5-18)/INDEX(Decrements!$G$6:$G$58,Census!$G91-17)*(INDEX(Decrements!$D$6:$D$58,Census!$G91+R$5-18)+IF(R$5=$B91,INDEX(Decrements!$F$6:$F$58,Census!$G91+R$5-18),0)+INDEX(Decrements!$E$6:$E$58,Census!$G91+R$5-18)*IF((Census!$F91+R$5)&gt;=Assumptions!$B$11,1,0))*MIN(15/26*Census!$D91*(1+Assumptions!$B$9)^R$5*(INT((Census!$F91+R$5))+IF((Census!$F91+R$5)-INT((Census!$F91+R$5))&gt;0.5,1,0)),Assumptions!$B$10))</f>
        <v>18922.554616820908</v>
      </c>
      <c r="S91" s="30">
        <f>IF(S$5&gt;$B91,0,INDEX(Decrements!$G$6:$G$58,Census!$G91+S$5-18)/INDEX(Decrements!$G$6:$G$58,Census!$G91-17)*(INDEX(Decrements!$D$6:$D$58,Census!$G91+S$5-18)+IF(S$5=$B91,INDEX(Decrements!$F$6:$F$58,Census!$G91+S$5-18),0)+INDEX(Decrements!$E$6:$E$58,Census!$G91+S$5-18)*IF((Census!$F91+S$5)&gt;=Assumptions!$B$11,1,0))*MIN(15/26*Census!$D91*(1+Assumptions!$B$9)^S$5*(INT((Census!$F91+S$5))+IF((Census!$F91+S$5)-INT((Census!$F91+S$5))&gt;0.5,1,0)),Assumptions!$B$10))</f>
        <v>19218.15856795814</v>
      </c>
      <c r="T91" s="30">
        <f>IF(T$5&gt;$B91,0,INDEX(Decrements!$G$6:$G$58,Census!$G91+T$5-18)/INDEX(Decrements!$G$6:$G$58,Census!$G91-17)*(INDEX(Decrements!$D$6:$D$58,Census!$G91+T$5-18)+IF(T$5=$B91,INDEX(Decrements!$F$6:$F$58,Census!$G91+T$5-18),0)+INDEX(Decrements!$E$6:$E$58,Census!$G91+T$5-18)*IF((Census!$F91+T$5)&gt;=Assumptions!$B$11,1,0))*MIN(15/26*Census!$D91*(1+Assumptions!$B$9)^T$5*(INT((Census!$F91+T$5))+IF((Census!$F91+T$5)-INT((Census!$F91+T$5))&gt;0.5,1,0)),Assumptions!$B$10))</f>
        <v>1212111.2928794054</v>
      </c>
      <c r="U91" s="30">
        <f>IF(U$5&gt;$B91,0,INDEX(Decrements!$G$6:$G$58,Census!$G91+U$5-18)/INDEX(Decrements!$G$6:$G$58,Census!$G91-17)*(INDEX(Decrements!$D$6:$D$58,Census!$G91+U$5-18)+IF(U$5=$B91,INDEX(Decrements!$F$6:$F$58,Census!$G91+U$5-18),0)+INDEX(Decrements!$E$6:$E$58,Census!$G91+U$5-18)*IF((Census!$F91+U$5)&gt;=Assumptions!$B$11,1,0))*MIN(15/26*Census!$D91*(1+Assumptions!$B$9)^U$5*(INT((Census!$F91+U$5))+IF((Census!$F91+U$5)-INT((Census!$F91+U$5))&gt;0.5,1,0)),Assumptions!$B$10))</f>
        <v>0</v>
      </c>
      <c r="V91" s="30">
        <f>IF(V$5&gt;$B91,0,INDEX(Decrements!$G$6:$G$58,Census!$G91+V$5-18)/INDEX(Decrements!$G$6:$G$58,Census!$G91-17)*(INDEX(Decrements!$D$6:$D$58,Census!$G91+V$5-18)+IF(V$5=$B91,INDEX(Decrements!$F$6:$F$58,Census!$G91+V$5-18),0)+INDEX(Decrements!$E$6:$E$58,Census!$G91+V$5-18)*IF((Census!$F91+V$5)&gt;=Assumptions!$B$11,1,0))*MIN(15/26*Census!$D91*(1+Assumptions!$B$9)^V$5*(INT((Census!$F91+V$5))+IF((Census!$F91+V$5)-INT((Census!$F91+V$5))&gt;0.5,1,0)),Assumptions!$B$10))</f>
        <v>0</v>
      </c>
      <c r="W91" s="30">
        <f>IF(W$5&gt;$B91,0,INDEX(Decrements!$G$6:$G$58,Census!$G91+W$5-18)/INDEX(Decrements!$G$6:$G$58,Census!$G91-17)*(INDEX(Decrements!$D$6:$D$58,Census!$G91+W$5-18)+IF(W$5=$B91,INDEX(Decrements!$F$6:$F$58,Census!$G91+W$5-18),0)+INDEX(Decrements!$E$6:$E$58,Census!$G91+W$5-18)*IF((Census!$F91+W$5)&gt;=Assumptions!$B$11,1,0))*MIN(15/26*Census!$D91*(1+Assumptions!$B$9)^W$5*(INT((Census!$F91+W$5))+IF((Census!$F91+W$5)-INT((Census!$F91+W$5))&gt;0.5,1,0)),Assumptions!$B$10))</f>
        <v>0</v>
      </c>
      <c r="X91" s="30">
        <f>IF(X$5&gt;$B91,0,INDEX(Decrements!$G$6:$G$58,Census!$G91+X$5-18)/INDEX(Decrements!$G$6:$G$58,Census!$G91-17)*(INDEX(Decrements!$D$6:$D$58,Census!$G91+X$5-18)+IF(X$5=$B91,INDEX(Decrements!$F$6:$F$58,Census!$G91+X$5-18),0)+INDEX(Decrements!$E$6:$E$58,Census!$G91+X$5-18)*IF((Census!$F91+X$5)&gt;=Assumptions!$B$11,1,0))*MIN(15/26*Census!$D91*(1+Assumptions!$B$9)^X$5*(INT((Census!$F91+X$5))+IF((Census!$F91+X$5)-INT((Census!$F91+X$5))&gt;0.5,1,0)),Assumptions!$B$10))</f>
        <v>0</v>
      </c>
      <c r="Y91" s="30">
        <f>IF(Y$5&gt;$B91,0,INDEX(Decrements!$G$6:$G$58,Census!$G91+Y$5-18)/INDEX(Decrements!$G$6:$G$58,Census!$G91-17)*(INDEX(Decrements!$D$6:$D$58,Census!$G91+Y$5-18)+IF(Y$5=$B91,INDEX(Decrements!$F$6:$F$58,Census!$G91+Y$5-18),0)+INDEX(Decrements!$E$6:$E$58,Census!$G91+Y$5-18)*IF((Census!$F91+Y$5)&gt;=Assumptions!$B$11,1,0))*MIN(15/26*Census!$D91*(1+Assumptions!$B$9)^Y$5*(INT((Census!$F91+Y$5))+IF((Census!$F91+Y$5)-INT((Census!$F91+Y$5))&gt;0.5,1,0)),Assumptions!$B$10))</f>
        <v>0</v>
      </c>
      <c r="Z91" s="30">
        <f>IF(Z$5&gt;$B91,0,INDEX(Decrements!$G$6:$G$58,Census!$G91+Z$5-18)/INDEX(Decrements!$G$6:$G$58,Census!$G91-17)*(INDEX(Decrements!$D$6:$D$58,Census!$G91+Z$5-18)+IF(Z$5=$B91,INDEX(Decrements!$F$6:$F$58,Census!$G91+Z$5-18),0)+INDEX(Decrements!$E$6:$E$58,Census!$G91+Z$5-18)*IF((Census!$F91+Z$5)&gt;=Assumptions!$B$11,1,0))*MIN(15/26*Census!$D91*(1+Assumptions!$B$9)^Z$5*(INT((Census!$F91+Z$5))+IF((Census!$F91+Z$5)-INT((Census!$F91+Z$5))&gt;0.5,1,0)),Assumptions!$B$10))</f>
        <v>0</v>
      </c>
      <c r="AA91" s="30">
        <f>IF(AA$5&gt;$B91,0,INDEX(Decrements!$G$6:$G$58,Census!$G91+AA$5-18)/INDEX(Decrements!$G$6:$G$58,Census!$G91-17)*(INDEX(Decrements!$D$6:$D$58,Census!$G91+AA$5-18)+IF(AA$5=$B91,INDEX(Decrements!$F$6:$F$58,Census!$G91+AA$5-18),0)+INDEX(Decrements!$E$6:$E$58,Census!$G91+AA$5-18)*IF((Census!$F91+AA$5)&gt;=Assumptions!$B$11,1,0))*MIN(15/26*Census!$D91*(1+Assumptions!$B$9)^AA$5*(INT((Census!$F91+AA$5))+IF((Census!$F91+AA$5)-INT((Census!$F91+AA$5))&gt;0.5,1,0)),Assumptions!$B$10))</f>
        <v>0</v>
      </c>
      <c r="AB91" s="30">
        <f>IF(AB$5&gt;$B91,0,INDEX(Decrements!$G$6:$G$58,Census!$G91+AB$5-18)/INDEX(Decrements!$G$6:$G$58,Census!$G91-17)*(INDEX(Decrements!$D$6:$D$58,Census!$G91+AB$5-18)+IF(AB$5=$B91,INDEX(Decrements!$F$6:$F$58,Census!$G91+AB$5-18),0)+INDEX(Decrements!$E$6:$E$58,Census!$G91+AB$5-18)*IF((Census!$F91+AB$5)&gt;=Assumptions!$B$11,1,0))*MIN(15/26*Census!$D91*(1+Assumptions!$B$9)^AB$5*(INT((Census!$F91+AB$5))+IF((Census!$F91+AB$5)-INT((Census!$F91+AB$5))&gt;0.5,1,0)),Assumptions!$B$10))</f>
        <v>0</v>
      </c>
      <c r="AC91" s="30">
        <f>IF(AC$5&gt;$B91,0,INDEX(Decrements!$G$6:$G$58,Census!$G91+AC$5-18)/INDEX(Decrements!$G$6:$G$58,Census!$G91-17)*(INDEX(Decrements!$D$6:$D$58,Census!$G91+AC$5-18)+IF(AC$5=$B91,INDEX(Decrements!$F$6:$F$58,Census!$G91+AC$5-18),0)+INDEX(Decrements!$E$6:$E$58,Census!$G91+AC$5-18)*IF((Census!$F91+AC$5)&gt;=Assumptions!$B$11,1,0))*MIN(15/26*Census!$D91*(1+Assumptions!$B$9)^AC$5*(INT((Census!$F91+AC$5))+IF((Census!$F91+AC$5)-INT((Census!$F91+AC$5))&gt;0.5,1,0)),Assumptions!$B$10))</f>
        <v>0</v>
      </c>
      <c r="AD91" s="30">
        <f>IF(AD$5&gt;$B91,0,INDEX(Decrements!$G$6:$G$58,Census!$G91+AD$5-18)/INDEX(Decrements!$G$6:$G$58,Census!$G91-17)*(INDEX(Decrements!$D$6:$D$58,Census!$G91+AD$5-18)+IF(AD$5=$B91,INDEX(Decrements!$F$6:$F$58,Census!$G91+AD$5-18),0)+INDEX(Decrements!$E$6:$E$58,Census!$G91+AD$5-18)*IF((Census!$F91+AD$5)&gt;=Assumptions!$B$11,1,0))*MIN(15/26*Census!$D91*(1+Assumptions!$B$9)^AD$5*(INT((Census!$F91+AD$5))+IF((Census!$F91+AD$5)-INT((Census!$F91+AD$5))&gt;0.5,1,0)),Assumptions!$B$10))</f>
        <v>0</v>
      </c>
      <c r="AE91" s="30">
        <f>IF(AE$5&gt;$B91,0,INDEX(Decrements!$G$6:$G$58,Census!$G91+AE$5-18)/INDEX(Decrements!$G$6:$G$58,Census!$G91-17)*(INDEX(Decrements!$D$6:$D$58,Census!$G91+AE$5-18)+IF(AE$5=$B91,INDEX(Decrements!$F$6:$F$58,Census!$G91+AE$5-18),0)+INDEX(Decrements!$E$6:$E$58,Census!$G91+AE$5-18)*IF((Census!$F91+AE$5)&gt;=Assumptions!$B$11,1,0))*MIN(15/26*Census!$D91*(1+Assumptions!$B$9)^AE$5*(INT((Census!$F91+AE$5))+IF((Census!$F91+AE$5)-INT((Census!$F91+AE$5))&gt;0.5,1,0)),Assumptions!$B$10))</f>
        <v>0</v>
      </c>
      <c r="AF91" s="30">
        <f>IF(AF$5&gt;$B91,0,INDEX(Decrements!$G$6:$G$58,Census!$G91+AF$5-18)/INDEX(Decrements!$G$6:$G$58,Census!$G91-17)*(INDEX(Decrements!$D$6:$D$58,Census!$G91+AF$5-18)+IF(AF$5=$B91,INDEX(Decrements!$F$6:$F$58,Census!$G91+AF$5-18),0)+INDEX(Decrements!$E$6:$E$58,Census!$G91+AF$5-18)*IF((Census!$F91+AF$5)&gt;=Assumptions!$B$11,1,0))*MIN(15/26*Census!$D91*(1+Assumptions!$B$9)^AF$5*(INT((Census!$F91+AF$5))+IF((Census!$F91+AF$5)-INT((Census!$F91+AF$5))&gt;0.5,1,0)),Assumptions!$B$10))</f>
        <v>0</v>
      </c>
      <c r="AG91" s="30">
        <f>IF(AG$5&gt;$B91,0,INDEX(Decrements!$G$6:$G$58,Census!$G91+AG$5-18)/INDEX(Decrements!$G$6:$G$58,Census!$G91-17)*(INDEX(Decrements!$D$6:$D$58,Census!$G91+AG$5-18)+IF(AG$5=$B91,INDEX(Decrements!$F$6:$F$58,Census!$G91+AG$5-18),0)+INDEX(Decrements!$E$6:$E$58,Census!$G91+AG$5-18)*IF((Census!$F91+AG$5)&gt;=Assumptions!$B$11,1,0))*MIN(15/26*Census!$D91*(1+Assumptions!$B$9)^AG$5*(INT((Census!$F91+AG$5))+IF((Census!$F91+AG$5)-INT((Census!$F91+AG$5))&gt;0.5,1,0)),Assumptions!$B$10))</f>
        <v>0</v>
      </c>
      <c r="AH91" s="30">
        <f>IF(AH$5&gt;$B91,0,INDEX(Decrements!$G$6:$G$58,Census!$G91+AH$5-18)/INDEX(Decrements!$G$6:$G$58,Census!$G91-17)*(INDEX(Decrements!$D$6:$D$58,Census!$G91+AH$5-18)+IF(AH$5=$B91,INDEX(Decrements!$F$6:$F$58,Census!$G91+AH$5-18),0)+INDEX(Decrements!$E$6:$E$58,Census!$G91+AH$5-18)*IF((Census!$F91+AH$5)&gt;=Assumptions!$B$11,1,0))*MIN(15/26*Census!$D91*(1+Assumptions!$B$9)^AH$5*(INT((Census!$F91+AH$5))+IF((Census!$F91+AH$5)-INT((Census!$F91+AH$5))&gt;0.5,1,0)),Assumptions!$B$10))</f>
        <v>0</v>
      </c>
      <c r="AI91" s="30">
        <f>IF(AI$5&gt;$B91,0,INDEX(Decrements!$G$6:$G$58,Census!$G91+AI$5-18)/INDEX(Decrements!$G$6:$G$58,Census!$G91-17)*(INDEX(Decrements!$D$6:$D$58,Census!$G91+AI$5-18)+IF(AI$5=$B91,INDEX(Decrements!$F$6:$F$58,Census!$G91+AI$5-18),0)+INDEX(Decrements!$E$6:$E$58,Census!$G91+AI$5-18)*IF((Census!$F91+AI$5)&gt;=Assumptions!$B$11,1,0))*MIN(15/26*Census!$D91*(1+Assumptions!$B$9)^AI$5*(INT((Census!$F91+AI$5))+IF((Census!$F91+AI$5)-INT((Census!$F91+AI$5))&gt;0.5,1,0)),Assumptions!$B$10))</f>
        <v>0</v>
      </c>
      <c r="AJ91" s="30">
        <f>IF(AJ$5&gt;$B91,0,INDEX(Decrements!$G$6:$G$58,Census!$G91+AJ$5-18)/INDEX(Decrements!$G$6:$G$58,Census!$G91-17)*(INDEX(Decrements!$D$6:$D$58,Census!$G91+AJ$5-18)+IF(AJ$5=$B91,INDEX(Decrements!$F$6:$F$58,Census!$G91+AJ$5-18),0)+INDEX(Decrements!$E$6:$E$58,Census!$G91+AJ$5-18)*IF((Census!$F91+AJ$5)&gt;=Assumptions!$B$11,1,0))*MIN(15/26*Census!$D91*(1+Assumptions!$B$9)^AJ$5*(INT((Census!$F91+AJ$5))+IF((Census!$F91+AJ$5)-INT((Census!$F91+AJ$5))&gt;0.5,1,0)),Assumptions!$B$10))</f>
        <v>0</v>
      </c>
      <c r="AK91" s="30">
        <f>IF(AK$5&gt;$B91,0,INDEX(Decrements!$G$6:$G$58,Census!$G91+AK$5-18)/INDEX(Decrements!$G$6:$G$58,Census!$G91-17)*(INDEX(Decrements!$D$6:$D$58,Census!$G91+AK$5-18)+IF(AK$5=$B91,INDEX(Decrements!$F$6:$F$58,Census!$G91+AK$5-18),0)+INDEX(Decrements!$E$6:$E$58,Census!$G91+AK$5-18)*IF((Census!$F91+AK$5)&gt;=Assumptions!$B$11,1,0))*MIN(15/26*Census!$D91*(1+Assumptions!$B$9)^AK$5*(INT((Census!$F91+AK$5))+IF((Census!$F91+AK$5)-INT((Census!$F91+AK$5))&gt;0.5,1,0)),Assumptions!$B$10))</f>
        <v>0</v>
      </c>
      <c r="AL91" s="30">
        <f>IF(AL$5&gt;$B91,0,INDEX(Decrements!$G$6:$G$58,Census!$G91+AL$5-18)/INDEX(Decrements!$G$6:$G$58,Census!$G91-17)*(INDEX(Decrements!$D$6:$D$58,Census!$G91+AL$5-18)+IF(AL$5=$B91,INDEX(Decrements!$F$6:$F$58,Census!$G91+AL$5-18),0)+INDEX(Decrements!$E$6:$E$58,Census!$G91+AL$5-18)*IF((Census!$F91+AL$5)&gt;=Assumptions!$B$11,1,0))*MIN(15/26*Census!$D91*(1+Assumptions!$B$9)^AL$5*(INT((Census!$F91+AL$5))+IF((Census!$F91+AL$5)-INT((Census!$F91+AL$5))&gt;0.5,1,0)),Assumptions!$B$10))</f>
        <v>0</v>
      </c>
      <c r="AM91" s="30">
        <f>IF(AM$5&gt;$B91,0,INDEX(Decrements!$G$6:$G$58,Census!$G91+AM$5-18)/INDEX(Decrements!$G$6:$G$58,Census!$G91-17)*(INDEX(Decrements!$D$6:$D$58,Census!$G91+AM$5-18)+IF(AM$5=$B91,INDEX(Decrements!$F$6:$F$58,Census!$G91+AM$5-18),0)+INDEX(Decrements!$E$6:$E$58,Census!$G91+AM$5-18)*IF((Census!$F91+AM$5)&gt;=Assumptions!$B$11,1,0))*MIN(15/26*Census!$D91*(1+Assumptions!$B$9)^AM$5*(INT((Census!$F91+AM$5))+IF((Census!$F91+AM$5)-INT((Census!$F91+AM$5))&gt;0.5,1,0)),Assumptions!$B$10))</f>
        <v>0</v>
      </c>
      <c r="AN91" s="30">
        <f>IF(AN$5&gt;$B91,0,INDEX(Decrements!$G$6:$G$58,Census!$G91+AN$5-18)/INDEX(Decrements!$G$6:$G$58,Census!$G91-17)*(INDEX(Decrements!$D$6:$D$58,Census!$G91+AN$5-18)+IF(AN$5=$B91,INDEX(Decrements!$F$6:$F$58,Census!$G91+AN$5-18),0)+INDEX(Decrements!$E$6:$E$58,Census!$G91+AN$5-18)*IF((Census!$F91+AN$5)&gt;=Assumptions!$B$11,1,0))*MIN(15/26*Census!$D91*(1+Assumptions!$B$9)^AN$5*(INT((Census!$F91+AN$5))+IF((Census!$F91+AN$5)-INT((Census!$F91+AN$5))&gt;0.5,1,0)),Assumptions!$B$10))</f>
        <v>0</v>
      </c>
      <c r="AO91" s="30">
        <f>IF(AO$5&gt;$B91,0,INDEX(Decrements!$G$6:$G$58,Census!$G91+AO$5-18)/INDEX(Decrements!$G$6:$G$58,Census!$G91-17)*(INDEX(Decrements!$D$6:$D$58,Census!$G91+AO$5-18)+IF(AO$5=$B91,INDEX(Decrements!$F$6:$F$58,Census!$G91+AO$5-18),0)+INDEX(Decrements!$E$6:$E$58,Census!$G91+AO$5-18)*IF((Census!$F91+AO$5)&gt;=Assumptions!$B$11,1,0))*MIN(15/26*Census!$D91*(1+Assumptions!$B$9)^AO$5*(INT((Census!$F91+AO$5))+IF((Census!$F91+AO$5)-INT((Census!$F91+AO$5))&gt;0.5,1,0)),Assumptions!$B$10))</f>
        <v>0</v>
      </c>
      <c r="AP91" s="30">
        <f>IF(AP$5&gt;$B91,0,INDEX(Decrements!$G$6:$G$58,Census!$G91+AP$5-18)/INDEX(Decrements!$G$6:$G$58,Census!$G91-17)*(INDEX(Decrements!$D$6:$D$58,Census!$G91+AP$5-18)+IF(AP$5=$B91,INDEX(Decrements!$F$6:$F$58,Census!$G91+AP$5-18),0)+INDEX(Decrements!$E$6:$E$58,Census!$G91+AP$5-18)*IF((Census!$F91+AP$5)&gt;=Assumptions!$B$11,1,0))*MIN(15/26*Census!$D91*(1+Assumptions!$B$9)^AP$5*(INT((Census!$F91+AP$5))+IF((Census!$F91+AP$5)-INT((Census!$F91+AP$5))&gt;0.5,1,0)),Assumptions!$B$10))</f>
        <v>0</v>
      </c>
      <c r="AQ91" s="30">
        <f>IF(AQ$5&gt;$B91,0,INDEX(Decrements!$G$6:$G$58,Census!$G91+AQ$5-18)/INDEX(Decrements!$G$6:$G$58,Census!$G91-17)*(INDEX(Decrements!$D$6:$D$58,Census!$G91+AQ$5-18)+IF(AQ$5=$B91,INDEX(Decrements!$F$6:$F$58,Census!$G91+AQ$5-18),0)+INDEX(Decrements!$E$6:$E$58,Census!$G91+AQ$5-18)*IF((Census!$F91+AQ$5)&gt;=Assumptions!$B$11,1,0))*MIN(15/26*Census!$D91*(1+Assumptions!$B$9)^AQ$5*(INT((Census!$F91+AQ$5))+IF((Census!$F91+AQ$5)-INT((Census!$F91+AQ$5))&gt;0.5,1,0)),Assumptions!$B$10))</f>
        <v>0</v>
      </c>
      <c r="AR91" s="30">
        <f>IF(AR$5&gt;$B91,0,INDEX(Decrements!$G$6:$G$58,Census!$G91+AR$5-18)/INDEX(Decrements!$G$6:$G$58,Census!$G91-17)*(INDEX(Decrements!$D$6:$D$58,Census!$G91+AR$5-18)+IF(AR$5=$B91,INDEX(Decrements!$F$6:$F$58,Census!$G91+AR$5-18),0)+INDEX(Decrements!$E$6:$E$58,Census!$G91+AR$5-18)*IF((Census!$F91+AR$5)&gt;=Assumptions!$B$11,1,0))*MIN(15/26*Census!$D91*(1+Assumptions!$B$9)^AR$5*(INT((Census!$F91+AR$5))+IF((Census!$F91+AR$5)-INT((Census!$F91+AR$5))&gt;0.5,1,0)),Assumptions!$B$10))</f>
        <v>0</v>
      </c>
      <c r="AS91" s="30">
        <f>IF(AS$5&gt;$B91,0,INDEX(Decrements!$G$6:$G$58,Census!$G91+AS$5-18)/INDEX(Decrements!$G$6:$G$58,Census!$G91-17)*(INDEX(Decrements!$D$6:$D$58,Census!$G91+AS$5-18)+IF(AS$5=$B91,INDEX(Decrements!$F$6:$F$58,Census!$G91+AS$5-18),0)+INDEX(Decrements!$E$6:$E$58,Census!$G91+AS$5-18)*IF((Census!$F91+AS$5)&gt;=Assumptions!$B$11,1,0))*MIN(15/26*Census!$D91*(1+Assumptions!$B$9)^AS$5*(INT((Census!$F91+AS$5))+IF((Census!$F91+AS$5)-INT((Census!$F91+AS$5))&gt;0.5,1,0)),Assumptions!$B$10))</f>
        <v>0</v>
      </c>
      <c r="AT91" s="30">
        <f>IF(AT$5&gt;$B91,0,INDEX(Decrements!$G$6:$G$58,Census!$G91+AT$5-18)/INDEX(Decrements!$G$6:$G$58,Census!$G91-17)*(INDEX(Decrements!$D$6:$D$58,Census!$G91+AT$5-18)+IF(AT$5=$B91,INDEX(Decrements!$F$6:$F$58,Census!$G91+AT$5-18),0)+INDEX(Decrements!$E$6:$E$58,Census!$G91+AT$5-18)*IF((Census!$F91+AT$5)&gt;=Assumptions!$B$11,1,0))*MIN(15/26*Census!$D91*(1+Assumptions!$B$9)^AT$5*(INT((Census!$F91+AT$5))+IF((Census!$F91+AT$5)-INT((Census!$F91+AT$5))&gt;0.5,1,0)),Assumptions!$B$10))</f>
        <v>0</v>
      </c>
      <c r="AU91" s="30">
        <f>IF(AU$5&gt;$B91,0,INDEX(Decrements!$G$6:$G$58,Census!$G91+AU$5-18)/INDEX(Decrements!$G$6:$G$58,Census!$G91-17)*(INDEX(Decrements!$D$6:$D$58,Census!$G91+AU$5-18)+IF(AU$5=$B91,INDEX(Decrements!$F$6:$F$58,Census!$G91+AU$5-18),0)+INDEX(Decrements!$E$6:$E$58,Census!$G91+AU$5-18)*IF((Census!$F91+AU$5)&gt;=Assumptions!$B$11,1,0))*MIN(15/26*Census!$D91*(1+Assumptions!$B$9)^AU$5*(INT((Census!$F91+AU$5))+IF((Census!$F91+AU$5)-INT((Census!$F91+AU$5))&gt;0.5,1,0)),Assumptions!$B$10))</f>
        <v>0</v>
      </c>
    </row>
    <row r="92" spans="1:47" x14ac:dyDescent="0.3">
      <c r="A92" s="10" t="str">
        <f>Census!A92</f>
        <v>E087</v>
      </c>
      <c r="B92" s="29">
        <f>Census!H92</f>
        <v>31</v>
      </c>
      <c r="C92" s="30">
        <f>IF(C$5&gt;$B92,0,INDEX(Decrements!$G$6:$G$58,Census!$G92+C$5-18)/INDEX(Decrements!$G$6:$G$58,Census!$G92-17)*(INDEX(Decrements!$D$6:$D$58,Census!$G92+C$5-18)+IF(C$5=$B92,INDEX(Decrements!$F$6:$F$58,Census!$G92+C$5-18),0)+INDEX(Decrements!$E$6:$E$58,Census!$G92+C$5-18)*IF((Census!$F92+C$5)&gt;=Assumptions!$B$11,1,0))*MIN(15/26*Census!$D92*(1+Assumptions!$B$9)^C$5*(INT((Census!$F92+C$5))+IF((Census!$F92+C$5)-INT((Census!$F92+C$5))&gt;0.5,1,0)),Assumptions!$B$10))</f>
        <v>44.334548666484338</v>
      </c>
      <c r="D92" s="30">
        <f>IF(D$5&gt;$B92,0,INDEX(Decrements!$G$6:$G$58,Census!$G92+D$5-18)/INDEX(Decrements!$G$6:$G$58,Census!$G92-17)*(INDEX(Decrements!$D$6:$D$58,Census!$G92+D$5-18)+IF(D$5=$B92,INDEX(Decrements!$F$6:$F$58,Census!$G92+D$5-18),0)+INDEX(Decrements!$E$6:$E$58,Census!$G92+D$5-18)*IF((Census!$F92+D$5)&gt;=Assumptions!$B$11,1,0))*MIN(15/26*Census!$D92*(1+Assumptions!$B$9)^D$5*(INT((Census!$F92+D$5))+IF((Census!$F92+D$5)-INT((Census!$F92+D$5))&gt;0.5,1,0)),Assumptions!$B$10))</f>
        <v>57.913418052402491</v>
      </c>
      <c r="E92" s="30">
        <f>IF(E$5&gt;$B92,0,INDEX(Decrements!$G$6:$G$58,Census!$G92+E$5-18)/INDEX(Decrements!$G$6:$G$58,Census!$G92-17)*(INDEX(Decrements!$D$6:$D$58,Census!$G92+E$5-18)+IF(E$5=$B92,INDEX(Decrements!$F$6:$F$58,Census!$G92+E$5-18),0)+INDEX(Decrements!$E$6:$E$58,Census!$G92+E$5-18)*IF((Census!$F92+E$5)&gt;=Assumptions!$B$11,1,0))*MIN(15/26*Census!$D92*(1+Assumptions!$B$9)^E$5*(INT((Census!$F92+E$5))+IF((Census!$F92+E$5)-INT((Census!$F92+E$5))&gt;0.5,1,0)),Assumptions!$B$10))</f>
        <v>72.851281909075809</v>
      </c>
      <c r="F92" s="30">
        <f>IF(F$5&gt;$B92,0,INDEX(Decrements!$G$6:$G$58,Census!$G92+F$5-18)/INDEX(Decrements!$G$6:$G$58,Census!$G92-17)*(INDEX(Decrements!$D$6:$D$58,Census!$G92+F$5-18)+IF(F$5=$B92,INDEX(Decrements!$F$6:$F$58,Census!$G92+F$5-18),0)+INDEX(Decrements!$E$6:$E$58,Census!$G92+F$5-18)*IF((Census!$F92+F$5)&gt;=Assumptions!$B$11,1,0))*MIN(15/26*Census!$D92*(1+Assumptions!$B$9)^F$5*(INT((Census!$F92+F$5))+IF((Census!$F92+F$5)-INT((Census!$F92+F$5))&gt;0.5,1,0)),Assumptions!$B$10))</f>
        <v>12262.393419399545</v>
      </c>
      <c r="G92" s="30">
        <f>IF(G$5&gt;$B92,0,INDEX(Decrements!$G$6:$G$58,Census!$G92+G$5-18)/INDEX(Decrements!$G$6:$G$58,Census!$G92-17)*(INDEX(Decrements!$D$6:$D$58,Census!$G92+G$5-18)+IF(G$5=$B92,INDEX(Decrements!$F$6:$F$58,Census!$G92+G$5-18),0)+INDEX(Decrements!$E$6:$E$58,Census!$G92+G$5-18)*IF((Census!$F92+G$5)&gt;=Assumptions!$B$11,1,0))*MIN(15/26*Census!$D92*(1+Assumptions!$B$9)^G$5*(INT((Census!$F92+G$5))+IF((Census!$F92+G$5)-INT((Census!$F92+G$5))&gt;0.5,1,0)),Assumptions!$B$10))</f>
        <v>13744.347603204873</v>
      </c>
      <c r="H92" s="30">
        <f>IF(H$5&gt;$B92,0,INDEX(Decrements!$G$6:$G$58,Census!$G92+H$5-18)/INDEX(Decrements!$G$6:$G$58,Census!$G92-17)*(INDEX(Decrements!$D$6:$D$58,Census!$G92+H$5-18)+IF(H$5=$B92,INDEX(Decrements!$F$6:$F$58,Census!$G92+H$5-18),0)+INDEX(Decrements!$E$6:$E$58,Census!$G92+H$5-18)*IF((Census!$F92+H$5)&gt;=Assumptions!$B$11,1,0))*MIN(15/26*Census!$D92*(1+Assumptions!$B$9)^H$5*(INT((Census!$F92+H$5))+IF((Census!$F92+H$5)-INT((Census!$F92+H$5))&gt;0.5,1,0)),Assumptions!$B$10))</f>
        <v>15090.870970309652</v>
      </c>
      <c r="I92" s="30">
        <f>IF(I$5&gt;$B92,0,INDEX(Decrements!$G$6:$G$58,Census!$G92+I$5-18)/INDEX(Decrements!$G$6:$G$58,Census!$G92-17)*(INDEX(Decrements!$D$6:$D$58,Census!$G92+I$5-18)+IF(I$5=$B92,INDEX(Decrements!$F$6:$F$58,Census!$G92+I$5-18),0)+INDEX(Decrements!$E$6:$E$58,Census!$G92+I$5-18)*IF((Census!$F92+I$5)&gt;=Assumptions!$B$11,1,0))*MIN(15/26*Census!$D92*(1+Assumptions!$B$9)^I$5*(INT((Census!$F92+I$5))+IF((Census!$F92+I$5)-INT((Census!$F92+I$5))&gt;0.5,1,0)),Assumptions!$B$10))</f>
        <v>11901.689584043876</v>
      </c>
      <c r="J92" s="30">
        <f>IF(J$5&gt;$B92,0,INDEX(Decrements!$G$6:$G$58,Census!$G92+J$5-18)/INDEX(Decrements!$G$6:$G$58,Census!$G92-17)*(INDEX(Decrements!$D$6:$D$58,Census!$G92+J$5-18)+IF(J$5=$B92,INDEX(Decrements!$F$6:$F$58,Census!$G92+J$5-18),0)+INDEX(Decrements!$E$6:$E$58,Census!$G92+J$5-18)*IF((Census!$F92+J$5)&gt;=Assumptions!$B$11,1,0))*MIN(15/26*Census!$D92*(1+Assumptions!$B$9)^J$5*(INT((Census!$F92+J$5))+IF((Census!$F92+J$5)-INT((Census!$F92+J$5))&gt;0.5,1,0)),Assumptions!$B$10))</f>
        <v>13135.260299802034</v>
      </c>
      <c r="K92" s="30">
        <f>IF(K$5&gt;$B92,0,INDEX(Decrements!$G$6:$G$58,Census!$G92+K$5-18)/INDEX(Decrements!$G$6:$G$58,Census!$G92-17)*(INDEX(Decrements!$D$6:$D$58,Census!$G92+K$5-18)+IF(K$5=$B92,INDEX(Decrements!$F$6:$F$58,Census!$G92+K$5-18),0)+INDEX(Decrements!$E$6:$E$58,Census!$G92+K$5-18)*IF((Census!$F92+K$5)&gt;=Assumptions!$B$11,1,0))*MIN(15/26*Census!$D92*(1+Assumptions!$B$9)^K$5*(INT((Census!$F92+K$5))+IF((Census!$F92+K$5)-INT((Census!$F92+K$5))&gt;0.5,1,0)),Assumptions!$B$10))</f>
        <v>14351.826288927425</v>
      </c>
      <c r="L92" s="30">
        <f>IF(L$5&gt;$B92,0,INDEX(Decrements!$G$6:$G$58,Census!$G92+L$5-18)/INDEX(Decrements!$G$6:$G$58,Census!$G92-17)*(INDEX(Decrements!$D$6:$D$58,Census!$G92+L$5-18)+IF(L$5=$B92,INDEX(Decrements!$F$6:$F$58,Census!$G92+L$5-18),0)+INDEX(Decrements!$E$6:$E$58,Census!$G92+L$5-18)*IF((Census!$F92+L$5)&gt;=Assumptions!$B$11,1,0))*MIN(15/26*Census!$D92*(1+Assumptions!$B$9)^L$5*(INT((Census!$F92+L$5))+IF((Census!$F92+L$5)-INT((Census!$F92+L$5))&gt;0.5,1,0)),Assumptions!$B$10))</f>
        <v>15551.598253032222</v>
      </c>
      <c r="M92" s="30">
        <f>IF(M$5&gt;$B92,0,INDEX(Decrements!$G$6:$G$58,Census!$G92+M$5-18)/INDEX(Decrements!$G$6:$G$58,Census!$G92-17)*(INDEX(Decrements!$D$6:$D$58,Census!$G92+M$5-18)+IF(M$5=$B92,INDEX(Decrements!$F$6:$F$58,Census!$G92+M$5-18),0)+INDEX(Decrements!$E$6:$E$58,Census!$G92+M$5-18)*IF((Census!$F92+M$5)&gt;=Assumptions!$B$11,1,0))*MIN(15/26*Census!$D92*(1+Assumptions!$B$9)^M$5*(INT((Census!$F92+M$5))+IF((Census!$F92+M$5)-INT((Census!$F92+M$5))&gt;0.5,1,0)),Assumptions!$B$10))</f>
        <v>16734.788183473625</v>
      </c>
      <c r="N92" s="30">
        <f>IF(N$5&gt;$B92,0,INDEX(Decrements!$G$6:$G$58,Census!$G92+N$5-18)/INDEX(Decrements!$G$6:$G$58,Census!$G92-17)*(INDEX(Decrements!$D$6:$D$58,Census!$G92+N$5-18)+IF(N$5=$B92,INDEX(Decrements!$F$6:$F$58,Census!$G92+N$5-18),0)+INDEX(Decrements!$E$6:$E$58,Census!$G92+N$5-18)*IF((Census!$F92+N$5)&gt;=Assumptions!$B$11,1,0))*MIN(15/26*Census!$D92*(1+Assumptions!$B$9)^N$5*(INT((Census!$F92+N$5))+IF((Census!$F92+N$5)-INT((Census!$F92+N$5))&gt;0.5,1,0)),Assumptions!$B$10))</f>
        <v>11299.961294387293</v>
      </c>
      <c r="O92" s="30">
        <f>IF(O$5&gt;$B92,0,INDEX(Decrements!$G$6:$G$58,Census!$G92+O$5-18)/INDEX(Decrements!$G$6:$G$58,Census!$G92-17)*(INDEX(Decrements!$D$6:$D$58,Census!$G92+O$5-18)+IF(O$5=$B92,INDEX(Decrements!$F$6:$F$58,Census!$G92+O$5-18),0)+INDEX(Decrements!$E$6:$E$58,Census!$G92+O$5-18)*IF((Census!$F92+O$5)&gt;=Assumptions!$B$11,1,0))*MIN(15/26*Census!$D92*(1+Assumptions!$B$9)^O$5*(INT((Census!$F92+O$5))+IF((Census!$F92+O$5)-INT((Census!$F92+O$5))&gt;0.5,1,0)),Assumptions!$B$10))</f>
        <v>12426.926183402094</v>
      </c>
      <c r="P92" s="30">
        <f>IF(P$5&gt;$B92,0,INDEX(Decrements!$G$6:$G$58,Census!$G92+P$5-18)/INDEX(Decrements!$G$6:$G$58,Census!$G92-17)*(INDEX(Decrements!$D$6:$D$58,Census!$G92+P$5-18)+IF(P$5=$B92,INDEX(Decrements!$F$6:$F$58,Census!$G92+P$5-18),0)+INDEX(Decrements!$E$6:$E$58,Census!$G92+P$5-18)*IF((Census!$F92+P$5)&gt;=Assumptions!$B$11,1,0))*MIN(15/26*Census!$D92*(1+Assumptions!$B$9)^P$5*(INT((Census!$F92+P$5))+IF((Census!$F92+P$5)-INT((Census!$F92+P$5))&gt;0.5,1,0)),Assumptions!$B$10))</f>
        <v>13606.591453534596</v>
      </c>
      <c r="Q92" s="30">
        <f>IF(Q$5&gt;$B92,0,INDEX(Decrements!$G$6:$G$58,Census!$G92+Q$5-18)/INDEX(Decrements!$G$6:$G$58,Census!$G92-17)*(INDEX(Decrements!$D$6:$D$58,Census!$G92+Q$5-18)+IF(Q$5=$B92,INDEX(Decrements!$F$6:$F$58,Census!$G92+Q$5-18),0)+INDEX(Decrements!$E$6:$E$58,Census!$G92+Q$5-18)*IF((Census!$F92+Q$5)&gt;=Assumptions!$B$11,1,0))*MIN(15/26*Census!$D92*(1+Assumptions!$B$9)^Q$5*(INT((Census!$F92+Q$5))+IF((Census!$F92+Q$5)-INT((Census!$F92+Q$5))&gt;0.5,1,0)),Assumptions!$B$10))</f>
        <v>14841.286629008604</v>
      </c>
      <c r="R92" s="30">
        <f>IF(R$5&gt;$B92,0,INDEX(Decrements!$G$6:$G$58,Census!$G92+R$5-18)/INDEX(Decrements!$G$6:$G$58,Census!$G92-17)*(INDEX(Decrements!$D$6:$D$58,Census!$G92+R$5-18)+IF(R$5=$B92,INDEX(Decrements!$F$6:$F$58,Census!$G92+R$5-18),0)+INDEX(Decrements!$E$6:$E$58,Census!$G92+R$5-18)*IF((Census!$F92+R$5)&gt;=Assumptions!$B$11,1,0))*MIN(15/26*Census!$D92*(1+Assumptions!$B$9)^R$5*(INT((Census!$F92+R$5))+IF((Census!$F92+R$5)-INT((Census!$F92+R$5))&gt;0.5,1,0)),Assumptions!$B$10))</f>
        <v>16133.478208318716</v>
      </c>
      <c r="S92" s="30">
        <f>IF(S$5&gt;$B92,0,INDEX(Decrements!$G$6:$G$58,Census!$G92+S$5-18)/INDEX(Decrements!$G$6:$G$58,Census!$G92-17)*(INDEX(Decrements!$D$6:$D$58,Census!$G92+S$5-18)+IF(S$5=$B92,INDEX(Decrements!$F$6:$F$58,Census!$G92+S$5-18),0)+INDEX(Decrements!$E$6:$E$58,Census!$G92+S$5-18)*IF((Census!$F92+S$5)&gt;=Assumptions!$B$11,1,0))*MIN(15/26*Census!$D92*(1+Assumptions!$B$9)^S$5*(INT((Census!$F92+S$5))+IF((Census!$F92+S$5)-INT((Census!$F92+S$5))&gt;0.5,1,0)),Assumptions!$B$10))</f>
        <v>10751.59778895851</v>
      </c>
      <c r="T92" s="30">
        <f>IF(T$5&gt;$B92,0,INDEX(Decrements!$G$6:$G$58,Census!$G92+T$5-18)/INDEX(Decrements!$G$6:$G$58,Census!$G92-17)*(INDEX(Decrements!$D$6:$D$58,Census!$G92+T$5-18)+IF(T$5=$B92,INDEX(Decrements!$F$6:$F$58,Census!$G92+T$5-18),0)+INDEX(Decrements!$E$6:$E$58,Census!$G92+T$5-18)*IF((Census!$F92+T$5)&gt;=Assumptions!$B$11,1,0))*MIN(15/26*Census!$D92*(1+Assumptions!$B$9)^T$5*(INT((Census!$F92+T$5))+IF((Census!$F92+T$5)-INT((Census!$F92+T$5))&gt;0.5,1,0)),Assumptions!$B$10))</f>
        <v>11888.306041195634</v>
      </c>
      <c r="U92" s="30">
        <f>IF(U$5&gt;$B92,0,INDEX(Decrements!$G$6:$G$58,Census!$G92+U$5-18)/INDEX(Decrements!$G$6:$G$58,Census!$G92-17)*(INDEX(Decrements!$D$6:$D$58,Census!$G92+U$5-18)+IF(U$5=$B92,INDEX(Decrements!$F$6:$F$58,Census!$G92+U$5-18),0)+INDEX(Decrements!$E$6:$E$58,Census!$G92+U$5-18)*IF((Census!$F92+U$5)&gt;=Assumptions!$B$11,1,0))*MIN(15/26*Census!$D92*(1+Assumptions!$B$9)^U$5*(INT((Census!$F92+U$5))+IF((Census!$F92+U$5)-INT((Census!$F92+U$5))&gt;0.5,1,0)),Assumptions!$B$10))</f>
        <v>13116.067737814201</v>
      </c>
      <c r="V92" s="30">
        <f>IF(V$5&gt;$B92,0,INDEX(Decrements!$G$6:$G$58,Census!$G92+V$5-18)/INDEX(Decrements!$G$6:$G$58,Census!$G92-17)*(INDEX(Decrements!$D$6:$D$58,Census!$G92+V$5-18)+IF(V$5=$B92,INDEX(Decrements!$F$6:$F$58,Census!$G92+V$5-18),0)+INDEX(Decrements!$E$6:$E$58,Census!$G92+V$5-18)*IF((Census!$F92+V$5)&gt;=Assumptions!$B$11,1,0))*MIN(15/26*Census!$D92*(1+Assumptions!$B$9)^V$5*(INT((Census!$F92+V$5))+IF((Census!$F92+V$5)-INT((Census!$F92+V$5))&gt;0.5,1,0)),Assumptions!$B$10))</f>
        <v>13950.239265483206</v>
      </c>
      <c r="W92" s="30">
        <f>IF(W$5&gt;$B92,0,INDEX(Decrements!$G$6:$G$58,Census!$G92+W$5-18)/INDEX(Decrements!$G$6:$G$58,Census!$G92-17)*(INDEX(Decrements!$D$6:$D$58,Census!$G92+W$5-18)+IF(W$5=$B92,INDEX(Decrements!$F$6:$F$58,Census!$G92+W$5-18),0)+INDEX(Decrements!$E$6:$E$58,Census!$G92+W$5-18)*IF((Census!$F92+W$5)&gt;=Assumptions!$B$11,1,0))*MIN(15/26*Census!$D92*(1+Assumptions!$B$9)^W$5*(INT((Census!$F92+W$5))+IF((Census!$F92+W$5)-INT((Census!$F92+W$5))&gt;0.5,1,0)),Assumptions!$B$10))</f>
        <v>13580.978429028084</v>
      </c>
      <c r="X92" s="30">
        <f>IF(X$5&gt;$B92,0,INDEX(Decrements!$G$6:$G$58,Census!$G92+X$5-18)/INDEX(Decrements!$G$6:$G$58,Census!$G92-17)*(INDEX(Decrements!$D$6:$D$58,Census!$G92+X$5-18)+IF(X$5=$B92,INDEX(Decrements!$F$6:$F$58,Census!$G92+X$5-18),0)+INDEX(Decrements!$E$6:$E$58,Census!$G92+X$5-18)*IF((Census!$F92+X$5)&gt;=Assumptions!$B$11,1,0))*MIN(15/26*Census!$D92*(1+Assumptions!$B$9)^X$5*(INT((Census!$F92+X$5))+IF((Census!$F92+X$5)-INT((Census!$F92+X$5))&gt;0.5,1,0)),Assumptions!$B$10))</f>
        <v>9202.129517202402</v>
      </c>
      <c r="Y92" s="30">
        <f>IF(Y$5&gt;$B92,0,INDEX(Decrements!$G$6:$G$58,Census!$G92+Y$5-18)/INDEX(Decrements!$G$6:$G$58,Census!$G92-17)*(INDEX(Decrements!$D$6:$D$58,Census!$G92+Y$5-18)+IF(Y$5=$B92,INDEX(Decrements!$F$6:$F$58,Census!$G92+Y$5-18),0)+INDEX(Decrements!$E$6:$E$58,Census!$G92+Y$5-18)*IF((Census!$F92+Y$5)&gt;=Assumptions!$B$11,1,0))*MIN(15/26*Census!$D92*(1+Assumptions!$B$9)^Y$5*(INT((Census!$F92+Y$5))+IF((Census!$F92+Y$5)-INT((Census!$F92+Y$5))&gt;0.5,1,0)),Assumptions!$B$10))</f>
        <v>9087.220456312667</v>
      </c>
      <c r="Z92" s="30">
        <f>IF(Z$5&gt;$B92,0,INDEX(Decrements!$G$6:$G$58,Census!$G92+Z$5-18)/INDEX(Decrements!$G$6:$G$58,Census!$G92-17)*(INDEX(Decrements!$D$6:$D$58,Census!$G92+Z$5-18)+IF(Z$5=$B92,INDEX(Decrements!$F$6:$F$58,Census!$G92+Z$5-18),0)+INDEX(Decrements!$E$6:$E$58,Census!$G92+Z$5-18)*IF((Census!$F92+Z$5)&gt;=Assumptions!$B$11,1,0))*MIN(15/26*Census!$D92*(1+Assumptions!$B$9)^Z$5*(INT((Census!$F92+Z$5))+IF((Census!$F92+Z$5)-INT((Census!$F92+Z$5))&gt;0.5,1,0)),Assumptions!$B$10))</f>
        <v>8979.8039427446183</v>
      </c>
      <c r="AA92" s="30">
        <f>IF(AA$5&gt;$B92,0,INDEX(Decrements!$G$6:$G$58,Census!$G92+AA$5-18)/INDEX(Decrements!$G$6:$G$58,Census!$G92-17)*(INDEX(Decrements!$D$6:$D$58,Census!$G92+AA$5-18)+IF(AA$5=$B92,INDEX(Decrements!$F$6:$F$58,Census!$G92+AA$5-18),0)+INDEX(Decrements!$E$6:$E$58,Census!$G92+AA$5-18)*IF((Census!$F92+AA$5)&gt;=Assumptions!$B$11,1,0))*MIN(15/26*Census!$D92*(1+Assumptions!$B$9)^AA$5*(INT((Census!$F92+AA$5))+IF((Census!$F92+AA$5)-INT((Census!$F92+AA$5))&gt;0.5,1,0)),Assumptions!$B$10))</f>
        <v>8880.0378592498673</v>
      </c>
      <c r="AB92" s="30">
        <f>IF(AB$5&gt;$B92,0,INDEX(Decrements!$G$6:$G$58,Census!$G92+AB$5-18)/INDEX(Decrements!$G$6:$G$58,Census!$G92-17)*(INDEX(Decrements!$D$6:$D$58,Census!$G92+AB$5-18)+IF(AB$5=$B92,INDEX(Decrements!$F$6:$F$58,Census!$G92+AB$5-18),0)+INDEX(Decrements!$E$6:$E$58,Census!$G92+AB$5-18)*IF((Census!$F92+AB$5)&gt;=Assumptions!$B$11,1,0))*MIN(15/26*Census!$D92*(1+Assumptions!$B$9)^AB$5*(INT((Census!$F92+AB$5))+IF((Census!$F92+AB$5)-INT((Census!$F92+AB$5))&gt;0.5,1,0)),Assumptions!$B$10))</f>
        <v>8788.0852986952104</v>
      </c>
      <c r="AC92" s="30">
        <f>IF(AC$5&gt;$B92,0,INDEX(Decrements!$G$6:$G$58,Census!$G92+AC$5-18)/INDEX(Decrements!$G$6:$G$58,Census!$G92-17)*(INDEX(Decrements!$D$6:$D$58,Census!$G92+AC$5-18)+IF(AC$5=$B92,INDEX(Decrements!$F$6:$F$58,Census!$G92+AC$5-18),0)+INDEX(Decrements!$E$6:$E$58,Census!$G92+AC$5-18)*IF((Census!$F92+AC$5)&gt;=Assumptions!$B$11,1,0))*MIN(15/26*Census!$D92*(1+Assumptions!$B$9)^AC$5*(INT((Census!$F92+AC$5))+IF((Census!$F92+AC$5)-INT((Census!$F92+AC$5))&gt;0.5,1,0)),Assumptions!$B$10))</f>
        <v>5133.4566598202482</v>
      </c>
      <c r="AD92" s="30">
        <f>IF(AD$5&gt;$B92,0,INDEX(Decrements!$G$6:$G$58,Census!$G92+AD$5-18)/INDEX(Decrements!$G$6:$G$58,Census!$G92-17)*(INDEX(Decrements!$D$6:$D$58,Census!$G92+AD$5-18)+IF(AD$5=$B92,INDEX(Decrements!$F$6:$F$58,Census!$G92+AD$5-18),0)+INDEX(Decrements!$E$6:$E$58,Census!$G92+AD$5-18)*IF((Census!$F92+AD$5)&gt;=Assumptions!$B$11,1,0))*MIN(15/26*Census!$D92*(1+Assumptions!$B$9)^AD$5*(INT((Census!$F92+AD$5))+IF((Census!$F92+AD$5)-INT((Census!$F92+AD$5))&gt;0.5,1,0)),Assumptions!$B$10))</f>
        <v>5198.1807074972949</v>
      </c>
      <c r="AE92" s="30">
        <f>IF(AE$5&gt;$B92,0,INDEX(Decrements!$G$6:$G$58,Census!$G92+AE$5-18)/INDEX(Decrements!$G$6:$G$58,Census!$G92-17)*(INDEX(Decrements!$D$6:$D$58,Census!$G92+AE$5-18)+IF(AE$5=$B92,INDEX(Decrements!$F$6:$F$58,Census!$G92+AE$5-18),0)+INDEX(Decrements!$E$6:$E$58,Census!$G92+AE$5-18)*IF((Census!$F92+AE$5)&gt;=Assumptions!$B$11,1,0))*MIN(15/26*Census!$D92*(1+Assumptions!$B$9)^AE$5*(INT((Census!$F92+AE$5))+IF((Census!$F92+AE$5)-INT((Census!$F92+AE$5))&gt;0.5,1,0)),Assumptions!$B$10))</f>
        <v>5271.4685365073301</v>
      </c>
      <c r="AF92" s="30">
        <f>IF(AF$5&gt;$B92,0,INDEX(Decrements!$G$6:$G$58,Census!$G92+AF$5-18)/INDEX(Decrements!$G$6:$G$58,Census!$G92-17)*(INDEX(Decrements!$D$6:$D$58,Census!$G92+AF$5-18)+IF(AF$5=$B92,INDEX(Decrements!$F$6:$F$58,Census!$G92+AF$5-18),0)+INDEX(Decrements!$E$6:$E$58,Census!$G92+AF$5-18)*IF((Census!$F92+AF$5)&gt;=Assumptions!$B$11,1,0))*MIN(15/26*Census!$D92*(1+Assumptions!$B$9)^AF$5*(INT((Census!$F92+AF$5))+IF((Census!$F92+AF$5)-INT((Census!$F92+AF$5))&gt;0.5,1,0)),Assumptions!$B$10))</f>
        <v>5353.8182487550612</v>
      </c>
      <c r="AG92" s="30">
        <f>IF(AG$5&gt;$B92,0,INDEX(Decrements!$G$6:$G$58,Census!$G92+AG$5-18)/INDEX(Decrements!$G$6:$G$58,Census!$G92-17)*(INDEX(Decrements!$D$6:$D$58,Census!$G92+AG$5-18)+IF(AG$5=$B92,INDEX(Decrements!$F$6:$F$58,Census!$G92+AG$5-18),0)+INDEX(Decrements!$E$6:$E$58,Census!$G92+AG$5-18)*IF((Census!$F92+AG$5)&gt;=Assumptions!$B$11,1,0))*MIN(15/26*Census!$D92*(1+Assumptions!$B$9)^AG$5*(INT((Census!$F92+AG$5))+IF((Census!$F92+AG$5)-INT((Census!$F92+AG$5))&gt;0.5,1,0)),Assumptions!$B$10))</f>
        <v>337671.4546501594</v>
      </c>
      <c r="AH92" s="30">
        <f>IF(AH$5&gt;$B92,0,INDEX(Decrements!$G$6:$G$58,Census!$G92+AH$5-18)/INDEX(Decrements!$G$6:$G$58,Census!$G92-17)*(INDEX(Decrements!$D$6:$D$58,Census!$G92+AH$5-18)+IF(AH$5=$B92,INDEX(Decrements!$F$6:$F$58,Census!$G92+AH$5-18),0)+INDEX(Decrements!$E$6:$E$58,Census!$G92+AH$5-18)*IF((Census!$F92+AH$5)&gt;=Assumptions!$B$11,1,0))*MIN(15/26*Census!$D92*(1+Assumptions!$B$9)^AH$5*(INT((Census!$F92+AH$5))+IF((Census!$F92+AH$5)-INT((Census!$F92+AH$5))&gt;0.5,1,0)),Assumptions!$B$10))</f>
        <v>0</v>
      </c>
      <c r="AI92" s="30">
        <f>IF(AI$5&gt;$B92,0,INDEX(Decrements!$G$6:$G$58,Census!$G92+AI$5-18)/INDEX(Decrements!$G$6:$G$58,Census!$G92-17)*(INDEX(Decrements!$D$6:$D$58,Census!$G92+AI$5-18)+IF(AI$5=$B92,INDEX(Decrements!$F$6:$F$58,Census!$G92+AI$5-18),0)+INDEX(Decrements!$E$6:$E$58,Census!$G92+AI$5-18)*IF((Census!$F92+AI$5)&gt;=Assumptions!$B$11,1,0))*MIN(15/26*Census!$D92*(1+Assumptions!$B$9)^AI$5*(INT((Census!$F92+AI$5))+IF((Census!$F92+AI$5)-INT((Census!$F92+AI$5))&gt;0.5,1,0)),Assumptions!$B$10))</f>
        <v>0</v>
      </c>
      <c r="AJ92" s="30">
        <f>IF(AJ$5&gt;$B92,0,INDEX(Decrements!$G$6:$G$58,Census!$G92+AJ$5-18)/INDEX(Decrements!$G$6:$G$58,Census!$G92-17)*(INDEX(Decrements!$D$6:$D$58,Census!$G92+AJ$5-18)+IF(AJ$5=$B92,INDEX(Decrements!$F$6:$F$58,Census!$G92+AJ$5-18),0)+INDEX(Decrements!$E$6:$E$58,Census!$G92+AJ$5-18)*IF((Census!$F92+AJ$5)&gt;=Assumptions!$B$11,1,0))*MIN(15/26*Census!$D92*(1+Assumptions!$B$9)^AJ$5*(INT((Census!$F92+AJ$5))+IF((Census!$F92+AJ$5)-INT((Census!$F92+AJ$5))&gt;0.5,1,0)),Assumptions!$B$10))</f>
        <v>0</v>
      </c>
      <c r="AK92" s="30">
        <f>IF(AK$5&gt;$B92,0,INDEX(Decrements!$G$6:$G$58,Census!$G92+AK$5-18)/INDEX(Decrements!$G$6:$G$58,Census!$G92-17)*(INDEX(Decrements!$D$6:$D$58,Census!$G92+AK$5-18)+IF(AK$5=$B92,INDEX(Decrements!$F$6:$F$58,Census!$G92+AK$5-18),0)+INDEX(Decrements!$E$6:$E$58,Census!$G92+AK$5-18)*IF((Census!$F92+AK$5)&gt;=Assumptions!$B$11,1,0))*MIN(15/26*Census!$D92*(1+Assumptions!$B$9)^AK$5*(INT((Census!$F92+AK$5))+IF((Census!$F92+AK$5)-INT((Census!$F92+AK$5))&gt;0.5,1,0)),Assumptions!$B$10))</f>
        <v>0</v>
      </c>
      <c r="AL92" s="30">
        <f>IF(AL$5&gt;$B92,0,INDEX(Decrements!$G$6:$G$58,Census!$G92+AL$5-18)/INDEX(Decrements!$G$6:$G$58,Census!$G92-17)*(INDEX(Decrements!$D$6:$D$58,Census!$G92+AL$5-18)+IF(AL$5=$B92,INDEX(Decrements!$F$6:$F$58,Census!$G92+AL$5-18),0)+INDEX(Decrements!$E$6:$E$58,Census!$G92+AL$5-18)*IF((Census!$F92+AL$5)&gt;=Assumptions!$B$11,1,0))*MIN(15/26*Census!$D92*(1+Assumptions!$B$9)^AL$5*(INT((Census!$F92+AL$5))+IF((Census!$F92+AL$5)-INT((Census!$F92+AL$5))&gt;0.5,1,0)),Assumptions!$B$10))</f>
        <v>0</v>
      </c>
      <c r="AM92" s="30">
        <f>IF(AM$5&gt;$B92,0,INDEX(Decrements!$G$6:$G$58,Census!$G92+AM$5-18)/INDEX(Decrements!$G$6:$G$58,Census!$G92-17)*(INDEX(Decrements!$D$6:$D$58,Census!$G92+AM$5-18)+IF(AM$5=$B92,INDEX(Decrements!$F$6:$F$58,Census!$G92+AM$5-18),0)+INDEX(Decrements!$E$6:$E$58,Census!$G92+AM$5-18)*IF((Census!$F92+AM$5)&gt;=Assumptions!$B$11,1,0))*MIN(15/26*Census!$D92*(1+Assumptions!$B$9)^AM$5*(INT((Census!$F92+AM$5))+IF((Census!$F92+AM$5)-INT((Census!$F92+AM$5))&gt;0.5,1,0)),Assumptions!$B$10))</f>
        <v>0</v>
      </c>
      <c r="AN92" s="30">
        <f>IF(AN$5&gt;$B92,0,INDEX(Decrements!$G$6:$G$58,Census!$G92+AN$5-18)/INDEX(Decrements!$G$6:$G$58,Census!$G92-17)*(INDEX(Decrements!$D$6:$D$58,Census!$G92+AN$5-18)+IF(AN$5=$B92,INDEX(Decrements!$F$6:$F$58,Census!$G92+AN$5-18),0)+INDEX(Decrements!$E$6:$E$58,Census!$G92+AN$5-18)*IF((Census!$F92+AN$5)&gt;=Assumptions!$B$11,1,0))*MIN(15/26*Census!$D92*(1+Assumptions!$B$9)^AN$5*(INT((Census!$F92+AN$5))+IF((Census!$F92+AN$5)-INT((Census!$F92+AN$5))&gt;0.5,1,0)),Assumptions!$B$10))</f>
        <v>0</v>
      </c>
      <c r="AO92" s="30">
        <f>IF(AO$5&gt;$B92,0,INDEX(Decrements!$G$6:$G$58,Census!$G92+AO$5-18)/INDEX(Decrements!$G$6:$G$58,Census!$G92-17)*(INDEX(Decrements!$D$6:$D$58,Census!$G92+AO$5-18)+IF(AO$5=$B92,INDEX(Decrements!$F$6:$F$58,Census!$G92+AO$5-18),0)+INDEX(Decrements!$E$6:$E$58,Census!$G92+AO$5-18)*IF((Census!$F92+AO$5)&gt;=Assumptions!$B$11,1,0))*MIN(15/26*Census!$D92*(1+Assumptions!$B$9)^AO$5*(INT((Census!$F92+AO$5))+IF((Census!$F92+AO$5)-INT((Census!$F92+AO$5))&gt;0.5,1,0)),Assumptions!$B$10))</f>
        <v>0</v>
      </c>
      <c r="AP92" s="30">
        <f>IF(AP$5&gt;$B92,0,INDEX(Decrements!$G$6:$G$58,Census!$G92+AP$5-18)/INDEX(Decrements!$G$6:$G$58,Census!$G92-17)*(INDEX(Decrements!$D$6:$D$58,Census!$G92+AP$5-18)+IF(AP$5=$B92,INDEX(Decrements!$F$6:$F$58,Census!$G92+AP$5-18),0)+INDEX(Decrements!$E$6:$E$58,Census!$G92+AP$5-18)*IF((Census!$F92+AP$5)&gt;=Assumptions!$B$11,1,0))*MIN(15/26*Census!$D92*(1+Assumptions!$B$9)^AP$5*(INT((Census!$F92+AP$5))+IF((Census!$F92+AP$5)-INT((Census!$F92+AP$5))&gt;0.5,1,0)),Assumptions!$B$10))</f>
        <v>0</v>
      </c>
      <c r="AQ92" s="30">
        <f>IF(AQ$5&gt;$B92,0,INDEX(Decrements!$G$6:$G$58,Census!$G92+AQ$5-18)/INDEX(Decrements!$G$6:$G$58,Census!$G92-17)*(INDEX(Decrements!$D$6:$D$58,Census!$G92+AQ$5-18)+IF(AQ$5=$B92,INDEX(Decrements!$F$6:$F$58,Census!$G92+AQ$5-18),0)+INDEX(Decrements!$E$6:$E$58,Census!$G92+AQ$5-18)*IF((Census!$F92+AQ$5)&gt;=Assumptions!$B$11,1,0))*MIN(15/26*Census!$D92*(1+Assumptions!$B$9)^AQ$5*(INT((Census!$F92+AQ$5))+IF((Census!$F92+AQ$5)-INT((Census!$F92+AQ$5))&gt;0.5,1,0)),Assumptions!$B$10))</f>
        <v>0</v>
      </c>
      <c r="AR92" s="30">
        <f>IF(AR$5&gt;$B92,0,INDEX(Decrements!$G$6:$G$58,Census!$G92+AR$5-18)/INDEX(Decrements!$G$6:$G$58,Census!$G92-17)*(INDEX(Decrements!$D$6:$D$58,Census!$G92+AR$5-18)+IF(AR$5=$B92,INDEX(Decrements!$F$6:$F$58,Census!$G92+AR$5-18),0)+INDEX(Decrements!$E$6:$E$58,Census!$G92+AR$5-18)*IF((Census!$F92+AR$5)&gt;=Assumptions!$B$11,1,0))*MIN(15/26*Census!$D92*(1+Assumptions!$B$9)^AR$5*(INT((Census!$F92+AR$5))+IF((Census!$F92+AR$5)-INT((Census!$F92+AR$5))&gt;0.5,1,0)),Assumptions!$B$10))</f>
        <v>0</v>
      </c>
      <c r="AS92" s="30">
        <f>IF(AS$5&gt;$B92,0,INDEX(Decrements!$G$6:$G$58,Census!$G92+AS$5-18)/INDEX(Decrements!$G$6:$G$58,Census!$G92-17)*(INDEX(Decrements!$D$6:$D$58,Census!$G92+AS$5-18)+IF(AS$5=$B92,INDEX(Decrements!$F$6:$F$58,Census!$G92+AS$5-18),0)+INDEX(Decrements!$E$6:$E$58,Census!$G92+AS$5-18)*IF((Census!$F92+AS$5)&gt;=Assumptions!$B$11,1,0))*MIN(15/26*Census!$D92*(1+Assumptions!$B$9)^AS$5*(INT((Census!$F92+AS$5))+IF((Census!$F92+AS$5)-INT((Census!$F92+AS$5))&gt;0.5,1,0)),Assumptions!$B$10))</f>
        <v>0</v>
      </c>
      <c r="AT92" s="30">
        <f>IF(AT$5&gt;$B92,0,INDEX(Decrements!$G$6:$G$58,Census!$G92+AT$5-18)/INDEX(Decrements!$G$6:$G$58,Census!$G92-17)*(INDEX(Decrements!$D$6:$D$58,Census!$G92+AT$5-18)+IF(AT$5=$B92,INDEX(Decrements!$F$6:$F$58,Census!$G92+AT$5-18),0)+INDEX(Decrements!$E$6:$E$58,Census!$G92+AT$5-18)*IF((Census!$F92+AT$5)&gt;=Assumptions!$B$11,1,0))*MIN(15/26*Census!$D92*(1+Assumptions!$B$9)^AT$5*(INT((Census!$F92+AT$5))+IF((Census!$F92+AT$5)-INT((Census!$F92+AT$5))&gt;0.5,1,0)),Assumptions!$B$10))</f>
        <v>0</v>
      </c>
      <c r="AU92" s="30">
        <f>IF(AU$5&gt;$B92,0,INDEX(Decrements!$G$6:$G$58,Census!$G92+AU$5-18)/INDEX(Decrements!$G$6:$G$58,Census!$G92-17)*(INDEX(Decrements!$D$6:$D$58,Census!$G92+AU$5-18)+IF(AU$5=$B92,INDEX(Decrements!$F$6:$F$58,Census!$G92+AU$5-18),0)+INDEX(Decrements!$E$6:$E$58,Census!$G92+AU$5-18)*IF((Census!$F92+AU$5)&gt;=Assumptions!$B$11,1,0))*MIN(15/26*Census!$D92*(1+Assumptions!$B$9)^AU$5*(INT((Census!$F92+AU$5))+IF((Census!$F92+AU$5)-INT((Census!$F92+AU$5))&gt;0.5,1,0)),Assumptions!$B$10))</f>
        <v>0</v>
      </c>
    </row>
    <row r="93" spans="1:47" x14ac:dyDescent="0.3">
      <c r="A93" s="10" t="str">
        <f>Census!A93</f>
        <v>E088</v>
      </c>
      <c r="B93" s="29">
        <f>Census!H93</f>
        <v>33</v>
      </c>
      <c r="C93" s="30">
        <f>IF(C$5&gt;$B93,0,INDEX(Decrements!$G$6:$G$58,Census!$G93+C$5-18)/INDEX(Decrements!$G$6:$G$58,Census!$G93-17)*(INDEX(Decrements!$D$6:$D$58,Census!$G93+C$5-18)+IF(C$5=$B93,INDEX(Decrements!$F$6:$F$58,Census!$G93+C$5-18),0)+INDEX(Decrements!$E$6:$E$58,Census!$G93+C$5-18)*IF((Census!$F93+C$5)&gt;=Assumptions!$B$11,1,0))*MIN(15/26*Census!$D93*(1+Assumptions!$B$9)^C$5*(INT((Census!$F93+C$5))+IF((Census!$F93+C$5)-INT((Census!$F93+C$5))&gt;0.5,1,0)),Assumptions!$B$10))</f>
        <v>87.321729805866454</v>
      </c>
      <c r="D93" s="30">
        <f>IF(D$5&gt;$B93,0,INDEX(Decrements!$G$6:$G$58,Census!$G93+D$5-18)/INDEX(Decrements!$G$6:$G$58,Census!$G93-17)*(INDEX(Decrements!$D$6:$D$58,Census!$G93+D$5-18)+IF(D$5=$B93,INDEX(Decrements!$F$6:$F$58,Census!$G93+D$5-18),0)+INDEX(Decrements!$E$6:$E$58,Census!$G93+D$5-18)*IF((Census!$F93+D$5)&gt;=Assumptions!$B$11,1,0))*MIN(15/26*Census!$D93*(1+Assumptions!$B$9)^D$5*(INT((Census!$F93+D$5))+IF((Census!$F93+D$5)-INT((Census!$F93+D$5))&gt;0.5,1,0)),Assumptions!$B$10))</f>
        <v>23190.232158824918</v>
      </c>
      <c r="E93" s="30">
        <f>IF(E$5&gt;$B93,0,INDEX(Decrements!$G$6:$G$58,Census!$G93+E$5-18)/INDEX(Decrements!$G$6:$G$58,Census!$G93-17)*(INDEX(Decrements!$D$6:$D$58,Census!$G93+E$5-18)+IF(E$5=$B93,INDEX(Decrements!$F$6:$F$58,Census!$G93+E$5-18),0)+INDEX(Decrements!$E$6:$E$58,Census!$G93+E$5-18)*IF((Census!$F93+E$5)&gt;=Assumptions!$B$11,1,0))*MIN(15/26*Census!$D93*(1+Assumptions!$B$9)^E$5*(INT((Census!$F93+E$5))+IF((Census!$F93+E$5)-INT((Census!$F93+E$5))&gt;0.5,1,0)),Assumptions!$B$10))</f>
        <v>24823.530284743589</v>
      </c>
      <c r="F93" s="30">
        <f>IF(F$5&gt;$B93,0,INDEX(Decrements!$G$6:$G$58,Census!$G93+F$5-18)/INDEX(Decrements!$G$6:$G$58,Census!$G93-17)*(INDEX(Decrements!$D$6:$D$58,Census!$G93+F$5-18)+IF(F$5=$B93,INDEX(Decrements!$F$6:$F$58,Census!$G93+F$5-18),0)+INDEX(Decrements!$E$6:$E$58,Census!$G93+F$5-18)*IF((Census!$F93+F$5)&gt;=Assumptions!$B$11,1,0))*MIN(15/26*Census!$D93*(1+Assumptions!$B$9)^F$5*(INT((Census!$F93+F$5))+IF((Census!$F93+F$5)-INT((Census!$F93+F$5))&gt;0.5,1,0)),Assumptions!$B$10))</f>
        <v>19123.392338619498</v>
      </c>
      <c r="G93" s="30">
        <f>IF(G$5&gt;$B93,0,INDEX(Decrements!$G$6:$G$58,Census!$G93+G$5-18)/INDEX(Decrements!$G$6:$G$58,Census!$G93-17)*(INDEX(Decrements!$D$6:$D$58,Census!$G93+G$5-18)+IF(G$5=$B93,INDEX(Decrements!$F$6:$F$58,Census!$G93+G$5-18),0)+INDEX(Decrements!$E$6:$E$58,Census!$G93+G$5-18)*IF((Census!$F93+G$5)&gt;=Assumptions!$B$11,1,0))*MIN(15/26*Census!$D93*(1+Assumptions!$B$9)^G$5*(INT((Census!$F93+G$5))+IF((Census!$F93+G$5)-INT((Census!$F93+G$5))&gt;0.5,1,0)),Assumptions!$B$10))</f>
        <v>20669.322042264266</v>
      </c>
      <c r="H93" s="30">
        <f>IF(H$5&gt;$B93,0,INDEX(Decrements!$G$6:$G$58,Census!$G93+H$5-18)/INDEX(Decrements!$G$6:$G$58,Census!$G93-17)*(INDEX(Decrements!$D$6:$D$58,Census!$G93+H$5-18)+IF(H$5=$B93,INDEX(Decrements!$F$6:$F$58,Census!$G93+H$5-18),0)+INDEX(Decrements!$E$6:$E$58,Census!$G93+H$5-18)*IF((Census!$F93+H$5)&gt;=Assumptions!$B$11,1,0))*MIN(15/26*Census!$D93*(1+Assumptions!$B$9)^H$5*(INT((Census!$F93+H$5))+IF((Census!$F93+H$5)-INT((Census!$F93+H$5))&gt;0.5,1,0)),Assumptions!$B$10))</f>
        <v>22064.257687767582</v>
      </c>
      <c r="I93" s="30">
        <f>IF(I$5&gt;$B93,0,INDEX(Decrements!$G$6:$G$58,Census!$G93+I$5-18)/INDEX(Decrements!$G$6:$G$58,Census!$G93-17)*(INDEX(Decrements!$D$6:$D$58,Census!$G93+I$5-18)+IF(I$5=$B93,INDEX(Decrements!$F$6:$F$58,Census!$G93+I$5-18),0)+INDEX(Decrements!$E$6:$E$58,Census!$G93+I$5-18)*IF((Census!$F93+I$5)&gt;=Assumptions!$B$11,1,0))*MIN(15/26*Census!$D93*(1+Assumptions!$B$9)^I$5*(INT((Census!$F93+I$5))+IF((Census!$F93+I$5)-INT((Census!$F93+I$5))&gt;0.5,1,0)),Assumptions!$B$10))</f>
        <v>23317.613588482869</v>
      </c>
      <c r="J93" s="30">
        <f>IF(J$5&gt;$B93,0,INDEX(Decrements!$G$6:$G$58,Census!$G93+J$5-18)/INDEX(Decrements!$G$6:$G$58,Census!$G93-17)*(INDEX(Decrements!$D$6:$D$58,Census!$G93+J$5-18)+IF(J$5=$B93,INDEX(Decrements!$F$6:$F$58,Census!$G93+J$5-18),0)+INDEX(Decrements!$E$6:$E$58,Census!$G93+J$5-18)*IF((Census!$F93+J$5)&gt;=Assumptions!$B$11,1,0))*MIN(15/26*Census!$D93*(1+Assumptions!$B$9)^J$5*(INT((Census!$F93+J$5))+IF((Census!$F93+J$5)-INT((Census!$F93+J$5))&gt;0.5,1,0)),Assumptions!$B$10))</f>
        <v>24438.294302765979</v>
      </c>
      <c r="K93" s="30">
        <f>IF(K$5&gt;$B93,0,INDEX(Decrements!$G$6:$G$58,Census!$G93+K$5-18)/INDEX(Decrements!$G$6:$G$58,Census!$G93-17)*(INDEX(Decrements!$D$6:$D$58,Census!$G93+K$5-18)+IF(K$5=$B93,INDEX(Decrements!$F$6:$F$58,Census!$G93+K$5-18),0)+INDEX(Decrements!$E$6:$E$58,Census!$G93+K$5-18)*IF((Census!$F93+K$5)&gt;=Assumptions!$B$11,1,0))*MIN(15/26*Census!$D93*(1+Assumptions!$B$9)^K$5*(INT((Census!$F93+K$5))+IF((Census!$F93+K$5)-INT((Census!$F93+K$5))&gt;0.5,1,0)),Assumptions!$B$10))</f>
        <v>18559.863913284287</v>
      </c>
      <c r="L93" s="30">
        <f>IF(L$5&gt;$B93,0,INDEX(Decrements!$G$6:$G$58,Census!$G93+L$5-18)/INDEX(Decrements!$G$6:$G$58,Census!$G93-17)*(INDEX(Decrements!$D$6:$D$58,Census!$G93+L$5-18)+IF(L$5=$B93,INDEX(Decrements!$F$6:$F$58,Census!$G93+L$5-18),0)+INDEX(Decrements!$E$6:$E$58,Census!$G93+L$5-18)*IF((Census!$F93+L$5)&gt;=Assumptions!$B$11,1,0))*MIN(15/26*Census!$D93*(1+Assumptions!$B$9)^L$5*(INT((Census!$F93+L$5))+IF((Census!$F93+L$5)-INT((Census!$F93+L$5))&gt;0.5,1,0)),Assumptions!$B$10))</f>
        <v>19853.269817413726</v>
      </c>
      <c r="M93" s="30">
        <f>IF(M$5&gt;$B93,0,INDEX(Decrements!$G$6:$G$58,Census!$G93+M$5-18)/INDEX(Decrements!$G$6:$G$58,Census!$G93-17)*(INDEX(Decrements!$D$6:$D$58,Census!$G93+M$5-18)+IF(M$5=$B93,INDEX(Decrements!$F$6:$F$58,Census!$G93+M$5-18),0)+INDEX(Decrements!$E$6:$E$58,Census!$G93+M$5-18)*IF((Census!$F93+M$5)&gt;=Assumptions!$B$11,1,0))*MIN(15/26*Census!$D93*(1+Assumptions!$B$9)^M$5*(INT((Census!$F93+M$5))+IF((Census!$F93+M$5)-INT((Census!$F93+M$5))&gt;0.5,1,0)),Assumptions!$B$10))</f>
        <v>21128.616904221562</v>
      </c>
      <c r="N93" s="30">
        <f>IF(N$5&gt;$B93,0,INDEX(Decrements!$G$6:$G$58,Census!$G93+N$5-18)/INDEX(Decrements!$G$6:$G$58,Census!$G93-17)*(INDEX(Decrements!$D$6:$D$58,Census!$G93+N$5-18)+IF(N$5=$B93,INDEX(Decrements!$F$6:$F$58,Census!$G93+N$5-18),0)+INDEX(Decrements!$E$6:$E$58,Census!$G93+N$5-18)*IF((Census!$F93+N$5)&gt;=Assumptions!$B$11,1,0))*MIN(15/26*Census!$D93*(1+Assumptions!$B$9)^N$5*(INT((Census!$F93+N$5))+IF((Census!$F93+N$5)-INT((Census!$F93+N$5))&gt;0.5,1,0)),Assumptions!$B$10))</f>
        <v>22386.133576088869</v>
      </c>
      <c r="O93" s="30">
        <f>IF(O$5&gt;$B93,0,INDEX(Decrements!$G$6:$G$58,Census!$G93+O$5-18)/INDEX(Decrements!$G$6:$G$58,Census!$G93-17)*(INDEX(Decrements!$D$6:$D$58,Census!$G93+O$5-18)+IF(O$5=$B93,INDEX(Decrements!$F$6:$F$58,Census!$G93+O$5-18),0)+INDEX(Decrements!$E$6:$E$58,Census!$G93+O$5-18)*IF((Census!$F93+O$5)&gt;=Assumptions!$B$11,1,0))*MIN(15/26*Census!$D93*(1+Assumptions!$B$9)^O$5*(INT((Census!$F93+O$5))+IF((Census!$F93+O$5)-INT((Census!$F93+O$5))&gt;0.5,1,0)),Assumptions!$B$10))</f>
        <v>23626.049770822217</v>
      </c>
      <c r="P93" s="30">
        <f>IF(P$5&gt;$B93,0,INDEX(Decrements!$G$6:$G$58,Census!$G93+P$5-18)/INDEX(Decrements!$G$6:$G$58,Census!$G93-17)*(INDEX(Decrements!$D$6:$D$58,Census!$G93+P$5-18)+IF(P$5=$B93,INDEX(Decrements!$F$6:$F$58,Census!$G93+P$5-18),0)+INDEX(Decrements!$E$6:$E$58,Census!$G93+P$5-18)*IF((Census!$F93+P$5)&gt;=Assumptions!$B$11,1,0))*MIN(15/26*Census!$D93*(1+Assumptions!$B$9)^P$5*(INT((Census!$F93+P$5))+IF((Census!$F93+P$5)-INT((Census!$F93+P$5))&gt;0.5,1,0)),Assumptions!$B$10))</f>
        <v>15685.080466315181</v>
      </c>
      <c r="Q93" s="30">
        <f>IF(Q$5&gt;$B93,0,INDEX(Decrements!$G$6:$G$58,Census!$G93+Q$5-18)/INDEX(Decrements!$G$6:$G$58,Census!$G93-17)*(INDEX(Decrements!$D$6:$D$58,Census!$G93+Q$5-18)+IF(Q$5=$B93,INDEX(Decrements!$F$6:$F$58,Census!$G93+Q$5-18),0)+INDEX(Decrements!$E$6:$E$58,Census!$G93+Q$5-18)*IF((Census!$F93+Q$5)&gt;=Assumptions!$B$11,1,0))*MIN(15/26*Census!$D93*(1+Assumptions!$B$9)^Q$5*(INT((Census!$F93+Q$5))+IF((Census!$F93+Q$5)-INT((Census!$F93+Q$5))&gt;0.5,1,0)),Assumptions!$B$10))</f>
        <v>16993.834569782215</v>
      </c>
      <c r="R93" s="30">
        <f>IF(R$5&gt;$B93,0,INDEX(Decrements!$G$6:$G$58,Census!$G93+R$5-18)/INDEX(Decrements!$G$6:$G$58,Census!$G93-17)*(INDEX(Decrements!$D$6:$D$58,Census!$G93+R$5-18)+IF(R$5=$B93,INDEX(Decrements!$F$6:$F$58,Census!$G93+R$5-18),0)+INDEX(Decrements!$E$6:$E$58,Census!$G93+R$5-18)*IF((Census!$F93+R$5)&gt;=Assumptions!$B$11,1,0))*MIN(15/26*Census!$D93*(1+Assumptions!$B$9)^R$5*(INT((Census!$F93+R$5))+IF((Census!$F93+R$5)-INT((Census!$F93+R$5))&gt;0.5,1,0)),Assumptions!$B$10))</f>
        <v>18362.198745475267</v>
      </c>
      <c r="S93" s="30">
        <f>IF(S$5&gt;$B93,0,INDEX(Decrements!$G$6:$G$58,Census!$G93+S$5-18)/INDEX(Decrements!$G$6:$G$58,Census!$G93-17)*(INDEX(Decrements!$D$6:$D$58,Census!$G93+S$5-18)+IF(S$5=$B93,INDEX(Decrements!$F$6:$F$58,Census!$G93+S$5-18),0)+INDEX(Decrements!$E$6:$E$58,Census!$G93+S$5-18)*IF((Census!$F93+S$5)&gt;=Assumptions!$B$11,1,0))*MIN(15/26*Census!$D93*(1+Assumptions!$B$9)^S$5*(INT((Census!$F93+S$5))+IF((Census!$F93+S$5)-INT((Census!$F93+S$5))&gt;0.5,1,0)),Assumptions!$B$10))</f>
        <v>19667.531629819685</v>
      </c>
      <c r="T93" s="30">
        <f>IF(T$5&gt;$B93,0,INDEX(Decrements!$G$6:$G$58,Census!$G93+T$5-18)/INDEX(Decrements!$G$6:$G$58,Census!$G93-17)*(INDEX(Decrements!$D$6:$D$58,Census!$G93+T$5-18)+IF(T$5=$B93,INDEX(Decrements!$F$6:$F$58,Census!$G93+T$5-18),0)+INDEX(Decrements!$E$6:$E$58,Census!$G93+T$5-18)*IF((Census!$F93+T$5)&gt;=Assumptions!$B$11,1,0))*MIN(15/26*Census!$D93*(1+Assumptions!$B$9)^T$5*(INT((Census!$F93+T$5))+IF((Census!$F93+T$5)-INT((Census!$F93+T$5))&gt;0.5,1,0)),Assumptions!$B$10))</f>
        <v>18696.442241438217</v>
      </c>
      <c r="U93" s="30">
        <f>IF(U$5&gt;$B93,0,INDEX(Decrements!$G$6:$G$58,Census!$G93+U$5-18)/INDEX(Decrements!$G$6:$G$58,Census!$G93-17)*(INDEX(Decrements!$D$6:$D$58,Census!$G93+U$5-18)+IF(U$5=$B93,INDEX(Decrements!$F$6:$F$58,Census!$G93+U$5-18),0)+INDEX(Decrements!$E$6:$E$58,Census!$G93+U$5-18)*IF((Census!$F93+U$5)&gt;=Assumptions!$B$11,1,0))*MIN(15/26*Census!$D93*(1+Assumptions!$B$9)^U$5*(INT((Census!$F93+U$5))+IF((Census!$F93+U$5)-INT((Census!$F93+U$5))&gt;0.5,1,0)),Assumptions!$B$10))</f>
        <v>10929.470529610198</v>
      </c>
      <c r="V93" s="30">
        <f>IF(V$5&gt;$B93,0,INDEX(Decrements!$G$6:$G$58,Census!$G93+V$5-18)/INDEX(Decrements!$G$6:$G$58,Census!$G93-17)*(INDEX(Decrements!$D$6:$D$58,Census!$G93+V$5-18)+IF(V$5=$B93,INDEX(Decrements!$F$6:$F$58,Census!$G93+V$5-18),0)+INDEX(Decrements!$E$6:$E$58,Census!$G93+V$5-18)*IF((Census!$F93+V$5)&gt;=Assumptions!$B$11,1,0))*MIN(15/26*Census!$D93*(1+Assumptions!$B$9)^V$5*(INT((Census!$F93+V$5))+IF((Census!$F93+V$5)-INT((Census!$F93+V$5))&gt;0.5,1,0)),Assumptions!$B$10))</f>
        <v>10630.310267550569</v>
      </c>
      <c r="W93" s="30">
        <f>IF(W$5&gt;$B93,0,INDEX(Decrements!$G$6:$G$58,Census!$G93+W$5-18)/INDEX(Decrements!$G$6:$G$58,Census!$G93-17)*(INDEX(Decrements!$D$6:$D$58,Census!$G93+W$5-18)+IF(W$5=$B93,INDEX(Decrements!$F$6:$F$58,Census!$G93+W$5-18),0)+INDEX(Decrements!$E$6:$E$58,Census!$G93+W$5-18)*IF((Census!$F93+W$5)&gt;=Assumptions!$B$11,1,0))*MIN(15/26*Census!$D93*(1+Assumptions!$B$9)^W$5*(INT((Census!$F93+W$5))+IF((Census!$F93+W$5)-INT((Census!$F93+W$5))&gt;0.5,1,0)),Assumptions!$B$10))</f>
        <v>10342.28640186685</v>
      </c>
      <c r="X93" s="30">
        <f>IF(X$5&gt;$B93,0,INDEX(Decrements!$G$6:$G$58,Census!$G93+X$5-18)/INDEX(Decrements!$G$6:$G$58,Census!$G93-17)*(INDEX(Decrements!$D$6:$D$58,Census!$G93+X$5-18)+IF(X$5=$B93,INDEX(Decrements!$F$6:$F$58,Census!$G93+X$5-18),0)+INDEX(Decrements!$E$6:$E$58,Census!$G93+X$5-18)*IF((Census!$F93+X$5)&gt;=Assumptions!$B$11,1,0))*MIN(15/26*Census!$D93*(1+Assumptions!$B$9)^X$5*(INT((Census!$F93+X$5))+IF((Census!$F93+X$5)-INT((Census!$F93+X$5))&gt;0.5,1,0)),Assumptions!$B$10))</f>
        <v>10065.17139030277</v>
      </c>
      <c r="Y93" s="30">
        <f>IF(Y$5&gt;$B93,0,INDEX(Decrements!$G$6:$G$58,Census!$G93+Y$5-18)/INDEX(Decrements!$G$6:$G$58,Census!$G93-17)*(INDEX(Decrements!$D$6:$D$58,Census!$G93+Y$5-18)+IF(Y$5=$B93,INDEX(Decrements!$F$6:$F$58,Census!$G93+Y$5-18),0)+INDEX(Decrements!$E$6:$E$58,Census!$G93+Y$5-18)*IF((Census!$F93+Y$5)&gt;=Assumptions!$B$11,1,0))*MIN(15/26*Census!$D93*(1+Assumptions!$B$9)^Y$5*(INT((Census!$F93+Y$5))+IF((Census!$F93+Y$5)-INT((Census!$F93+Y$5))&gt;0.5,1,0)),Assumptions!$B$10))</f>
        <v>9798.747744376964</v>
      </c>
      <c r="Z93" s="30">
        <f>IF(Z$5&gt;$B93,0,INDEX(Decrements!$G$6:$G$58,Census!$G93+Z$5-18)/INDEX(Decrements!$G$6:$G$58,Census!$G93-17)*(INDEX(Decrements!$D$6:$D$58,Census!$G93+Z$5-18)+IF(Z$5=$B93,INDEX(Decrements!$F$6:$F$58,Census!$G93+Z$5-18),0)+INDEX(Decrements!$E$6:$E$58,Census!$G93+Z$5-18)*IF((Census!$F93+Z$5)&gt;=Assumptions!$B$11,1,0))*MIN(15/26*Census!$D93*(1+Assumptions!$B$9)^Z$5*(INT((Census!$F93+Z$5))+IF((Census!$F93+Z$5)-INT((Census!$F93+Z$5))&gt;0.5,1,0)),Assumptions!$B$10))</f>
        <v>6639.3851018438481</v>
      </c>
      <c r="AA93" s="30">
        <f>IF(AA$5&gt;$B93,0,INDEX(Decrements!$G$6:$G$58,Census!$G93+AA$5-18)/INDEX(Decrements!$G$6:$G$58,Census!$G93-17)*(INDEX(Decrements!$D$6:$D$58,Census!$G93+AA$5-18)+IF(AA$5=$B93,INDEX(Decrements!$F$6:$F$58,Census!$G93+AA$5-18),0)+INDEX(Decrements!$E$6:$E$58,Census!$G93+AA$5-18)*IF((Census!$F93+AA$5)&gt;=Assumptions!$B$11,1,0))*MIN(15/26*Census!$D93*(1+Assumptions!$B$9)^AA$5*(INT((Census!$F93+AA$5))+IF((Census!$F93+AA$5)-INT((Census!$F93+AA$5))&gt;0.5,1,0)),Assumptions!$B$10))</f>
        <v>6556.4776068437004</v>
      </c>
      <c r="AB93" s="30">
        <f>IF(AB$5&gt;$B93,0,INDEX(Decrements!$G$6:$G$58,Census!$G93+AB$5-18)/INDEX(Decrements!$G$6:$G$58,Census!$G93-17)*(INDEX(Decrements!$D$6:$D$58,Census!$G93+AB$5-18)+IF(AB$5=$B93,INDEX(Decrements!$F$6:$F$58,Census!$G93+AB$5-18),0)+INDEX(Decrements!$E$6:$E$58,Census!$G93+AB$5-18)*IF((Census!$F93+AB$5)&gt;=Assumptions!$B$11,1,0))*MIN(15/26*Census!$D93*(1+Assumptions!$B$9)^AB$5*(INT((Census!$F93+AB$5))+IF((Census!$F93+AB$5)-INT((Census!$F93+AB$5))&gt;0.5,1,0)),Assumptions!$B$10))</f>
        <v>6478.976024352115</v>
      </c>
      <c r="AC93" s="30">
        <f>IF(AC$5&gt;$B93,0,INDEX(Decrements!$G$6:$G$58,Census!$G93+AC$5-18)/INDEX(Decrements!$G$6:$G$58,Census!$G93-17)*(INDEX(Decrements!$D$6:$D$58,Census!$G93+AC$5-18)+IF(AC$5=$B93,INDEX(Decrements!$F$6:$F$58,Census!$G93+AC$5-18),0)+INDEX(Decrements!$E$6:$E$58,Census!$G93+AC$5-18)*IF((Census!$F93+AC$5)&gt;=Assumptions!$B$11,1,0))*MIN(15/26*Census!$D93*(1+Assumptions!$B$9)^AC$5*(INT((Census!$F93+AC$5))+IF((Census!$F93+AC$5)-INT((Census!$F93+AC$5))&gt;0.5,1,0)),Assumptions!$B$10))</f>
        <v>6406.9942676091678</v>
      </c>
      <c r="AD93" s="30">
        <f>IF(AD$5&gt;$B93,0,INDEX(Decrements!$G$6:$G$58,Census!$G93+AD$5-18)/INDEX(Decrements!$G$6:$G$58,Census!$G93-17)*(INDEX(Decrements!$D$6:$D$58,Census!$G93+AD$5-18)+IF(AD$5=$B93,INDEX(Decrements!$F$6:$F$58,Census!$G93+AD$5-18),0)+INDEX(Decrements!$E$6:$E$58,Census!$G93+AD$5-18)*IF((Census!$F93+AD$5)&gt;=Assumptions!$B$11,1,0))*MIN(15/26*Census!$D93*(1+Assumptions!$B$9)^AD$5*(INT((Census!$F93+AD$5))+IF((Census!$F93+AD$5)-INT((Census!$F93+AD$5))&gt;0.5,1,0)),Assumptions!$B$10))</f>
        <v>6340.650008980585</v>
      </c>
      <c r="AE93" s="30">
        <f>IF(AE$5&gt;$B93,0,INDEX(Decrements!$G$6:$G$58,Census!$G93+AE$5-18)/INDEX(Decrements!$G$6:$G$58,Census!$G93-17)*(INDEX(Decrements!$D$6:$D$58,Census!$G93+AE$5-18)+IF(AE$5=$B93,INDEX(Decrements!$F$6:$F$58,Census!$G93+AE$5-18),0)+INDEX(Decrements!$E$6:$E$58,Census!$G93+AE$5-18)*IF((Census!$F93+AE$5)&gt;=Assumptions!$B$11,1,0))*MIN(15/26*Census!$D93*(1+Assumptions!$B$9)^AE$5*(INT((Census!$F93+AE$5))+IF((Census!$F93+AE$5)-INT((Census!$F93+AE$5))&gt;0.5,1,0)),Assumptions!$B$10))</f>
        <v>3703.8161226113043</v>
      </c>
      <c r="AF93" s="30">
        <f>IF(AF$5&gt;$B93,0,INDEX(Decrements!$G$6:$G$58,Census!$G93+AF$5-18)/INDEX(Decrements!$G$6:$G$58,Census!$G93-17)*(INDEX(Decrements!$D$6:$D$58,Census!$G93+AF$5-18)+IF(AF$5=$B93,INDEX(Decrements!$F$6:$F$58,Census!$G93+AF$5-18),0)+INDEX(Decrements!$E$6:$E$58,Census!$G93+AF$5-18)*IF((Census!$F93+AF$5)&gt;=Assumptions!$B$11,1,0))*MIN(15/26*Census!$D93*(1+Assumptions!$B$9)^AF$5*(INT((Census!$F93+AF$5))+IF((Census!$F93+AF$5)-INT((Census!$F93+AF$5))&gt;0.5,1,0)),Assumptions!$B$10))</f>
        <v>3750.5148652311173</v>
      </c>
      <c r="AG93" s="30">
        <f>IF(AG$5&gt;$B93,0,INDEX(Decrements!$G$6:$G$58,Census!$G93+AG$5-18)/INDEX(Decrements!$G$6:$G$58,Census!$G93-17)*(INDEX(Decrements!$D$6:$D$58,Census!$G93+AG$5-18)+IF(AG$5=$B93,INDEX(Decrements!$F$6:$F$58,Census!$G93+AG$5-18),0)+INDEX(Decrements!$E$6:$E$58,Census!$G93+AG$5-18)*IF((Census!$F93+AG$5)&gt;=Assumptions!$B$11,1,0))*MIN(15/26*Census!$D93*(1+Assumptions!$B$9)^AG$5*(INT((Census!$F93+AG$5))+IF((Census!$F93+AG$5)-INT((Census!$F93+AG$5))&gt;0.5,1,0)),Assumptions!$B$10))</f>
        <v>3803.3924213626719</v>
      </c>
      <c r="AH93" s="30">
        <f>IF(AH$5&gt;$B93,0,INDEX(Decrements!$G$6:$G$58,Census!$G93+AH$5-18)/INDEX(Decrements!$G$6:$G$58,Census!$G93-17)*(INDEX(Decrements!$D$6:$D$58,Census!$G93+AH$5-18)+IF(AH$5=$B93,INDEX(Decrements!$F$6:$F$58,Census!$G93+AH$5-18),0)+INDEX(Decrements!$E$6:$E$58,Census!$G93+AH$5-18)*IF((Census!$F93+AH$5)&gt;=Assumptions!$B$11,1,0))*MIN(15/26*Census!$D93*(1+Assumptions!$B$9)^AH$5*(INT((Census!$F93+AH$5))+IF((Census!$F93+AH$5)-INT((Census!$F93+AH$5))&gt;0.5,1,0)),Assumptions!$B$10))</f>
        <v>3862.8081741638716</v>
      </c>
      <c r="AI93" s="30">
        <f>IF(AI$5&gt;$B93,0,INDEX(Decrements!$G$6:$G$58,Census!$G93+AI$5-18)/INDEX(Decrements!$G$6:$G$58,Census!$G93-17)*(INDEX(Decrements!$D$6:$D$58,Census!$G93+AI$5-18)+IF(AI$5=$B93,INDEX(Decrements!$F$6:$F$58,Census!$G93+AI$5-18),0)+INDEX(Decrements!$E$6:$E$58,Census!$G93+AI$5-18)*IF((Census!$F93+AI$5)&gt;=Assumptions!$B$11,1,0))*MIN(15/26*Census!$D93*(1+Assumptions!$B$9)^AI$5*(INT((Census!$F93+AI$5))+IF((Census!$F93+AI$5)-INT((Census!$F93+AI$5))&gt;0.5,1,0)),Assumptions!$B$10))</f>
        <v>243631.73992836746</v>
      </c>
      <c r="AJ93" s="30">
        <f>IF(AJ$5&gt;$B93,0,INDEX(Decrements!$G$6:$G$58,Census!$G93+AJ$5-18)/INDEX(Decrements!$G$6:$G$58,Census!$G93-17)*(INDEX(Decrements!$D$6:$D$58,Census!$G93+AJ$5-18)+IF(AJ$5=$B93,INDEX(Decrements!$F$6:$F$58,Census!$G93+AJ$5-18),0)+INDEX(Decrements!$E$6:$E$58,Census!$G93+AJ$5-18)*IF((Census!$F93+AJ$5)&gt;=Assumptions!$B$11,1,0))*MIN(15/26*Census!$D93*(1+Assumptions!$B$9)^AJ$5*(INT((Census!$F93+AJ$5))+IF((Census!$F93+AJ$5)-INT((Census!$F93+AJ$5))&gt;0.5,1,0)),Assumptions!$B$10))</f>
        <v>0</v>
      </c>
      <c r="AK93" s="30">
        <f>IF(AK$5&gt;$B93,0,INDEX(Decrements!$G$6:$G$58,Census!$G93+AK$5-18)/INDEX(Decrements!$G$6:$G$58,Census!$G93-17)*(INDEX(Decrements!$D$6:$D$58,Census!$G93+AK$5-18)+IF(AK$5=$B93,INDEX(Decrements!$F$6:$F$58,Census!$G93+AK$5-18),0)+INDEX(Decrements!$E$6:$E$58,Census!$G93+AK$5-18)*IF((Census!$F93+AK$5)&gt;=Assumptions!$B$11,1,0))*MIN(15/26*Census!$D93*(1+Assumptions!$B$9)^AK$5*(INT((Census!$F93+AK$5))+IF((Census!$F93+AK$5)-INT((Census!$F93+AK$5))&gt;0.5,1,0)),Assumptions!$B$10))</f>
        <v>0</v>
      </c>
      <c r="AL93" s="30">
        <f>IF(AL$5&gt;$B93,0,INDEX(Decrements!$G$6:$G$58,Census!$G93+AL$5-18)/INDEX(Decrements!$G$6:$G$58,Census!$G93-17)*(INDEX(Decrements!$D$6:$D$58,Census!$G93+AL$5-18)+IF(AL$5=$B93,INDEX(Decrements!$F$6:$F$58,Census!$G93+AL$5-18),0)+INDEX(Decrements!$E$6:$E$58,Census!$G93+AL$5-18)*IF((Census!$F93+AL$5)&gt;=Assumptions!$B$11,1,0))*MIN(15/26*Census!$D93*(1+Assumptions!$B$9)^AL$5*(INT((Census!$F93+AL$5))+IF((Census!$F93+AL$5)-INT((Census!$F93+AL$5))&gt;0.5,1,0)),Assumptions!$B$10))</f>
        <v>0</v>
      </c>
      <c r="AM93" s="30">
        <f>IF(AM$5&gt;$B93,0,INDEX(Decrements!$G$6:$G$58,Census!$G93+AM$5-18)/INDEX(Decrements!$G$6:$G$58,Census!$G93-17)*(INDEX(Decrements!$D$6:$D$58,Census!$G93+AM$5-18)+IF(AM$5=$B93,INDEX(Decrements!$F$6:$F$58,Census!$G93+AM$5-18),0)+INDEX(Decrements!$E$6:$E$58,Census!$G93+AM$5-18)*IF((Census!$F93+AM$5)&gt;=Assumptions!$B$11,1,0))*MIN(15/26*Census!$D93*(1+Assumptions!$B$9)^AM$5*(INT((Census!$F93+AM$5))+IF((Census!$F93+AM$5)-INT((Census!$F93+AM$5))&gt;0.5,1,0)),Assumptions!$B$10))</f>
        <v>0</v>
      </c>
      <c r="AN93" s="30">
        <f>IF(AN$5&gt;$B93,0,INDEX(Decrements!$G$6:$G$58,Census!$G93+AN$5-18)/INDEX(Decrements!$G$6:$G$58,Census!$G93-17)*(INDEX(Decrements!$D$6:$D$58,Census!$G93+AN$5-18)+IF(AN$5=$B93,INDEX(Decrements!$F$6:$F$58,Census!$G93+AN$5-18),0)+INDEX(Decrements!$E$6:$E$58,Census!$G93+AN$5-18)*IF((Census!$F93+AN$5)&gt;=Assumptions!$B$11,1,0))*MIN(15/26*Census!$D93*(1+Assumptions!$B$9)^AN$5*(INT((Census!$F93+AN$5))+IF((Census!$F93+AN$5)-INT((Census!$F93+AN$5))&gt;0.5,1,0)),Assumptions!$B$10))</f>
        <v>0</v>
      </c>
      <c r="AO93" s="30">
        <f>IF(AO$5&gt;$B93,0,INDEX(Decrements!$G$6:$G$58,Census!$G93+AO$5-18)/INDEX(Decrements!$G$6:$G$58,Census!$G93-17)*(INDEX(Decrements!$D$6:$D$58,Census!$G93+AO$5-18)+IF(AO$5=$B93,INDEX(Decrements!$F$6:$F$58,Census!$G93+AO$5-18),0)+INDEX(Decrements!$E$6:$E$58,Census!$G93+AO$5-18)*IF((Census!$F93+AO$5)&gt;=Assumptions!$B$11,1,0))*MIN(15/26*Census!$D93*(1+Assumptions!$B$9)^AO$5*(INT((Census!$F93+AO$5))+IF((Census!$F93+AO$5)-INT((Census!$F93+AO$5))&gt;0.5,1,0)),Assumptions!$B$10))</f>
        <v>0</v>
      </c>
      <c r="AP93" s="30">
        <f>IF(AP$5&gt;$B93,0,INDEX(Decrements!$G$6:$G$58,Census!$G93+AP$5-18)/INDEX(Decrements!$G$6:$G$58,Census!$G93-17)*(INDEX(Decrements!$D$6:$D$58,Census!$G93+AP$5-18)+IF(AP$5=$B93,INDEX(Decrements!$F$6:$F$58,Census!$G93+AP$5-18),0)+INDEX(Decrements!$E$6:$E$58,Census!$G93+AP$5-18)*IF((Census!$F93+AP$5)&gt;=Assumptions!$B$11,1,0))*MIN(15/26*Census!$D93*(1+Assumptions!$B$9)^AP$5*(INT((Census!$F93+AP$5))+IF((Census!$F93+AP$5)-INT((Census!$F93+AP$5))&gt;0.5,1,0)),Assumptions!$B$10))</f>
        <v>0</v>
      </c>
      <c r="AQ93" s="30">
        <f>IF(AQ$5&gt;$B93,0,INDEX(Decrements!$G$6:$G$58,Census!$G93+AQ$5-18)/INDEX(Decrements!$G$6:$G$58,Census!$G93-17)*(INDEX(Decrements!$D$6:$D$58,Census!$G93+AQ$5-18)+IF(AQ$5=$B93,INDEX(Decrements!$F$6:$F$58,Census!$G93+AQ$5-18),0)+INDEX(Decrements!$E$6:$E$58,Census!$G93+AQ$5-18)*IF((Census!$F93+AQ$5)&gt;=Assumptions!$B$11,1,0))*MIN(15/26*Census!$D93*(1+Assumptions!$B$9)^AQ$5*(INT((Census!$F93+AQ$5))+IF((Census!$F93+AQ$5)-INT((Census!$F93+AQ$5))&gt;0.5,1,0)),Assumptions!$B$10))</f>
        <v>0</v>
      </c>
      <c r="AR93" s="30">
        <f>IF(AR$5&gt;$B93,0,INDEX(Decrements!$G$6:$G$58,Census!$G93+AR$5-18)/INDEX(Decrements!$G$6:$G$58,Census!$G93-17)*(INDEX(Decrements!$D$6:$D$58,Census!$G93+AR$5-18)+IF(AR$5=$B93,INDEX(Decrements!$F$6:$F$58,Census!$G93+AR$5-18),0)+INDEX(Decrements!$E$6:$E$58,Census!$G93+AR$5-18)*IF((Census!$F93+AR$5)&gt;=Assumptions!$B$11,1,0))*MIN(15/26*Census!$D93*(1+Assumptions!$B$9)^AR$5*(INT((Census!$F93+AR$5))+IF((Census!$F93+AR$5)-INT((Census!$F93+AR$5))&gt;0.5,1,0)),Assumptions!$B$10))</f>
        <v>0</v>
      </c>
      <c r="AS93" s="30">
        <f>IF(AS$5&gt;$B93,0,INDEX(Decrements!$G$6:$G$58,Census!$G93+AS$5-18)/INDEX(Decrements!$G$6:$G$58,Census!$G93-17)*(INDEX(Decrements!$D$6:$D$58,Census!$G93+AS$5-18)+IF(AS$5=$B93,INDEX(Decrements!$F$6:$F$58,Census!$G93+AS$5-18),0)+INDEX(Decrements!$E$6:$E$58,Census!$G93+AS$5-18)*IF((Census!$F93+AS$5)&gt;=Assumptions!$B$11,1,0))*MIN(15/26*Census!$D93*(1+Assumptions!$B$9)^AS$5*(INT((Census!$F93+AS$5))+IF((Census!$F93+AS$5)-INT((Census!$F93+AS$5))&gt;0.5,1,0)),Assumptions!$B$10))</f>
        <v>0</v>
      </c>
      <c r="AT93" s="30">
        <f>IF(AT$5&gt;$B93,0,INDEX(Decrements!$G$6:$G$58,Census!$G93+AT$5-18)/INDEX(Decrements!$G$6:$G$58,Census!$G93-17)*(INDEX(Decrements!$D$6:$D$58,Census!$G93+AT$5-18)+IF(AT$5=$B93,INDEX(Decrements!$F$6:$F$58,Census!$G93+AT$5-18),0)+INDEX(Decrements!$E$6:$E$58,Census!$G93+AT$5-18)*IF((Census!$F93+AT$5)&gt;=Assumptions!$B$11,1,0))*MIN(15/26*Census!$D93*(1+Assumptions!$B$9)^AT$5*(INT((Census!$F93+AT$5))+IF((Census!$F93+AT$5)-INT((Census!$F93+AT$5))&gt;0.5,1,0)),Assumptions!$B$10))</f>
        <v>0</v>
      </c>
      <c r="AU93" s="30">
        <f>IF(AU$5&gt;$B93,0,INDEX(Decrements!$G$6:$G$58,Census!$G93+AU$5-18)/INDEX(Decrements!$G$6:$G$58,Census!$G93-17)*(INDEX(Decrements!$D$6:$D$58,Census!$G93+AU$5-18)+IF(AU$5=$B93,INDEX(Decrements!$F$6:$F$58,Census!$G93+AU$5-18),0)+INDEX(Decrements!$E$6:$E$58,Census!$G93+AU$5-18)*IF((Census!$F93+AU$5)&gt;=Assumptions!$B$11,1,0))*MIN(15/26*Census!$D93*(1+Assumptions!$B$9)^AU$5*(INT((Census!$F93+AU$5))+IF((Census!$F93+AU$5)-INT((Census!$F93+AU$5))&gt;0.5,1,0)),Assumptions!$B$10))</f>
        <v>0</v>
      </c>
    </row>
    <row r="94" spans="1:47" x14ac:dyDescent="0.3">
      <c r="A94" s="10" t="str">
        <f>Census!A94</f>
        <v>E089</v>
      </c>
      <c r="B94" s="29">
        <f>Census!H94</f>
        <v>28</v>
      </c>
      <c r="C94" s="30">
        <f>IF(C$5&gt;$B94,0,INDEX(Decrements!$G$6:$G$58,Census!$G94+C$5-18)/INDEX(Decrements!$G$6:$G$58,Census!$G94-17)*(INDEX(Decrements!$D$6:$D$58,Census!$G94+C$5-18)+IF(C$5=$B94,INDEX(Decrements!$F$6:$F$58,Census!$G94+C$5-18),0)+INDEX(Decrements!$E$6:$E$58,Census!$G94+C$5-18)*IF((Census!$F94+C$5)&gt;=Assumptions!$B$11,1,0))*MIN(15/26*Census!$D94*(1+Assumptions!$B$9)^C$5*(INT((Census!$F94+C$5))+IF((Census!$F94+C$5)-INT((Census!$F94+C$5))&gt;0.5,1,0)),Assumptions!$B$10))</f>
        <v>19852.960137953865</v>
      </c>
      <c r="D94" s="30">
        <f>IF(D$5&gt;$B94,0,INDEX(Decrements!$G$6:$G$58,Census!$G94+D$5-18)/INDEX(Decrements!$G$6:$G$58,Census!$G94-17)*(INDEX(Decrements!$D$6:$D$58,Census!$G94+D$5-18)+IF(D$5=$B94,INDEX(Decrements!$F$6:$F$58,Census!$G94+D$5-18),0)+INDEX(Decrements!$E$6:$E$58,Census!$G94+D$5-18)*IF((Census!$F94+D$5)&gt;=Assumptions!$B$11,1,0))*MIN(15/26*Census!$D94*(1+Assumptions!$B$9)^D$5*(INT((Census!$F94+D$5))+IF((Census!$F94+D$5)-INT((Census!$F94+D$5))&gt;0.5,1,0)),Assumptions!$B$10))</f>
        <v>21798.133722613838</v>
      </c>
      <c r="E94" s="30">
        <f>IF(E$5&gt;$B94,0,INDEX(Decrements!$G$6:$G$58,Census!$G94+E$5-18)/INDEX(Decrements!$G$6:$G$58,Census!$G94-17)*(INDEX(Decrements!$D$6:$D$58,Census!$G94+E$5-18)+IF(E$5=$B94,INDEX(Decrements!$F$6:$F$58,Census!$G94+E$5-18),0)+INDEX(Decrements!$E$6:$E$58,Census!$G94+E$5-18)*IF((Census!$F94+E$5)&gt;=Assumptions!$B$11,1,0))*MIN(15/26*Census!$D94*(1+Assumptions!$B$9)^E$5*(INT((Census!$F94+E$5))+IF((Census!$F94+E$5)-INT((Census!$F94+E$5))&gt;0.5,1,0)),Assumptions!$B$10))</f>
        <v>23559.716683850918</v>
      </c>
      <c r="F94" s="30">
        <f>IF(F$5&gt;$B94,0,INDEX(Decrements!$G$6:$G$58,Census!$G94+F$5-18)/INDEX(Decrements!$G$6:$G$58,Census!$G94-17)*(INDEX(Decrements!$D$6:$D$58,Census!$G94+F$5-18)+IF(F$5=$B94,INDEX(Decrements!$F$6:$F$58,Census!$G94+F$5-18),0)+INDEX(Decrements!$E$6:$E$58,Census!$G94+F$5-18)*IF((Census!$F94+F$5)&gt;=Assumptions!$B$11,1,0))*MIN(15/26*Census!$D94*(1+Assumptions!$B$9)^F$5*(INT((Census!$F94+F$5))+IF((Census!$F94+F$5)-INT((Census!$F94+F$5))&gt;0.5,1,0)),Assumptions!$B$10))</f>
        <v>18351.406054882322</v>
      </c>
      <c r="G94" s="30">
        <f>IF(G$5&gt;$B94,0,INDEX(Decrements!$G$6:$G$58,Census!$G94+G$5-18)/INDEX(Decrements!$G$6:$G$58,Census!$G94-17)*(INDEX(Decrements!$D$6:$D$58,Census!$G94+G$5-18)+IF(G$5=$B94,INDEX(Decrements!$F$6:$F$58,Census!$G94+G$5-18),0)+INDEX(Decrements!$E$6:$E$58,Census!$G94+G$5-18)*IF((Census!$F94+G$5)&gt;=Assumptions!$B$11,1,0))*MIN(15/26*Census!$D94*(1+Assumptions!$B$9)^G$5*(INT((Census!$F94+G$5))+IF((Census!$F94+G$5)-INT((Census!$F94+G$5))&gt;0.5,1,0)),Assumptions!$B$10))</f>
        <v>20050.933840872069</v>
      </c>
      <c r="H94" s="30">
        <f>IF(H$5&gt;$B94,0,INDEX(Decrements!$G$6:$G$58,Census!$G94+H$5-18)/INDEX(Decrements!$G$6:$G$58,Census!$G94-17)*(INDEX(Decrements!$D$6:$D$58,Census!$G94+H$5-18)+IF(H$5=$B94,INDEX(Decrements!$F$6:$F$58,Census!$G94+H$5-18),0)+INDEX(Decrements!$E$6:$E$58,Census!$G94+H$5-18)*IF((Census!$F94+H$5)&gt;=Assumptions!$B$11,1,0))*MIN(15/26*Census!$D94*(1+Assumptions!$B$9)^H$5*(INT((Census!$F94+H$5))+IF((Census!$F94+H$5)-INT((Census!$F94+H$5))&gt;0.5,1,0)),Assumptions!$B$10))</f>
        <v>21726.960025083499</v>
      </c>
      <c r="I94" s="30">
        <f>IF(I$5&gt;$B94,0,INDEX(Decrements!$G$6:$G$58,Census!$G94+I$5-18)/INDEX(Decrements!$G$6:$G$58,Census!$G94-17)*(INDEX(Decrements!$D$6:$D$58,Census!$G94+I$5-18)+IF(I$5=$B94,INDEX(Decrements!$F$6:$F$58,Census!$G94+I$5-18),0)+INDEX(Decrements!$E$6:$E$58,Census!$G94+I$5-18)*IF((Census!$F94+I$5)&gt;=Assumptions!$B$11,1,0))*MIN(15/26*Census!$D94*(1+Assumptions!$B$9)^I$5*(INT((Census!$F94+I$5))+IF((Census!$F94+I$5)-INT((Census!$F94+I$5))&gt;0.5,1,0)),Assumptions!$B$10))</f>
        <v>23379.777301388262</v>
      </c>
      <c r="J94" s="30">
        <f>IF(J$5&gt;$B94,0,INDEX(Decrements!$G$6:$G$58,Census!$G94+J$5-18)/INDEX(Decrements!$G$6:$G$58,Census!$G94-17)*(INDEX(Decrements!$D$6:$D$58,Census!$G94+J$5-18)+IF(J$5=$B94,INDEX(Decrements!$F$6:$F$58,Census!$G94+J$5-18),0)+INDEX(Decrements!$E$6:$E$58,Census!$G94+J$5-18)*IF((Census!$F94+J$5)&gt;=Assumptions!$B$11,1,0))*MIN(15/26*Census!$D94*(1+Assumptions!$B$9)^J$5*(INT((Census!$F94+J$5))+IF((Census!$F94+J$5)-INT((Census!$F94+J$5))&gt;0.5,1,0)),Assumptions!$B$10))</f>
        <v>25009.680199424554</v>
      </c>
      <c r="K94" s="30">
        <f>IF(K$5&gt;$B94,0,INDEX(Decrements!$G$6:$G$58,Census!$G94+K$5-18)/INDEX(Decrements!$G$6:$G$58,Census!$G94-17)*(INDEX(Decrements!$D$6:$D$58,Census!$G94+K$5-18)+IF(K$5=$B94,INDEX(Decrements!$F$6:$F$58,Census!$G94+K$5-18),0)+INDEX(Decrements!$E$6:$E$58,Census!$G94+K$5-18)*IF((Census!$F94+K$5)&gt;=Assumptions!$B$11,1,0))*MIN(15/26*Census!$D94*(1+Assumptions!$B$9)^K$5*(INT((Census!$F94+K$5))+IF((Census!$F94+K$5)-INT((Census!$F94+K$5))&gt;0.5,1,0)),Assumptions!$B$10))</f>
        <v>16801.320427304621</v>
      </c>
      <c r="L94" s="30">
        <f>IF(L$5&gt;$B94,0,INDEX(Decrements!$G$6:$G$58,Census!$G94+L$5-18)/INDEX(Decrements!$G$6:$G$58,Census!$G94-17)*(INDEX(Decrements!$D$6:$D$58,Census!$G94+L$5-18)+IF(L$5=$B94,INDEX(Decrements!$F$6:$F$58,Census!$G94+L$5-18),0)+INDEX(Decrements!$E$6:$E$58,Census!$G94+L$5-18)*IF((Census!$F94+L$5)&gt;=Assumptions!$B$11,1,0))*MIN(15/26*Census!$D94*(1+Assumptions!$B$9)^L$5*(INT((Census!$F94+L$5))+IF((Census!$F94+L$5)-INT((Census!$F94+L$5))&gt;0.5,1,0)),Assumptions!$B$10))</f>
        <v>18394.825719782213</v>
      </c>
      <c r="M94" s="30">
        <f>IF(M$5&gt;$B94,0,INDEX(Decrements!$G$6:$G$58,Census!$G94+M$5-18)/INDEX(Decrements!$G$6:$G$58,Census!$G94-17)*(INDEX(Decrements!$D$6:$D$58,Census!$G94+M$5-18)+IF(M$5=$B94,INDEX(Decrements!$F$6:$F$58,Census!$G94+M$5-18),0)+INDEX(Decrements!$E$6:$E$58,Census!$G94+M$5-18)*IF((Census!$F94+M$5)&gt;=Assumptions!$B$11,1,0))*MIN(15/26*Census!$D94*(1+Assumptions!$B$9)^M$5*(INT((Census!$F94+M$5))+IF((Census!$F94+M$5)-INT((Census!$F94+M$5))&gt;0.5,1,0)),Assumptions!$B$10))</f>
        <v>20062.33689688929</v>
      </c>
      <c r="N94" s="30">
        <f>IF(N$5&gt;$B94,0,INDEX(Decrements!$G$6:$G$58,Census!$G94+N$5-18)/INDEX(Decrements!$G$6:$G$58,Census!$G94-17)*(INDEX(Decrements!$D$6:$D$58,Census!$G94+N$5-18)+IF(N$5=$B94,INDEX(Decrements!$F$6:$F$58,Census!$G94+N$5-18),0)+INDEX(Decrements!$E$6:$E$58,Census!$G94+N$5-18)*IF((Census!$F94+N$5)&gt;=Assumptions!$B$11,1,0))*MIN(15/26*Census!$D94*(1+Assumptions!$B$9)^N$5*(INT((Census!$F94+N$5))+IF((Census!$F94+N$5)-INT((Census!$F94+N$5))&gt;0.5,1,0)),Assumptions!$B$10))</f>
        <v>21807.122925934411</v>
      </c>
      <c r="O94" s="30">
        <f>IF(O$5&gt;$B94,0,INDEX(Decrements!$G$6:$G$58,Census!$G94+O$5-18)/INDEX(Decrements!$G$6:$G$58,Census!$G94-17)*(INDEX(Decrements!$D$6:$D$58,Census!$G94+O$5-18)+IF(O$5=$B94,INDEX(Decrements!$F$6:$F$58,Census!$G94+O$5-18),0)+INDEX(Decrements!$E$6:$E$58,Census!$G94+O$5-18)*IF((Census!$F94+O$5)&gt;=Assumptions!$B$11,1,0))*MIN(15/26*Census!$D94*(1+Assumptions!$B$9)^O$5*(INT((Census!$F94+O$5))+IF((Census!$F94+O$5)-INT((Census!$F94+O$5))&gt;0.5,1,0)),Assumptions!$B$10))</f>
        <v>23632.645365882741</v>
      </c>
      <c r="P94" s="30">
        <f>IF(P$5&gt;$B94,0,INDEX(Decrements!$G$6:$G$58,Census!$G94+P$5-18)/INDEX(Decrements!$G$6:$G$58,Census!$G94-17)*(INDEX(Decrements!$D$6:$D$58,Census!$G94+P$5-18)+IF(P$5=$B94,INDEX(Decrements!$F$6:$F$58,Census!$G94+P$5-18),0)+INDEX(Decrements!$E$6:$E$58,Census!$G94+P$5-18)*IF((Census!$F94+P$5)&gt;=Assumptions!$B$11,1,0))*MIN(15/26*Census!$D94*(1+Assumptions!$B$9)^P$5*(INT((Census!$F94+P$5))+IF((Census!$F94+P$5)-INT((Census!$F94+P$5))&gt;0.5,1,0)),Assumptions!$B$10))</f>
        <v>15705.531540277827</v>
      </c>
      <c r="Q94" s="30">
        <f>IF(Q$5&gt;$B94,0,INDEX(Decrements!$G$6:$G$58,Census!$G94+Q$5-18)/INDEX(Decrements!$G$6:$G$58,Census!$G94-17)*(INDEX(Decrements!$D$6:$D$58,Census!$G94+Q$5-18)+IF(Q$5=$B94,INDEX(Decrements!$F$6:$F$58,Census!$G94+Q$5-18),0)+INDEX(Decrements!$E$6:$E$58,Census!$G94+Q$5-18)*IF((Census!$F94+Q$5)&gt;=Assumptions!$B$11,1,0))*MIN(15/26*Census!$D94*(1+Assumptions!$B$9)^Q$5*(INT((Census!$F94+Q$5))+IF((Census!$F94+Q$5)-INT((Census!$F94+Q$5))&gt;0.5,1,0)),Assumptions!$B$10))</f>
        <v>17322.57741895947</v>
      </c>
      <c r="R94" s="30">
        <f>IF(R$5&gt;$B94,0,INDEX(Decrements!$G$6:$G$58,Census!$G94+R$5-18)/INDEX(Decrements!$G$6:$G$58,Census!$G94-17)*(INDEX(Decrements!$D$6:$D$58,Census!$G94+R$5-18)+IF(R$5=$B94,INDEX(Decrements!$F$6:$F$58,Census!$G94+R$5-18),0)+INDEX(Decrements!$E$6:$E$58,Census!$G94+R$5-18)*IF((Census!$F94+R$5)&gt;=Assumptions!$B$11,1,0))*MIN(15/26*Census!$D94*(1+Assumptions!$B$9)^R$5*(INT((Census!$F94+R$5))+IF((Census!$F94+R$5)-INT((Census!$F94+R$5))&gt;0.5,1,0)),Assumptions!$B$10))</f>
        <v>19068.225195156778</v>
      </c>
      <c r="S94" s="30">
        <f>IF(S$5&gt;$B94,0,INDEX(Decrements!$G$6:$G$58,Census!$G94+S$5-18)/INDEX(Decrements!$G$6:$G$58,Census!$G94-17)*(INDEX(Decrements!$D$6:$D$58,Census!$G94+S$5-18)+IF(S$5=$B94,INDEX(Decrements!$F$6:$F$58,Census!$G94+S$5-18),0)+INDEX(Decrements!$E$6:$E$58,Census!$G94+S$5-18)*IF((Census!$F94+S$5)&gt;=Assumptions!$B$11,1,0))*MIN(15/26*Census!$D94*(1+Assumptions!$B$9)^S$5*(INT((Census!$F94+S$5))+IF((Census!$F94+S$5)-INT((Census!$F94+S$5))&gt;0.5,1,0)),Assumptions!$B$10))</f>
        <v>20767.412084971365</v>
      </c>
      <c r="T94" s="30">
        <f>IF(T$5&gt;$B94,0,INDEX(Decrements!$G$6:$G$58,Census!$G94+T$5-18)/INDEX(Decrements!$G$6:$G$58,Census!$G94-17)*(INDEX(Decrements!$D$6:$D$58,Census!$G94+T$5-18)+IF(T$5=$B94,INDEX(Decrements!$F$6:$F$58,Census!$G94+T$5-18),0)+INDEX(Decrements!$E$6:$E$58,Census!$G94+T$5-18)*IF((Census!$F94+T$5)&gt;=Assumptions!$B$11,1,0))*MIN(15/26*Census!$D94*(1+Assumptions!$B$9)^T$5*(INT((Census!$F94+T$5))+IF((Census!$F94+T$5)-INT((Census!$F94+T$5))&gt;0.5,1,0)),Assumptions!$B$10))</f>
        <v>20217.701659826253</v>
      </c>
      <c r="U94" s="30">
        <f>IF(U$5&gt;$B94,0,INDEX(Decrements!$G$6:$G$58,Census!$G94+U$5-18)/INDEX(Decrements!$G$6:$G$58,Census!$G94-17)*(INDEX(Decrements!$D$6:$D$58,Census!$G94+U$5-18)+IF(U$5=$B94,INDEX(Decrements!$F$6:$F$58,Census!$G94+U$5-18),0)+INDEX(Decrements!$E$6:$E$58,Census!$G94+U$5-18)*IF((Census!$F94+U$5)&gt;=Assumptions!$B$11,1,0))*MIN(15/26*Census!$D94*(1+Assumptions!$B$9)^U$5*(INT((Census!$F94+U$5))+IF((Census!$F94+U$5)-INT((Census!$F94+U$5))&gt;0.5,1,0)),Assumptions!$B$10))</f>
        <v>13699.006311373214</v>
      </c>
      <c r="V94" s="30">
        <f>IF(V$5&gt;$B94,0,INDEX(Decrements!$G$6:$G$58,Census!$G94+V$5-18)/INDEX(Decrements!$G$6:$G$58,Census!$G94-17)*(INDEX(Decrements!$D$6:$D$58,Census!$G94+V$5-18)+IF(V$5=$B94,INDEX(Decrements!$F$6:$F$58,Census!$G94+V$5-18),0)+INDEX(Decrements!$E$6:$E$58,Census!$G94+V$5-18)*IF((Census!$F94+V$5)&gt;=Assumptions!$B$11,1,0))*MIN(15/26*Census!$D94*(1+Assumptions!$B$9)^V$5*(INT((Census!$F94+V$5))+IF((Census!$F94+V$5)-INT((Census!$F94+V$5))&gt;0.5,1,0)),Assumptions!$B$10))</f>
        <v>13527.943738582888</v>
      </c>
      <c r="W94" s="30">
        <f>IF(W$5&gt;$B94,0,INDEX(Decrements!$G$6:$G$58,Census!$G94+W$5-18)/INDEX(Decrements!$G$6:$G$58,Census!$G94-17)*(INDEX(Decrements!$D$6:$D$58,Census!$G94+W$5-18)+IF(W$5=$B94,INDEX(Decrements!$F$6:$F$58,Census!$G94+W$5-18),0)+INDEX(Decrements!$E$6:$E$58,Census!$G94+W$5-18)*IF((Census!$F94+W$5)&gt;=Assumptions!$B$11,1,0))*MIN(15/26*Census!$D94*(1+Assumptions!$B$9)^W$5*(INT((Census!$F94+W$5))+IF((Census!$F94+W$5)-INT((Census!$F94+W$5))&gt;0.5,1,0)),Assumptions!$B$10))</f>
        <v>13368.035154970408</v>
      </c>
      <c r="X94" s="30">
        <f>IF(X$5&gt;$B94,0,INDEX(Decrements!$G$6:$G$58,Census!$G94+X$5-18)/INDEX(Decrements!$G$6:$G$58,Census!$G94-17)*(INDEX(Decrements!$D$6:$D$58,Census!$G94+X$5-18)+IF(X$5=$B94,INDEX(Decrements!$F$6:$F$58,Census!$G94+X$5-18),0)+INDEX(Decrements!$E$6:$E$58,Census!$G94+X$5-18)*IF((Census!$F94+X$5)&gt;=Assumptions!$B$11,1,0))*MIN(15/26*Census!$D94*(1+Assumptions!$B$9)^X$5*(INT((Census!$F94+X$5))+IF((Census!$F94+X$5)-INT((Census!$F94+X$5))&gt;0.5,1,0)),Assumptions!$B$10))</f>
        <v>13219.515597089739</v>
      </c>
      <c r="Y94" s="30">
        <f>IF(Y$5&gt;$B94,0,INDEX(Decrements!$G$6:$G$58,Census!$G94+Y$5-18)/INDEX(Decrements!$G$6:$G$58,Census!$G94-17)*(INDEX(Decrements!$D$6:$D$58,Census!$G94+Y$5-18)+IF(Y$5=$B94,INDEX(Decrements!$F$6:$F$58,Census!$G94+Y$5-18),0)+INDEX(Decrements!$E$6:$E$58,Census!$G94+Y$5-18)*IF((Census!$F94+Y$5)&gt;=Assumptions!$B$11,1,0))*MIN(15/26*Census!$D94*(1+Assumptions!$B$9)^Y$5*(INT((Census!$F94+Y$5))+IF((Census!$F94+Y$5)-INT((Census!$F94+Y$5))&gt;0.5,1,0)),Assumptions!$B$10))</f>
        <v>13082.627857677857</v>
      </c>
      <c r="Z94" s="30">
        <f>IF(Z$5&gt;$B94,0,INDEX(Decrements!$G$6:$G$58,Census!$G94+Z$5-18)/INDEX(Decrements!$G$6:$G$58,Census!$G94-17)*(INDEX(Decrements!$D$6:$D$58,Census!$G94+Z$5-18)+IF(Z$5=$B94,INDEX(Decrements!$F$6:$F$58,Census!$G94+Z$5-18),0)+INDEX(Decrements!$E$6:$E$58,Census!$G94+Z$5-18)*IF((Census!$F94+Z$5)&gt;=Assumptions!$B$11,1,0))*MIN(15/26*Census!$D94*(1+Assumptions!$B$9)^Z$5*(INT((Census!$F94+Z$5))+IF((Census!$F94+Z$5)-INT((Census!$F94+Z$5))&gt;0.5,1,0)),Assumptions!$B$10))</f>
        <v>7642.0631822858595</v>
      </c>
      <c r="AA94" s="30">
        <f>IF(AA$5&gt;$B94,0,INDEX(Decrements!$G$6:$G$58,Census!$G94+AA$5-18)/INDEX(Decrements!$G$6:$G$58,Census!$G94-17)*(INDEX(Decrements!$D$6:$D$58,Census!$G94+AA$5-18)+IF(AA$5=$B94,INDEX(Decrements!$F$6:$F$58,Census!$G94+AA$5-18),0)+INDEX(Decrements!$E$6:$E$58,Census!$G94+AA$5-18)*IF((Census!$F94+AA$5)&gt;=Assumptions!$B$11,1,0))*MIN(15/26*Census!$D94*(1+Assumptions!$B$9)^AA$5*(INT((Census!$F94+AA$5))+IF((Census!$F94+AA$5)-INT((Census!$F94+AA$5))&gt;0.5,1,0)),Assumptions!$B$10))</f>
        <v>7738.416437906526</v>
      </c>
      <c r="AB94" s="30">
        <f>IF(AB$5&gt;$B94,0,INDEX(Decrements!$G$6:$G$58,Census!$G94+AB$5-18)/INDEX(Decrements!$G$6:$G$58,Census!$G94-17)*(INDEX(Decrements!$D$6:$D$58,Census!$G94+AB$5-18)+IF(AB$5=$B94,INDEX(Decrements!$F$6:$F$58,Census!$G94+AB$5-18),0)+INDEX(Decrements!$E$6:$E$58,Census!$G94+AB$5-18)*IF((Census!$F94+AB$5)&gt;=Assumptions!$B$11,1,0))*MIN(15/26*Census!$D94*(1+Assumptions!$B$9)^AB$5*(INT((Census!$F94+AB$5))+IF((Census!$F94+AB$5)-INT((Census!$F94+AB$5))&gt;0.5,1,0)),Assumptions!$B$10))</f>
        <v>7847.5184050412518</v>
      </c>
      <c r="AC94" s="30">
        <f>IF(AC$5&gt;$B94,0,INDEX(Decrements!$G$6:$G$58,Census!$G94+AC$5-18)/INDEX(Decrements!$G$6:$G$58,Census!$G94-17)*(INDEX(Decrements!$D$6:$D$58,Census!$G94+AC$5-18)+IF(AC$5=$B94,INDEX(Decrements!$F$6:$F$58,Census!$G94+AC$5-18),0)+INDEX(Decrements!$E$6:$E$58,Census!$G94+AC$5-18)*IF((Census!$F94+AC$5)&gt;=Assumptions!$B$11,1,0))*MIN(15/26*Census!$D94*(1+Assumptions!$B$9)^AC$5*(INT((Census!$F94+AC$5))+IF((Census!$F94+AC$5)-INT((Census!$F94+AC$5))&gt;0.5,1,0)),Assumptions!$B$10))</f>
        <v>7970.1105969586306</v>
      </c>
      <c r="AD94" s="30">
        <f>IF(AD$5&gt;$B94,0,INDEX(Decrements!$G$6:$G$58,Census!$G94+AD$5-18)/INDEX(Decrements!$G$6:$G$58,Census!$G94-17)*(INDEX(Decrements!$D$6:$D$58,Census!$G94+AD$5-18)+IF(AD$5=$B94,INDEX(Decrements!$F$6:$F$58,Census!$G94+AD$5-18),0)+INDEX(Decrements!$E$6:$E$58,Census!$G94+AD$5-18)*IF((Census!$F94+AD$5)&gt;=Assumptions!$B$11,1,0))*MIN(15/26*Census!$D94*(1+Assumptions!$B$9)^AD$5*(INT((Census!$F94+AD$5))+IF((Census!$F94+AD$5)-INT((Census!$F94+AD$5))&gt;0.5,1,0)),Assumptions!$B$10))</f>
        <v>502684.01240992476</v>
      </c>
      <c r="AE94" s="30">
        <f>IF(AE$5&gt;$B94,0,INDEX(Decrements!$G$6:$G$58,Census!$G94+AE$5-18)/INDEX(Decrements!$G$6:$G$58,Census!$G94-17)*(INDEX(Decrements!$D$6:$D$58,Census!$G94+AE$5-18)+IF(AE$5=$B94,INDEX(Decrements!$F$6:$F$58,Census!$G94+AE$5-18),0)+INDEX(Decrements!$E$6:$E$58,Census!$G94+AE$5-18)*IF((Census!$F94+AE$5)&gt;=Assumptions!$B$11,1,0))*MIN(15/26*Census!$D94*(1+Assumptions!$B$9)^AE$5*(INT((Census!$F94+AE$5))+IF((Census!$F94+AE$5)-INT((Census!$F94+AE$5))&gt;0.5,1,0)),Assumptions!$B$10))</f>
        <v>0</v>
      </c>
      <c r="AF94" s="30">
        <f>IF(AF$5&gt;$B94,0,INDEX(Decrements!$G$6:$G$58,Census!$G94+AF$5-18)/INDEX(Decrements!$G$6:$G$58,Census!$G94-17)*(INDEX(Decrements!$D$6:$D$58,Census!$G94+AF$5-18)+IF(AF$5=$B94,INDEX(Decrements!$F$6:$F$58,Census!$G94+AF$5-18),0)+INDEX(Decrements!$E$6:$E$58,Census!$G94+AF$5-18)*IF((Census!$F94+AF$5)&gt;=Assumptions!$B$11,1,0))*MIN(15/26*Census!$D94*(1+Assumptions!$B$9)^AF$5*(INT((Census!$F94+AF$5))+IF((Census!$F94+AF$5)-INT((Census!$F94+AF$5))&gt;0.5,1,0)),Assumptions!$B$10))</f>
        <v>0</v>
      </c>
      <c r="AG94" s="30">
        <f>IF(AG$5&gt;$B94,0,INDEX(Decrements!$G$6:$G$58,Census!$G94+AG$5-18)/INDEX(Decrements!$G$6:$G$58,Census!$G94-17)*(INDEX(Decrements!$D$6:$D$58,Census!$G94+AG$5-18)+IF(AG$5=$B94,INDEX(Decrements!$F$6:$F$58,Census!$G94+AG$5-18),0)+INDEX(Decrements!$E$6:$E$58,Census!$G94+AG$5-18)*IF((Census!$F94+AG$5)&gt;=Assumptions!$B$11,1,0))*MIN(15/26*Census!$D94*(1+Assumptions!$B$9)^AG$5*(INT((Census!$F94+AG$5))+IF((Census!$F94+AG$5)-INT((Census!$F94+AG$5))&gt;0.5,1,0)),Assumptions!$B$10))</f>
        <v>0</v>
      </c>
      <c r="AH94" s="30">
        <f>IF(AH$5&gt;$B94,0,INDEX(Decrements!$G$6:$G$58,Census!$G94+AH$5-18)/INDEX(Decrements!$G$6:$G$58,Census!$G94-17)*(INDEX(Decrements!$D$6:$D$58,Census!$G94+AH$5-18)+IF(AH$5=$B94,INDEX(Decrements!$F$6:$F$58,Census!$G94+AH$5-18),0)+INDEX(Decrements!$E$6:$E$58,Census!$G94+AH$5-18)*IF((Census!$F94+AH$5)&gt;=Assumptions!$B$11,1,0))*MIN(15/26*Census!$D94*(1+Assumptions!$B$9)^AH$5*(INT((Census!$F94+AH$5))+IF((Census!$F94+AH$5)-INT((Census!$F94+AH$5))&gt;0.5,1,0)),Assumptions!$B$10))</f>
        <v>0</v>
      </c>
      <c r="AI94" s="30">
        <f>IF(AI$5&gt;$B94,0,INDEX(Decrements!$G$6:$G$58,Census!$G94+AI$5-18)/INDEX(Decrements!$G$6:$G$58,Census!$G94-17)*(INDEX(Decrements!$D$6:$D$58,Census!$G94+AI$5-18)+IF(AI$5=$B94,INDEX(Decrements!$F$6:$F$58,Census!$G94+AI$5-18),0)+INDEX(Decrements!$E$6:$E$58,Census!$G94+AI$5-18)*IF((Census!$F94+AI$5)&gt;=Assumptions!$B$11,1,0))*MIN(15/26*Census!$D94*(1+Assumptions!$B$9)^AI$5*(INT((Census!$F94+AI$5))+IF((Census!$F94+AI$5)-INT((Census!$F94+AI$5))&gt;0.5,1,0)),Assumptions!$B$10))</f>
        <v>0</v>
      </c>
      <c r="AJ94" s="30">
        <f>IF(AJ$5&gt;$B94,0,INDEX(Decrements!$G$6:$G$58,Census!$G94+AJ$5-18)/INDEX(Decrements!$G$6:$G$58,Census!$G94-17)*(INDEX(Decrements!$D$6:$D$58,Census!$G94+AJ$5-18)+IF(AJ$5=$B94,INDEX(Decrements!$F$6:$F$58,Census!$G94+AJ$5-18),0)+INDEX(Decrements!$E$6:$E$58,Census!$G94+AJ$5-18)*IF((Census!$F94+AJ$5)&gt;=Assumptions!$B$11,1,0))*MIN(15/26*Census!$D94*(1+Assumptions!$B$9)^AJ$5*(INT((Census!$F94+AJ$5))+IF((Census!$F94+AJ$5)-INT((Census!$F94+AJ$5))&gt;0.5,1,0)),Assumptions!$B$10))</f>
        <v>0</v>
      </c>
      <c r="AK94" s="30">
        <f>IF(AK$5&gt;$B94,0,INDEX(Decrements!$G$6:$G$58,Census!$G94+AK$5-18)/INDEX(Decrements!$G$6:$G$58,Census!$G94-17)*(INDEX(Decrements!$D$6:$D$58,Census!$G94+AK$5-18)+IF(AK$5=$B94,INDEX(Decrements!$F$6:$F$58,Census!$G94+AK$5-18),0)+INDEX(Decrements!$E$6:$E$58,Census!$G94+AK$5-18)*IF((Census!$F94+AK$5)&gt;=Assumptions!$B$11,1,0))*MIN(15/26*Census!$D94*(1+Assumptions!$B$9)^AK$5*(INT((Census!$F94+AK$5))+IF((Census!$F94+AK$5)-INT((Census!$F94+AK$5))&gt;0.5,1,0)),Assumptions!$B$10))</f>
        <v>0</v>
      </c>
      <c r="AL94" s="30">
        <f>IF(AL$5&gt;$B94,0,INDEX(Decrements!$G$6:$G$58,Census!$G94+AL$5-18)/INDEX(Decrements!$G$6:$G$58,Census!$G94-17)*(INDEX(Decrements!$D$6:$D$58,Census!$G94+AL$5-18)+IF(AL$5=$B94,INDEX(Decrements!$F$6:$F$58,Census!$G94+AL$5-18),0)+INDEX(Decrements!$E$6:$E$58,Census!$G94+AL$5-18)*IF((Census!$F94+AL$5)&gt;=Assumptions!$B$11,1,0))*MIN(15/26*Census!$D94*(1+Assumptions!$B$9)^AL$5*(INT((Census!$F94+AL$5))+IF((Census!$F94+AL$5)-INT((Census!$F94+AL$5))&gt;0.5,1,0)),Assumptions!$B$10))</f>
        <v>0</v>
      </c>
      <c r="AM94" s="30">
        <f>IF(AM$5&gt;$B94,0,INDEX(Decrements!$G$6:$G$58,Census!$G94+AM$5-18)/INDEX(Decrements!$G$6:$G$58,Census!$G94-17)*(INDEX(Decrements!$D$6:$D$58,Census!$G94+AM$5-18)+IF(AM$5=$B94,INDEX(Decrements!$F$6:$F$58,Census!$G94+AM$5-18),0)+INDEX(Decrements!$E$6:$E$58,Census!$G94+AM$5-18)*IF((Census!$F94+AM$5)&gt;=Assumptions!$B$11,1,0))*MIN(15/26*Census!$D94*(1+Assumptions!$B$9)^AM$5*(INT((Census!$F94+AM$5))+IF((Census!$F94+AM$5)-INT((Census!$F94+AM$5))&gt;0.5,1,0)),Assumptions!$B$10))</f>
        <v>0</v>
      </c>
      <c r="AN94" s="30">
        <f>IF(AN$5&gt;$B94,0,INDEX(Decrements!$G$6:$G$58,Census!$G94+AN$5-18)/INDEX(Decrements!$G$6:$G$58,Census!$G94-17)*(INDEX(Decrements!$D$6:$D$58,Census!$G94+AN$5-18)+IF(AN$5=$B94,INDEX(Decrements!$F$6:$F$58,Census!$G94+AN$5-18),0)+INDEX(Decrements!$E$6:$E$58,Census!$G94+AN$5-18)*IF((Census!$F94+AN$5)&gt;=Assumptions!$B$11,1,0))*MIN(15/26*Census!$D94*(1+Assumptions!$B$9)^AN$5*(INT((Census!$F94+AN$5))+IF((Census!$F94+AN$5)-INT((Census!$F94+AN$5))&gt;0.5,1,0)),Assumptions!$B$10))</f>
        <v>0</v>
      </c>
      <c r="AO94" s="30">
        <f>IF(AO$5&gt;$B94,0,INDEX(Decrements!$G$6:$G$58,Census!$G94+AO$5-18)/INDEX(Decrements!$G$6:$G$58,Census!$G94-17)*(INDEX(Decrements!$D$6:$D$58,Census!$G94+AO$5-18)+IF(AO$5=$B94,INDEX(Decrements!$F$6:$F$58,Census!$G94+AO$5-18),0)+INDEX(Decrements!$E$6:$E$58,Census!$G94+AO$5-18)*IF((Census!$F94+AO$5)&gt;=Assumptions!$B$11,1,0))*MIN(15/26*Census!$D94*(1+Assumptions!$B$9)^AO$5*(INT((Census!$F94+AO$5))+IF((Census!$F94+AO$5)-INT((Census!$F94+AO$5))&gt;0.5,1,0)),Assumptions!$B$10))</f>
        <v>0</v>
      </c>
      <c r="AP94" s="30">
        <f>IF(AP$5&gt;$B94,0,INDEX(Decrements!$G$6:$G$58,Census!$G94+AP$5-18)/INDEX(Decrements!$G$6:$G$58,Census!$G94-17)*(INDEX(Decrements!$D$6:$D$58,Census!$G94+AP$5-18)+IF(AP$5=$B94,INDEX(Decrements!$F$6:$F$58,Census!$G94+AP$5-18),0)+INDEX(Decrements!$E$6:$E$58,Census!$G94+AP$5-18)*IF((Census!$F94+AP$5)&gt;=Assumptions!$B$11,1,0))*MIN(15/26*Census!$D94*(1+Assumptions!$B$9)^AP$5*(INT((Census!$F94+AP$5))+IF((Census!$F94+AP$5)-INT((Census!$F94+AP$5))&gt;0.5,1,0)),Assumptions!$B$10))</f>
        <v>0</v>
      </c>
      <c r="AQ94" s="30">
        <f>IF(AQ$5&gt;$B94,0,INDEX(Decrements!$G$6:$G$58,Census!$G94+AQ$5-18)/INDEX(Decrements!$G$6:$G$58,Census!$G94-17)*(INDEX(Decrements!$D$6:$D$58,Census!$G94+AQ$5-18)+IF(AQ$5=$B94,INDEX(Decrements!$F$6:$F$58,Census!$G94+AQ$5-18),0)+INDEX(Decrements!$E$6:$E$58,Census!$G94+AQ$5-18)*IF((Census!$F94+AQ$5)&gt;=Assumptions!$B$11,1,0))*MIN(15/26*Census!$D94*(1+Assumptions!$B$9)^AQ$5*(INT((Census!$F94+AQ$5))+IF((Census!$F94+AQ$5)-INT((Census!$F94+AQ$5))&gt;0.5,1,0)),Assumptions!$B$10))</f>
        <v>0</v>
      </c>
      <c r="AR94" s="30">
        <f>IF(AR$5&gt;$B94,0,INDEX(Decrements!$G$6:$G$58,Census!$G94+AR$5-18)/INDEX(Decrements!$G$6:$G$58,Census!$G94-17)*(INDEX(Decrements!$D$6:$D$58,Census!$G94+AR$5-18)+IF(AR$5=$B94,INDEX(Decrements!$F$6:$F$58,Census!$G94+AR$5-18),0)+INDEX(Decrements!$E$6:$E$58,Census!$G94+AR$5-18)*IF((Census!$F94+AR$5)&gt;=Assumptions!$B$11,1,0))*MIN(15/26*Census!$D94*(1+Assumptions!$B$9)^AR$5*(INT((Census!$F94+AR$5))+IF((Census!$F94+AR$5)-INT((Census!$F94+AR$5))&gt;0.5,1,0)),Assumptions!$B$10))</f>
        <v>0</v>
      </c>
      <c r="AS94" s="30">
        <f>IF(AS$5&gt;$B94,0,INDEX(Decrements!$G$6:$G$58,Census!$G94+AS$5-18)/INDEX(Decrements!$G$6:$G$58,Census!$G94-17)*(INDEX(Decrements!$D$6:$D$58,Census!$G94+AS$5-18)+IF(AS$5=$B94,INDEX(Decrements!$F$6:$F$58,Census!$G94+AS$5-18),0)+INDEX(Decrements!$E$6:$E$58,Census!$G94+AS$5-18)*IF((Census!$F94+AS$5)&gt;=Assumptions!$B$11,1,0))*MIN(15/26*Census!$D94*(1+Assumptions!$B$9)^AS$5*(INT((Census!$F94+AS$5))+IF((Census!$F94+AS$5)-INT((Census!$F94+AS$5))&gt;0.5,1,0)),Assumptions!$B$10))</f>
        <v>0</v>
      </c>
      <c r="AT94" s="30">
        <f>IF(AT$5&gt;$B94,0,INDEX(Decrements!$G$6:$G$58,Census!$G94+AT$5-18)/INDEX(Decrements!$G$6:$G$58,Census!$G94-17)*(INDEX(Decrements!$D$6:$D$58,Census!$G94+AT$5-18)+IF(AT$5=$B94,INDEX(Decrements!$F$6:$F$58,Census!$G94+AT$5-18),0)+INDEX(Decrements!$E$6:$E$58,Census!$G94+AT$5-18)*IF((Census!$F94+AT$5)&gt;=Assumptions!$B$11,1,0))*MIN(15/26*Census!$D94*(1+Assumptions!$B$9)^AT$5*(INT((Census!$F94+AT$5))+IF((Census!$F94+AT$5)-INT((Census!$F94+AT$5))&gt;0.5,1,0)),Assumptions!$B$10))</f>
        <v>0</v>
      </c>
      <c r="AU94" s="30">
        <f>IF(AU$5&gt;$B94,0,INDEX(Decrements!$G$6:$G$58,Census!$G94+AU$5-18)/INDEX(Decrements!$G$6:$G$58,Census!$G94-17)*(INDEX(Decrements!$D$6:$D$58,Census!$G94+AU$5-18)+IF(AU$5=$B94,INDEX(Decrements!$F$6:$F$58,Census!$G94+AU$5-18),0)+INDEX(Decrements!$E$6:$E$58,Census!$G94+AU$5-18)*IF((Census!$F94+AU$5)&gt;=Assumptions!$B$11,1,0))*MIN(15/26*Census!$D94*(1+Assumptions!$B$9)^AU$5*(INT((Census!$F94+AU$5))+IF((Census!$F94+AU$5)-INT((Census!$F94+AU$5))&gt;0.5,1,0)),Assumptions!$B$10))</f>
        <v>0</v>
      </c>
    </row>
    <row r="95" spans="1:47" x14ac:dyDescent="0.3">
      <c r="A95" s="10" t="str">
        <f>Census!A95</f>
        <v>E090</v>
      </c>
      <c r="B95" s="29">
        <f>Census!H95</f>
        <v>20</v>
      </c>
      <c r="C95" s="30">
        <f>IF(C$5&gt;$B95,0,INDEX(Decrements!$G$6:$G$58,Census!$G95+C$5-18)/INDEX(Decrements!$G$6:$G$58,Census!$G95-17)*(INDEX(Decrements!$D$6:$D$58,Census!$G95+C$5-18)+IF(C$5=$B95,INDEX(Decrements!$F$6:$F$58,Census!$G95+C$5-18),0)+INDEX(Decrements!$E$6:$E$58,Census!$G95+C$5-18)*IF((Census!$F95+C$5)&gt;=Assumptions!$B$11,1,0))*MIN(15/26*Census!$D95*(1+Assumptions!$B$9)^C$5*(INT((Census!$F95+C$5))+IF((Census!$F95+C$5)-INT((Census!$F95+C$5))&gt;0.5,1,0)),Assumptions!$B$10))</f>
        <v>43563.685263685824</v>
      </c>
      <c r="D95" s="30">
        <f>IF(D$5&gt;$B95,0,INDEX(Decrements!$G$6:$G$58,Census!$G95+D$5-18)/INDEX(Decrements!$G$6:$G$58,Census!$G95-17)*(INDEX(Decrements!$D$6:$D$58,Census!$G95+D$5-18)+IF(D$5=$B95,INDEX(Decrements!$F$6:$F$58,Census!$G95+D$5-18),0)+INDEX(Decrements!$E$6:$E$58,Census!$G95+D$5-18)*IF((Census!$F95+D$5)&gt;=Assumptions!$B$11,1,0))*MIN(15/26*Census!$D95*(1+Assumptions!$B$9)^D$5*(INT((Census!$F95+D$5))+IF((Census!$F95+D$5)-INT((Census!$F95+D$5))&gt;0.5,1,0)),Assumptions!$B$10))</f>
        <v>47344.739876321728</v>
      </c>
      <c r="E95" s="30">
        <f>IF(E$5&gt;$B95,0,INDEX(Decrements!$G$6:$G$58,Census!$G95+E$5-18)/INDEX(Decrements!$G$6:$G$58,Census!$G95-17)*(INDEX(Decrements!$D$6:$D$58,Census!$G95+E$5-18)+IF(E$5=$B95,INDEX(Decrements!$F$6:$F$58,Census!$G95+E$5-18),0)+INDEX(Decrements!$E$6:$E$58,Census!$G95+E$5-18)*IF((Census!$F95+E$5)&gt;=Assumptions!$B$11,1,0))*MIN(15/26*Census!$D95*(1+Assumptions!$B$9)^E$5*(INT((Census!$F95+E$5))+IF((Census!$F95+E$5)-INT((Census!$F95+E$5))&gt;0.5,1,0)),Assumptions!$B$10))</f>
        <v>51299.09853363318</v>
      </c>
      <c r="F95" s="30">
        <f>IF(F$5&gt;$B95,0,INDEX(Decrements!$G$6:$G$58,Census!$G95+F$5-18)/INDEX(Decrements!$G$6:$G$58,Census!$G95-17)*(INDEX(Decrements!$D$6:$D$58,Census!$G95+F$5-18)+IF(F$5=$B95,INDEX(Decrements!$F$6:$F$58,Census!$G95+F$5-18),0)+INDEX(Decrements!$E$6:$E$58,Census!$G95+F$5-18)*IF((Census!$F95+F$5)&gt;=Assumptions!$B$11,1,0))*MIN(15/26*Census!$D95*(1+Assumptions!$B$9)^F$5*(INT((Census!$F95+F$5))+IF((Census!$F95+F$5)-INT((Census!$F95+F$5))&gt;0.5,1,0)),Assumptions!$B$10))</f>
        <v>55434.405847733156</v>
      </c>
      <c r="G95" s="30">
        <f>IF(G$5&gt;$B95,0,INDEX(Decrements!$G$6:$G$58,Census!$G95+G$5-18)/INDEX(Decrements!$G$6:$G$58,Census!$G95-17)*(INDEX(Decrements!$D$6:$D$58,Census!$G95+G$5-18)+IF(G$5=$B95,INDEX(Decrements!$F$6:$F$58,Census!$G95+G$5-18),0)+INDEX(Decrements!$E$6:$E$58,Census!$G95+G$5-18)*IF((Census!$F95+G$5)&gt;=Assumptions!$B$11,1,0))*MIN(15/26*Census!$D95*(1+Assumptions!$B$9)^G$5*(INT((Census!$F95+G$5))+IF((Census!$F95+G$5)-INT((Census!$F95+G$5))&gt;0.5,1,0)),Assumptions!$B$10))</f>
        <v>59758.758528333012</v>
      </c>
      <c r="H95" s="30">
        <f>IF(H$5&gt;$B95,0,INDEX(Decrements!$G$6:$G$58,Census!$G95+H$5-18)/INDEX(Decrements!$G$6:$G$58,Census!$G95-17)*(INDEX(Decrements!$D$6:$D$58,Census!$G95+H$5-18)+IF(H$5=$B95,INDEX(Decrements!$F$6:$F$58,Census!$G95+H$5-18),0)+INDEX(Decrements!$E$6:$E$58,Census!$G95+H$5-18)*IF((Census!$F95+H$5)&gt;=Assumptions!$B$11,1,0))*MIN(15/26*Census!$D95*(1+Assumptions!$B$9)^H$5*(INT((Census!$F95+H$5))+IF((Census!$F95+H$5)-INT((Census!$F95+H$5))&gt;0.5,1,0)),Assumptions!$B$10))</f>
        <v>39524.725214370337</v>
      </c>
      <c r="I95" s="30">
        <f>IF(I$5&gt;$B95,0,INDEX(Decrements!$G$6:$G$58,Census!$G95+I$5-18)/INDEX(Decrements!$G$6:$G$58,Census!$G95-17)*(INDEX(Decrements!$D$6:$D$58,Census!$G95+I$5-18)+IF(I$5=$B95,INDEX(Decrements!$F$6:$F$58,Census!$G95+I$5-18),0)+INDEX(Decrements!$E$6:$E$58,Census!$G95+I$5-18)*IF((Census!$F95+I$5)&gt;=Assumptions!$B$11,1,0))*MIN(15/26*Census!$D95*(1+Assumptions!$B$9)^I$5*(INT((Census!$F95+I$5))+IF((Census!$F95+I$5)-INT((Census!$F95+I$5))&gt;0.5,1,0)),Assumptions!$B$10))</f>
        <v>43405.482384333583</v>
      </c>
      <c r="J95" s="30">
        <f>IF(J$5&gt;$B95,0,INDEX(Decrements!$G$6:$G$58,Census!$G95+J$5-18)/INDEX(Decrements!$G$6:$G$58,Census!$G95-17)*(INDEX(Decrements!$D$6:$D$58,Census!$G95+J$5-18)+IF(J$5=$B95,INDEX(Decrements!$F$6:$F$58,Census!$G95+J$5-18),0)+INDEX(Decrements!$E$6:$E$58,Census!$G95+J$5-18)*IF((Census!$F95+J$5)&gt;=Assumptions!$B$11,1,0))*MIN(15/26*Census!$D95*(1+Assumptions!$B$9)^J$5*(INT((Census!$F95+J$5))+IF((Census!$F95+J$5)-INT((Census!$F95+J$5))&gt;0.5,1,0)),Assumptions!$B$10))</f>
        <v>46308.295795193248</v>
      </c>
      <c r="K95" s="30">
        <f>IF(K$5&gt;$B95,0,INDEX(Decrements!$G$6:$G$58,Census!$G95+K$5-18)/INDEX(Decrements!$G$6:$G$58,Census!$G95-17)*(INDEX(Decrements!$D$6:$D$58,Census!$G95+K$5-18)+IF(K$5=$B95,INDEX(Decrements!$F$6:$F$58,Census!$G95+K$5-18),0)+INDEX(Decrements!$E$6:$E$58,Census!$G95+K$5-18)*IF((Census!$F95+K$5)&gt;=Assumptions!$B$11,1,0))*MIN(15/26*Census!$D95*(1+Assumptions!$B$9)^K$5*(INT((Census!$F95+K$5))+IF((Census!$F95+K$5)-INT((Census!$F95+K$5))&gt;0.5,1,0)),Assumptions!$B$10))</f>
        <v>45067.494348959728</v>
      </c>
      <c r="L95" s="30">
        <f>IF(L$5&gt;$B95,0,INDEX(Decrements!$G$6:$G$58,Census!$G95+L$5-18)/INDEX(Decrements!$G$6:$G$58,Census!$G95-17)*(INDEX(Decrements!$D$6:$D$58,Census!$G95+L$5-18)+IF(L$5=$B95,INDEX(Decrements!$F$6:$F$58,Census!$G95+L$5-18),0)+INDEX(Decrements!$E$6:$E$58,Census!$G95+L$5-18)*IF((Census!$F95+L$5)&gt;=Assumptions!$B$11,1,0))*MIN(15/26*Census!$D95*(1+Assumptions!$B$9)^L$5*(INT((Census!$F95+L$5))+IF((Census!$F95+L$5)-INT((Census!$F95+L$5))&gt;0.5,1,0)),Assumptions!$B$10))</f>
        <v>43874.564224713795</v>
      </c>
      <c r="M95" s="30">
        <f>IF(M$5&gt;$B95,0,INDEX(Decrements!$G$6:$G$58,Census!$G95+M$5-18)/INDEX(Decrements!$G$6:$G$58,Census!$G95-17)*(INDEX(Decrements!$D$6:$D$58,Census!$G95+M$5-18)+IF(M$5=$B95,INDEX(Decrements!$F$6:$F$58,Census!$G95+M$5-18),0)+INDEX(Decrements!$E$6:$E$58,Census!$G95+M$5-18)*IF((Census!$F95+M$5)&gt;=Assumptions!$B$11,1,0))*MIN(15/26*Census!$D95*(1+Assumptions!$B$9)^M$5*(INT((Census!$F95+M$5))+IF((Census!$F95+M$5)-INT((Census!$F95+M$5))&gt;0.5,1,0)),Assumptions!$B$10))</f>
        <v>29728.301581252475</v>
      </c>
      <c r="N95" s="30">
        <f>IF(N$5&gt;$B95,0,INDEX(Decrements!$G$6:$G$58,Census!$G95+N$5-18)/INDEX(Decrements!$G$6:$G$58,Census!$G95-17)*(INDEX(Decrements!$D$6:$D$58,Census!$G95+N$5-18)+IF(N$5=$B95,INDEX(Decrements!$F$6:$F$58,Census!$G95+N$5-18),0)+INDEX(Decrements!$E$6:$E$58,Census!$G95+N$5-18)*IF((Census!$F95+N$5)&gt;=Assumptions!$B$11,1,0))*MIN(15/26*Census!$D95*(1+Assumptions!$B$9)^N$5*(INT((Census!$F95+N$5))+IF((Census!$F95+N$5)-INT((Census!$F95+N$5))&gt;0.5,1,0)),Assumptions!$B$10))</f>
        <v>29357.077593352435</v>
      </c>
      <c r="O95" s="30">
        <f>IF(O$5&gt;$B95,0,INDEX(Decrements!$G$6:$G$58,Census!$G95+O$5-18)/INDEX(Decrements!$G$6:$G$58,Census!$G95-17)*(INDEX(Decrements!$D$6:$D$58,Census!$G95+O$5-18)+IF(O$5=$B95,INDEX(Decrements!$F$6:$F$58,Census!$G95+O$5-18),0)+INDEX(Decrements!$E$6:$E$58,Census!$G95+O$5-18)*IF((Census!$F95+O$5)&gt;=Assumptions!$B$11,1,0))*MIN(15/26*Census!$D95*(1+Assumptions!$B$9)^O$5*(INT((Census!$F95+O$5))+IF((Census!$F95+O$5)-INT((Census!$F95+O$5))&gt;0.5,1,0)),Assumptions!$B$10))</f>
        <v>29010.058949006241</v>
      </c>
      <c r="P95" s="30">
        <f>IF(P$5&gt;$B95,0,INDEX(Decrements!$G$6:$G$58,Census!$G95+P$5-18)/INDEX(Decrements!$G$6:$G$58,Census!$G95-17)*(INDEX(Decrements!$D$6:$D$58,Census!$G95+P$5-18)+IF(P$5=$B95,INDEX(Decrements!$F$6:$F$58,Census!$G95+P$5-18),0)+INDEX(Decrements!$E$6:$E$58,Census!$G95+P$5-18)*IF((Census!$F95+P$5)&gt;=Assumptions!$B$11,1,0))*MIN(15/26*Census!$D95*(1+Assumptions!$B$9)^P$5*(INT((Census!$F95+P$5))+IF((Census!$F95+P$5)-INT((Census!$F95+P$5))&gt;0.5,1,0)),Assumptions!$B$10))</f>
        <v>28687.755702549217</v>
      </c>
      <c r="Q95" s="30">
        <f>IF(Q$5&gt;$B95,0,INDEX(Decrements!$G$6:$G$58,Census!$G95+Q$5-18)/INDEX(Decrements!$G$6:$G$58,Census!$G95-17)*(INDEX(Decrements!$D$6:$D$58,Census!$G95+Q$5-18)+IF(Q$5=$B95,INDEX(Decrements!$F$6:$F$58,Census!$G95+Q$5-18),0)+INDEX(Decrements!$E$6:$E$58,Census!$G95+Q$5-18)*IF((Census!$F95+Q$5)&gt;=Assumptions!$B$11,1,0))*MIN(15/26*Census!$D95*(1+Assumptions!$B$9)^Q$5*(INT((Census!$F95+Q$5))+IF((Census!$F95+Q$5)-INT((Census!$F95+Q$5))&gt;0.5,1,0)),Assumptions!$B$10))</f>
        <v>28390.694740059273</v>
      </c>
      <c r="R95" s="30">
        <f>IF(R$5&gt;$B95,0,INDEX(Decrements!$G$6:$G$58,Census!$G95+R$5-18)/INDEX(Decrements!$G$6:$G$58,Census!$G95-17)*(INDEX(Decrements!$D$6:$D$58,Census!$G95+R$5-18)+IF(R$5=$B95,INDEX(Decrements!$F$6:$F$58,Census!$G95+R$5-18),0)+INDEX(Decrements!$E$6:$E$58,Census!$G95+R$5-18)*IF((Census!$F95+R$5)&gt;=Assumptions!$B$11,1,0))*MIN(15/26*Census!$D95*(1+Assumptions!$B$9)^R$5*(INT((Census!$F95+R$5))+IF((Census!$F95+R$5)-INT((Census!$F95+R$5))&gt;0.5,1,0)),Assumptions!$B$10))</f>
        <v>16584.09039474386</v>
      </c>
      <c r="S95" s="30">
        <f>IF(S$5&gt;$B95,0,INDEX(Decrements!$G$6:$G$58,Census!$G95+S$5-18)/INDEX(Decrements!$G$6:$G$58,Census!$G95-17)*(INDEX(Decrements!$D$6:$D$58,Census!$G95+S$5-18)+IF(S$5=$B95,INDEX(Decrements!$F$6:$F$58,Census!$G95+S$5-18),0)+INDEX(Decrements!$E$6:$E$58,Census!$G95+S$5-18)*IF((Census!$F95+S$5)&gt;=Assumptions!$B$11,1,0))*MIN(15/26*Census!$D95*(1+Assumptions!$B$9)^S$5*(INT((Census!$F95+S$5))+IF((Census!$F95+S$5)-INT((Census!$F95+S$5))&gt;0.5,1,0)),Assumptions!$B$10))</f>
        <v>16793.187213616671</v>
      </c>
      <c r="T95" s="30">
        <f>IF(T$5&gt;$B95,0,INDEX(Decrements!$G$6:$G$58,Census!$G95+T$5-18)/INDEX(Decrements!$G$6:$G$58,Census!$G95-17)*(INDEX(Decrements!$D$6:$D$58,Census!$G95+T$5-18)+IF(T$5=$B95,INDEX(Decrements!$F$6:$F$58,Census!$G95+T$5-18),0)+INDEX(Decrements!$E$6:$E$58,Census!$G95+T$5-18)*IF((Census!$F95+T$5)&gt;=Assumptions!$B$11,1,0))*MIN(15/26*Census!$D95*(1+Assumptions!$B$9)^T$5*(INT((Census!$F95+T$5))+IF((Census!$F95+T$5)-INT((Census!$F95+T$5))&gt;0.5,1,0)),Assumptions!$B$10))</f>
        <v>17029.950093227606</v>
      </c>
      <c r="U95" s="30">
        <f>IF(U$5&gt;$B95,0,INDEX(Decrements!$G$6:$G$58,Census!$G95+U$5-18)/INDEX(Decrements!$G$6:$G$58,Census!$G95-17)*(INDEX(Decrements!$D$6:$D$58,Census!$G95+U$5-18)+IF(U$5=$B95,INDEX(Decrements!$F$6:$F$58,Census!$G95+U$5-18),0)+INDEX(Decrements!$E$6:$E$58,Census!$G95+U$5-18)*IF((Census!$F95+U$5)&gt;=Assumptions!$B$11,1,0))*MIN(15/26*Census!$D95*(1+Assumptions!$B$9)^U$5*(INT((Census!$F95+U$5))+IF((Census!$F95+U$5)-INT((Census!$F95+U$5))&gt;0.5,1,0)),Assumptions!$B$10))</f>
        <v>17295.988196283364</v>
      </c>
      <c r="V95" s="30">
        <f>IF(V$5&gt;$B95,0,INDEX(Decrements!$G$6:$G$58,Census!$G95+V$5-18)/INDEX(Decrements!$G$6:$G$58,Census!$G95-17)*(INDEX(Decrements!$D$6:$D$58,Census!$G95+V$5-18)+IF(V$5=$B95,INDEX(Decrements!$F$6:$F$58,Census!$G95+V$5-18),0)+INDEX(Decrements!$E$6:$E$58,Census!$G95+V$5-18)*IF((Census!$F95+V$5)&gt;=Assumptions!$B$11,1,0))*MIN(15/26*Census!$D95*(1+Assumptions!$B$9)^V$5*(INT((Census!$F95+V$5))+IF((Census!$F95+V$5)-INT((Census!$F95+V$5))&gt;0.5,1,0)),Assumptions!$B$10))</f>
        <v>1090877.8039316267</v>
      </c>
      <c r="W95" s="30">
        <f>IF(W$5&gt;$B95,0,INDEX(Decrements!$G$6:$G$58,Census!$G95+W$5-18)/INDEX(Decrements!$G$6:$G$58,Census!$G95-17)*(INDEX(Decrements!$D$6:$D$58,Census!$G95+W$5-18)+IF(W$5=$B95,INDEX(Decrements!$F$6:$F$58,Census!$G95+W$5-18),0)+INDEX(Decrements!$E$6:$E$58,Census!$G95+W$5-18)*IF((Census!$F95+W$5)&gt;=Assumptions!$B$11,1,0))*MIN(15/26*Census!$D95*(1+Assumptions!$B$9)^W$5*(INT((Census!$F95+W$5))+IF((Census!$F95+W$5)-INT((Census!$F95+W$5))&gt;0.5,1,0)),Assumptions!$B$10))</f>
        <v>0</v>
      </c>
      <c r="X95" s="30">
        <f>IF(X$5&gt;$B95,0,INDEX(Decrements!$G$6:$G$58,Census!$G95+X$5-18)/INDEX(Decrements!$G$6:$G$58,Census!$G95-17)*(INDEX(Decrements!$D$6:$D$58,Census!$G95+X$5-18)+IF(X$5=$B95,INDEX(Decrements!$F$6:$F$58,Census!$G95+X$5-18),0)+INDEX(Decrements!$E$6:$E$58,Census!$G95+X$5-18)*IF((Census!$F95+X$5)&gt;=Assumptions!$B$11,1,0))*MIN(15/26*Census!$D95*(1+Assumptions!$B$9)^X$5*(INT((Census!$F95+X$5))+IF((Census!$F95+X$5)-INT((Census!$F95+X$5))&gt;0.5,1,0)),Assumptions!$B$10))</f>
        <v>0</v>
      </c>
      <c r="Y95" s="30">
        <f>IF(Y$5&gt;$B95,0,INDEX(Decrements!$G$6:$G$58,Census!$G95+Y$5-18)/INDEX(Decrements!$G$6:$G$58,Census!$G95-17)*(INDEX(Decrements!$D$6:$D$58,Census!$G95+Y$5-18)+IF(Y$5=$B95,INDEX(Decrements!$F$6:$F$58,Census!$G95+Y$5-18),0)+INDEX(Decrements!$E$6:$E$58,Census!$G95+Y$5-18)*IF((Census!$F95+Y$5)&gt;=Assumptions!$B$11,1,0))*MIN(15/26*Census!$D95*(1+Assumptions!$B$9)^Y$5*(INT((Census!$F95+Y$5))+IF((Census!$F95+Y$5)-INT((Census!$F95+Y$5))&gt;0.5,1,0)),Assumptions!$B$10))</f>
        <v>0</v>
      </c>
      <c r="Z95" s="30">
        <f>IF(Z$5&gt;$B95,0,INDEX(Decrements!$G$6:$G$58,Census!$G95+Z$5-18)/INDEX(Decrements!$G$6:$G$58,Census!$G95-17)*(INDEX(Decrements!$D$6:$D$58,Census!$G95+Z$5-18)+IF(Z$5=$B95,INDEX(Decrements!$F$6:$F$58,Census!$G95+Z$5-18),0)+INDEX(Decrements!$E$6:$E$58,Census!$G95+Z$5-18)*IF((Census!$F95+Z$5)&gt;=Assumptions!$B$11,1,0))*MIN(15/26*Census!$D95*(1+Assumptions!$B$9)^Z$5*(INT((Census!$F95+Z$5))+IF((Census!$F95+Z$5)-INT((Census!$F95+Z$5))&gt;0.5,1,0)),Assumptions!$B$10))</f>
        <v>0</v>
      </c>
      <c r="AA95" s="30">
        <f>IF(AA$5&gt;$B95,0,INDEX(Decrements!$G$6:$G$58,Census!$G95+AA$5-18)/INDEX(Decrements!$G$6:$G$58,Census!$G95-17)*(INDEX(Decrements!$D$6:$D$58,Census!$G95+AA$5-18)+IF(AA$5=$B95,INDEX(Decrements!$F$6:$F$58,Census!$G95+AA$5-18),0)+INDEX(Decrements!$E$6:$E$58,Census!$G95+AA$5-18)*IF((Census!$F95+AA$5)&gt;=Assumptions!$B$11,1,0))*MIN(15/26*Census!$D95*(1+Assumptions!$B$9)^AA$5*(INT((Census!$F95+AA$5))+IF((Census!$F95+AA$5)-INT((Census!$F95+AA$5))&gt;0.5,1,0)),Assumptions!$B$10))</f>
        <v>0</v>
      </c>
      <c r="AB95" s="30">
        <f>IF(AB$5&gt;$B95,0,INDEX(Decrements!$G$6:$G$58,Census!$G95+AB$5-18)/INDEX(Decrements!$G$6:$G$58,Census!$G95-17)*(INDEX(Decrements!$D$6:$D$58,Census!$G95+AB$5-18)+IF(AB$5=$B95,INDEX(Decrements!$F$6:$F$58,Census!$G95+AB$5-18),0)+INDEX(Decrements!$E$6:$E$58,Census!$G95+AB$5-18)*IF((Census!$F95+AB$5)&gt;=Assumptions!$B$11,1,0))*MIN(15/26*Census!$D95*(1+Assumptions!$B$9)^AB$5*(INT((Census!$F95+AB$5))+IF((Census!$F95+AB$5)-INT((Census!$F95+AB$5))&gt;0.5,1,0)),Assumptions!$B$10))</f>
        <v>0</v>
      </c>
      <c r="AC95" s="30">
        <f>IF(AC$5&gt;$B95,0,INDEX(Decrements!$G$6:$G$58,Census!$G95+AC$5-18)/INDEX(Decrements!$G$6:$G$58,Census!$G95-17)*(INDEX(Decrements!$D$6:$D$58,Census!$G95+AC$5-18)+IF(AC$5=$B95,INDEX(Decrements!$F$6:$F$58,Census!$G95+AC$5-18),0)+INDEX(Decrements!$E$6:$E$58,Census!$G95+AC$5-18)*IF((Census!$F95+AC$5)&gt;=Assumptions!$B$11,1,0))*MIN(15/26*Census!$D95*(1+Assumptions!$B$9)^AC$5*(INT((Census!$F95+AC$5))+IF((Census!$F95+AC$5)-INT((Census!$F95+AC$5))&gt;0.5,1,0)),Assumptions!$B$10))</f>
        <v>0</v>
      </c>
      <c r="AD95" s="30">
        <f>IF(AD$5&gt;$B95,0,INDEX(Decrements!$G$6:$G$58,Census!$G95+AD$5-18)/INDEX(Decrements!$G$6:$G$58,Census!$G95-17)*(INDEX(Decrements!$D$6:$D$58,Census!$G95+AD$5-18)+IF(AD$5=$B95,INDEX(Decrements!$F$6:$F$58,Census!$G95+AD$5-18),0)+INDEX(Decrements!$E$6:$E$58,Census!$G95+AD$5-18)*IF((Census!$F95+AD$5)&gt;=Assumptions!$B$11,1,0))*MIN(15/26*Census!$D95*(1+Assumptions!$B$9)^AD$5*(INT((Census!$F95+AD$5))+IF((Census!$F95+AD$5)-INT((Census!$F95+AD$5))&gt;0.5,1,0)),Assumptions!$B$10))</f>
        <v>0</v>
      </c>
      <c r="AE95" s="30">
        <f>IF(AE$5&gt;$B95,0,INDEX(Decrements!$G$6:$G$58,Census!$G95+AE$5-18)/INDEX(Decrements!$G$6:$G$58,Census!$G95-17)*(INDEX(Decrements!$D$6:$D$58,Census!$G95+AE$5-18)+IF(AE$5=$B95,INDEX(Decrements!$F$6:$F$58,Census!$G95+AE$5-18),0)+INDEX(Decrements!$E$6:$E$58,Census!$G95+AE$5-18)*IF((Census!$F95+AE$5)&gt;=Assumptions!$B$11,1,0))*MIN(15/26*Census!$D95*(1+Assumptions!$B$9)^AE$5*(INT((Census!$F95+AE$5))+IF((Census!$F95+AE$5)-INT((Census!$F95+AE$5))&gt;0.5,1,0)),Assumptions!$B$10))</f>
        <v>0</v>
      </c>
      <c r="AF95" s="30">
        <f>IF(AF$5&gt;$B95,0,INDEX(Decrements!$G$6:$G$58,Census!$G95+AF$5-18)/INDEX(Decrements!$G$6:$G$58,Census!$G95-17)*(INDEX(Decrements!$D$6:$D$58,Census!$G95+AF$5-18)+IF(AF$5=$B95,INDEX(Decrements!$F$6:$F$58,Census!$G95+AF$5-18),0)+INDEX(Decrements!$E$6:$E$58,Census!$G95+AF$5-18)*IF((Census!$F95+AF$5)&gt;=Assumptions!$B$11,1,0))*MIN(15/26*Census!$D95*(1+Assumptions!$B$9)^AF$5*(INT((Census!$F95+AF$5))+IF((Census!$F95+AF$5)-INT((Census!$F95+AF$5))&gt;0.5,1,0)),Assumptions!$B$10))</f>
        <v>0</v>
      </c>
      <c r="AG95" s="30">
        <f>IF(AG$5&gt;$B95,0,INDEX(Decrements!$G$6:$G$58,Census!$G95+AG$5-18)/INDEX(Decrements!$G$6:$G$58,Census!$G95-17)*(INDEX(Decrements!$D$6:$D$58,Census!$G95+AG$5-18)+IF(AG$5=$B95,INDEX(Decrements!$F$6:$F$58,Census!$G95+AG$5-18),0)+INDEX(Decrements!$E$6:$E$58,Census!$G95+AG$5-18)*IF((Census!$F95+AG$5)&gt;=Assumptions!$B$11,1,0))*MIN(15/26*Census!$D95*(1+Assumptions!$B$9)^AG$5*(INT((Census!$F95+AG$5))+IF((Census!$F95+AG$5)-INT((Census!$F95+AG$5))&gt;0.5,1,0)),Assumptions!$B$10))</f>
        <v>0</v>
      </c>
      <c r="AH95" s="30">
        <f>IF(AH$5&gt;$B95,0,INDEX(Decrements!$G$6:$G$58,Census!$G95+AH$5-18)/INDEX(Decrements!$G$6:$G$58,Census!$G95-17)*(INDEX(Decrements!$D$6:$D$58,Census!$G95+AH$5-18)+IF(AH$5=$B95,INDEX(Decrements!$F$6:$F$58,Census!$G95+AH$5-18),0)+INDEX(Decrements!$E$6:$E$58,Census!$G95+AH$5-18)*IF((Census!$F95+AH$5)&gt;=Assumptions!$B$11,1,0))*MIN(15/26*Census!$D95*(1+Assumptions!$B$9)^AH$5*(INT((Census!$F95+AH$5))+IF((Census!$F95+AH$5)-INT((Census!$F95+AH$5))&gt;0.5,1,0)),Assumptions!$B$10))</f>
        <v>0</v>
      </c>
      <c r="AI95" s="30">
        <f>IF(AI$5&gt;$B95,0,INDEX(Decrements!$G$6:$G$58,Census!$G95+AI$5-18)/INDEX(Decrements!$G$6:$G$58,Census!$G95-17)*(INDEX(Decrements!$D$6:$D$58,Census!$G95+AI$5-18)+IF(AI$5=$B95,INDEX(Decrements!$F$6:$F$58,Census!$G95+AI$5-18),0)+INDEX(Decrements!$E$6:$E$58,Census!$G95+AI$5-18)*IF((Census!$F95+AI$5)&gt;=Assumptions!$B$11,1,0))*MIN(15/26*Census!$D95*(1+Assumptions!$B$9)^AI$5*(INT((Census!$F95+AI$5))+IF((Census!$F95+AI$5)-INT((Census!$F95+AI$5))&gt;0.5,1,0)),Assumptions!$B$10))</f>
        <v>0</v>
      </c>
      <c r="AJ95" s="30">
        <f>IF(AJ$5&gt;$B95,0,INDEX(Decrements!$G$6:$G$58,Census!$G95+AJ$5-18)/INDEX(Decrements!$G$6:$G$58,Census!$G95-17)*(INDEX(Decrements!$D$6:$D$58,Census!$G95+AJ$5-18)+IF(AJ$5=$B95,INDEX(Decrements!$F$6:$F$58,Census!$G95+AJ$5-18),0)+INDEX(Decrements!$E$6:$E$58,Census!$G95+AJ$5-18)*IF((Census!$F95+AJ$5)&gt;=Assumptions!$B$11,1,0))*MIN(15/26*Census!$D95*(1+Assumptions!$B$9)^AJ$5*(INT((Census!$F95+AJ$5))+IF((Census!$F95+AJ$5)-INT((Census!$F95+AJ$5))&gt;0.5,1,0)),Assumptions!$B$10))</f>
        <v>0</v>
      </c>
      <c r="AK95" s="30">
        <f>IF(AK$5&gt;$B95,0,INDEX(Decrements!$G$6:$G$58,Census!$G95+AK$5-18)/INDEX(Decrements!$G$6:$G$58,Census!$G95-17)*(INDEX(Decrements!$D$6:$D$58,Census!$G95+AK$5-18)+IF(AK$5=$B95,INDEX(Decrements!$F$6:$F$58,Census!$G95+AK$5-18),0)+INDEX(Decrements!$E$6:$E$58,Census!$G95+AK$5-18)*IF((Census!$F95+AK$5)&gt;=Assumptions!$B$11,1,0))*MIN(15/26*Census!$D95*(1+Assumptions!$B$9)^AK$5*(INT((Census!$F95+AK$5))+IF((Census!$F95+AK$5)-INT((Census!$F95+AK$5))&gt;0.5,1,0)),Assumptions!$B$10))</f>
        <v>0</v>
      </c>
      <c r="AL95" s="30">
        <f>IF(AL$5&gt;$B95,0,INDEX(Decrements!$G$6:$G$58,Census!$G95+AL$5-18)/INDEX(Decrements!$G$6:$G$58,Census!$G95-17)*(INDEX(Decrements!$D$6:$D$58,Census!$G95+AL$5-18)+IF(AL$5=$B95,INDEX(Decrements!$F$6:$F$58,Census!$G95+AL$5-18),0)+INDEX(Decrements!$E$6:$E$58,Census!$G95+AL$5-18)*IF((Census!$F95+AL$5)&gt;=Assumptions!$B$11,1,0))*MIN(15/26*Census!$D95*(1+Assumptions!$B$9)^AL$5*(INT((Census!$F95+AL$5))+IF((Census!$F95+AL$5)-INT((Census!$F95+AL$5))&gt;0.5,1,0)),Assumptions!$B$10))</f>
        <v>0</v>
      </c>
      <c r="AM95" s="30">
        <f>IF(AM$5&gt;$B95,0,INDEX(Decrements!$G$6:$G$58,Census!$G95+AM$5-18)/INDEX(Decrements!$G$6:$G$58,Census!$G95-17)*(INDEX(Decrements!$D$6:$D$58,Census!$G95+AM$5-18)+IF(AM$5=$B95,INDEX(Decrements!$F$6:$F$58,Census!$G95+AM$5-18),0)+INDEX(Decrements!$E$6:$E$58,Census!$G95+AM$5-18)*IF((Census!$F95+AM$5)&gt;=Assumptions!$B$11,1,0))*MIN(15/26*Census!$D95*(1+Assumptions!$B$9)^AM$5*(INT((Census!$F95+AM$5))+IF((Census!$F95+AM$5)-INT((Census!$F95+AM$5))&gt;0.5,1,0)),Assumptions!$B$10))</f>
        <v>0</v>
      </c>
      <c r="AN95" s="30">
        <f>IF(AN$5&gt;$B95,0,INDEX(Decrements!$G$6:$G$58,Census!$G95+AN$5-18)/INDEX(Decrements!$G$6:$G$58,Census!$G95-17)*(INDEX(Decrements!$D$6:$D$58,Census!$G95+AN$5-18)+IF(AN$5=$B95,INDEX(Decrements!$F$6:$F$58,Census!$G95+AN$5-18),0)+INDEX(Decrements!$E$6:$E$58,Census!$G95+AN$5-18)*IF((Census!$F95+AN$5)&gt;=Assumptions!$B$11,1,0))*MIN(15/26*Census!$D95*(1+Assumptions!$B$9)^AN$5*(INT((Census!$F95+AN$5))+IF((Census!$F95+AN$5)-INT((Census!$F95+AN$5))&gt;0.5,1,0)),Assumptions!$B$10))</f>
        <v>0</v>
      </c>
      <c r="AO95" s="30">
        <f>IF(AO$5&gt;$B95,0,INDEX(Decrements!$G$6:$G$58,Census!$G95+AO$5-18)/INDEX(Decrements!$G$6:$G$58,Census!$G95-17)*(INDEX(Decrements!$D$6:$D$58,Census!$G95+AO$5-18)+IF(AO$5=$B95,INDEX(Decrements!$F$6:$F$58,Census!$G95+AO$5-18),0)+INDEX(Decrements!$E$6:$E$58,Census!$G95+AO$5-18)*IF((Census!$F95+AO$5)&gt;=Assumptions!$B$11,1,0))*MIN(15/26*Census!$D95*(1+Assumptions!$B$9)^AO$5*(INT((Census!$F95+AO$5))+IF((Census!$F95+AO$5)-INT((Census!$F95+AO$5))&gt;0.5,1,0)),Assumptions!$B$10))</f>
        <v>0</v>
      </c>
      <c r="AP95" s="30">
        <f>IF(AP$5&gt;$B95,0,INDEX(Decrements!$G$6:$G$58,Census!$G95+AP$5-18)/INDEX(Decrements!$G$6:$G$58,Census!$G95-17)*(INDEX(Decrements!$D$6:$D$58,Census!$G95+AP$5-18)+IF(AP$5=$B95,INDEX(Decrements!$F$6:$F$58,Census!$G95+AP$5-18),0)+INDEX(Decrements!$E$6:$E$58,Census!$G95+AP$5-18)*IF((Census!$F95+AP$5)&gt;=Assumptions!$B$11,1,0))*MIN(15/26*Census!$D95*(1+Assumptions!$B$9)^AP$5*(INT((Census!$F95+AP$5))+IF((Census!$F95+AP$5)-INT((Census!$F95+AP$5))&gt;0.5,1,0)),Assumptions!$B$10))</f>
        <v>0</v>
      </c>
      <c r="AQ95" s="30">
        <f>IF(AQ$5&gt;$B95,0,INDEX(Decrements!$G$6:$G$58,Census!$G95+AQ$5-18)/INDEX(Decrements!$G$6:$G$58,Census!$G95-17)*(INDEX(Decrements!$D$6:$D$58,Census!$G95+AQ$5-18)+IF(AQ$5=$B95,INDEX(Decrements!$F$6:$F$58,Census!$G95+AQ$5-18),0)+INDEX(Decrements!$E$6:$E$58,Census!$G95+AQ$5-18)*IF((Census!$F95+AQ$5)&gt;=Assumptions!$B$11,1,0))*MIN(15/26*Census!$D95*(1+Assumptions!$B$9)^AQ$5*(INT((Census!$F95+AQ$5))+IF((Census!$F95+AQ$5)-INT((Census!$F95+AQ$5))&gt;0.5,1,0)),Assumptions!$B$10))</f>
        <v>0</v>
      </c>
      <c r="AR95" s="30">
        <f>IF(AR$5&gt;$B95,0,INDEX(Decrements!$G$6:$G$58,Census!$G95+AR$5-18)/INDEX(Decrements!$G$6:$G$58,Census!$G95-17)*(INDEX(Decrements!$D$6:$D$58,Census!$G95+AR$5-18)+IF(AR$5=$B95,INDEX(Decrements!$F$6:$F$58,Census!$G95+AR$5-18),0)+INDEX(Decrements!$E$6:$E$58,Census!$G95+AR$5-18)*IF((Census!$F95+AR$5)&gt;=Assumptions!$B$11,1,0))*MIN(15/26*Census!$D95*(1+Assumptions!$B$9)^AR$5*(INT((Census!$F95+AR$5))+IF((Census!$F95+AR$5)-INT((Census!$F95+AR$5))&gt;0.5,1,0)),Assumptions!$B$10))</f>
        <v>0</v>
      </c>
      <c r="AS95" s="30">
        <f>IF(AS$5&gt;$B95,0,INDEX(Decrements!$G$6:$G$58,Census!$G95+AS$5-18)/INDEX(Decrements!$G$6:$G$58,Census!$G95-17)*(INDEX(Decrements!$D$6:$D$58,Census!$G95+AS$5-18)+IF(AS$5=$B95,INDEX(Decrements!$F$6:$F$58,Census!$G95+AS$5-18),0)+INDEX(Decrements!$E$6:$E$58,Census!$G95+AS$5-18)*IF((Census!$F95+AS$5)&gt;=Assumptions!$B$11,1,0))*MIN(15/26*Census!$D95*(1+Assumptions!$B$9)^AS$5*(INT((Census!$F95+AS$5))+IF((Census!$F95+AS$5)-INT((Census!$F95+AS$5))&gt;0.5,1,0)),Assumptions!$B$10))</f>
        <v>0</v>
      </c>
      <c r="AT95" s="30">
        <f>IF(AT$5&gt;$B95,0,INDEX(Decrements!$G$6:$G$58,Census!$G95+AT$5-18)/INDEX(Decrements!$G$6:$G$58,Census!$G95-17)*(INDEX(Decrements!$D$6:$D$58,Census!$G95+AT$5-18)+IF(AT$5=$B95,INDEX(Decrements!$F$6:$F$58,Census!$G95+AT$5-18),0)+INDEX(Decrements!$E$6:$E$58,Census!$G95+AT$5-18)*IF((Census!$F95+AT$5)&gt;=Assumptions!$B$11,1,0))*MIN(15/26*Census!$D95*(1+Assumptions!$B$9)^AT$5*(INT((Census!$F95+AT$5))+IF((Census!$F95+AT$5)-INT((Census!$F95+AT$5))&gt;0.5,1,0)),Assumptions!$B$10))</f>
        <v>0</v>
      </c>
      <c r="AU95" s="30">
        <f>IF(AU$5&gt;$B95,0,INDEX(Decrements!$G$6:$G$58,Census!$G95+AU$5-18)/INDEX(Decrements!$G$6:$G$58,Census!$G95-17)*(INDEX(Decrements!$D$6:$D$58,Census!$G95+AU$5-18)+IF(AU$5=$B95,INDEX(Decrements!$F$6:$F$58,Census!$G95+AU$5-18),0)+INDEX(Decrements!$E$6:$E$58,Census!$G95+AU$5-18)*IF((Census!$F95+AU$5)&gt;=Assumptions!$B$11,1,0))*MIN(15/26*Census!$D95*(1+Assumptions!$B$9)^AU$5*(INT((Census!$F95+AU$5))+IF((Census!$F95+AU$5)-INT((Census!$F95+AU$5))&gt;0.5,1,0)),Assumptions!$B$10))</f>
        <v>0</v>
      </c>
    </row>
    <row r="96" spans="1:47" x14ac:dyDescent="0.3">
      <c r="A96" s="10" t="str">
        <f>Census!A96</f>
        <v>E091</v>
      </c>
      <c r="B96" s="29">
        <f>Census!H96</f>
        <v>10</v>
      </c>
      <c r="C96" s="30">
        <f>IF(C$5&gt;$B96,0,INDEX(Decrements!$G$6:$G$58,Census!$G96+C$5-18)/INDEX(Decrements!$G$6:$G$58,Census!$G96-17)*(INDEX(Decrements!$D$6:$D$58,Census!$G96+C$5-18)+IF(C$5=$B96,INDEX(Decrements!$F$6:$F$58,Census!$G96+C$5-18),0)+INDEX(Decrements!$E$6:$E$58,Census!$G96+C$5-18)*IF((Census!$F96+C$5)&gt;=Assumptions!$B$11,1,0))*MIN(15/26*Census!$D96*(1+Assumptions!$B$9)^C$5*(INT((Census!$F96+C$5))+IF((Census!$F96+C$5)-INT((Census!$F96+C$5))&gt;0.5,1,0)),Assumptions!$B$10))</f>
        <v>26664.52201265538</v>
      </c>
      <c r="D96" s="30">
        <f>IF(D$5&gt;$B96,0,INDEX(Decrements!$G$6:$G$58,Census!$G96+D$5-18)/INDEX(Decrements!$G$6:$G$58,Census!$G96-17)*(INDEX(Decrements!$D$6:$D$58,Census!$G96+D$5-18)+IF(D$5=$B96,INDEX(Decrements!$F$6:$F$58,Census!$G96+D$5-18),0)+INDEX(Decrements!$E$6:$E$58,Census!$G96+D$5-18)*IF((Census!$F96+D$5)&gt;=Assumptions!$B$11,1,0))*MIN(15/26*Census!$D96*(1+Assumptions!$B$9)^D$5*(INT((Census!$F96+D$5))+IF((Census!$F96+D$5)-INT((Census!$F96+D$5))&gt;0.5,1,0)),Assumptions!$B$10))</f>
        <v>29623.000645450029</v>
      </c>
      <c r="E96" s="30">
        <f>IF(E$5&gt;$B96,0,INDEX(Decrements!$G$6:$G$58,Census!$G96+E$5-18)/INDEX(Decrements!$G$6:$G$58,Census!$G96-17)*(INDEX(Decrements!$D$6:$D$58,Census!$G96+E$5-18)+IF(E$5=$B96,INDEX(Decrements!$F$6:$F$58,Census!$G96+E$5-18),0)+INDEX(Decrements!$E$6:$E$58,Census!$G96+E$5-18)*IF((Census!$F96+E$5)&gt;=Assumptions!$B$11,1,0))*MIN(15/26*Census!$D96*(1+Assumptions!$B$9)^E$5*(INT((Census!$F96+E$5))+IF((Census!$F96+E$5)-INT((Census!$F96+E$5))&gt;0.5,1,0)),Assumptions!$B$10))</f>
        <v>32879.252346628127</v>
      </c>
      <c r="F96" s="30">
        <f>IF(F$5&gt;$B96,0,INDEX(Decrements!$G$6:$G$58,Census!$G96+F$5-18)/INDEX(Decrements!$G$6:$G$58,Census!$G96-17)*(INDEX(Decrements!$D$6:$D$58,Census!$G96+F$5-18)+IF(F$5=$B96,INDEX(Decrements!$F$6:$F$58,Census!$G96+F$5-18),0)+INDEX(Decrements!$E$6:$E$58,Census!$G96+F$5-18)*IF((Census!$F96+F$5)&gt;=Assumptions!$B$11,1,0))*MIN(15/26*Census!$D96*(1+Assumptions!$B$9)^F$5*(INT((Census!$F96+F$5))+IF((Census!$F96+F$5)-INT((Census!$F96+F$5))&gt;0.5,1,0)),Assumptions!$B$10))</f>
        <v>36465.659102352547</v>
      </c>
      <c r="G96" s="30">
        <f>IF(G$5&gt;$B96,0,INDEX(Decrements!$G$6:$G$58,Census!$G96+G$5-18)/INDEX(Decrements!$G$6:$G$58,Census!$G96-17)*(INDEX(Decrements!$D$6:$D$58,Census!$G96+G$5-18)+IF(G$5=$B96,INDEX(Decrements!$F$6:$F$58,Census!$G96+G$5-18),0)+INDEX(Decrements!$E$6:$E$58,Census!$G96+G$5-18)*IF((Census!$F96+G$5)&gt;=Assumptions!$B$11,1,0))*MIN(15/26*Census!$D96*(1+Assumptions!$B$9)^G$5*(INT((Census!$F96+G$5))+IF((Census!$F96+G$5)-INT((Census!$F96+G$5))&gt;0.5,1,0)),Assumptions!$B$10))</f>
        <v>40418.625131254637</v>
      </c>
      <c r="H96" s="30">
        <f>IF(H$5&gt;$B96,0,INDEX(Decrements!$G$6:$G$58,Census!$G96+H$5-18)/INDEX(Decrements!$G$6:$G$58,Census!$G96-17)*(INDEX(Decrements!$D$6:$D$58,Census!$G96+H$5-18)+IF(H$5=$B96,INDEX(Decrements!$F$6:$F$58,Census!$G96+H$5-18),0)+INDEX(Decrements!$E$6:$E$58,Census!$G96+H$5-18)*IF((Census!$F96+H$5)&gt;=Assumptions!$B$11,1,0))*MIN(15/26*Census!$D96*(1+Assumptions!$B$9)^H$5*(INT((Census!$F96+H$5))+IF((Census!$F96+H$5)-INT((Census!$F96+H$5))&gt;0.5,1,0)),Assumptions!$B$10))</f>
        <v>25440.503100618396</v>
      </c>
      <c r="I96" s="30">
        <f>IF(I$5&gt;$B96,0,INDEX(Decrements!$G$6:$G$58,Census!$G96+I$5-18)/INDEX(Decrements!$G$6:$G$58,Census!$G96-17)*(INDEX(Decrements!$D$6:$D$58,Census!$G96+I$5-18)+IF(I$5=$B96,INDEX(Decrements!$F$6:$F$58,Census!$G96+I$5-18),0)+INDEX(Decrements!$E$6:$E$58,Census!$G96+I$5-18)*IF((Census!$F96+I$5)&gt;=Assumptions!$B$11,1,0))*MIN(15/26*Census!$D96*(1+Assumptions!$B$9)^I$5*(INT((Census!$F96+I$5))+IF((Census!$F96+I$5)-INT((Census!$F96+I$5))&gt;0.5,1,0)),Assumptions!$B$10))</f>
        <v>25761.264031260038</v>
      </c>
      <c r="J96" s="30">
        <f>IF(J$5&gt;$B96,0,INDEX(Decrements!$G$6:$G$58,Census!$G96+J$5-18)/INDEX(Decrements!$G$6:$G$58,Census!$G96-17)*(INDEX(Decrements!$D$6:$D$58,Census!$G96+J$5-18)+IF(J$5=$B96,INDEX(Decrements!$F$6:$F$58,Census!$G96+J$5-18),0)+INDEX(Decrements!$E$6:$E$58,Census!$G96+J$5-18)*IF((Census!$F96+J$5)&gt;=Assumptions!$B$11,1,0))*MIN(15/26*Census!$D96*(1+Assumptions!$B$9)^J$5*(INT((Census!$F96+J$5))+IF((Census!$F96+J$5)-INT((Census!$F96+J$5))&gt;0.5,1,0)),Assumptions!$B$10))</f>
        <v>26124.465547260112</v>
      </c>
      <c r="K96" s="30">
        <f>IF(K$5&gt;$B96,0,INDEX(Decrements!$G$6:$G$58,Census!$G96+K$5-18)/INDEX(Decrements!$G$6:$G$58,Census!$G96-17)*(INDEX(Decrements!$D$6:$D$58,Census!$G96+K$5-18)+IF(K$5=$B96,INDEX(Decrements!$F$6:$F$58,Census!$G96+K$5-18),0)+INDEX(Decrements!$E$6:$E$58,Census!$G96+K$5-18)*IF((Census!$F96+K$5)&gt;=Assumptions!$B$11,1,0))*MIN(15/26*Census!$D96*(1+Assumptions!$B$9)^K$5*(INT((Census!$F96+K$5))+IF((Census!$F96+K$5)-INT((Census!$F96+K$5))&gt;0.5,1,0)),Assumptions!$B$10))</f>
        <v>26532.576153544418</v>
      </c>
      <c r="L96" s="30">
        <f>IF(L$5&gt;$B96,0,INDEX(Decrements!$G$6:$G$58,Census!$G96+L$5-18)/INDEX(Decrements!$G$6:$G$58,Census!$G96-17)*(INDEX(Decrements!$D$6:$D$58,Census!$G96+L$5-18)+IF(L$5=$B96,INDEX(Decrements!$F$6:$F$58,Census!$G96+L$5-18),0)+INDEX(Decrements!$E$6:$E$58,Census!$G96+L$5-18)*IF((Census!$F96+L$5)&gt;=Assumptions!$B$11,1,0))*MIN(15/26*Census!$D96*(1+Assumptions!$B$9)^L$5*(INT((Census!$F96+L$5))+IF((Census!$F96+L$5)-INT((Census!$F96+L$5))&gt;0.5,1,0)),Assumptions!$B$10))</f>
        <v>1673439.9953653275</v>
      </c>
      <c r="M96" s="30">
        <f>IF(M$5&gt;$B96,0,INDEX(Decrements!$G$6:$G$58,Census!$G96+M$5-18)/INDEX(Decrements!$G$6:$G$58,Census!$G96-17)*(INDEX(Decrements!$D$6:$D$58,Census!$G96+M$5-18)+IF(M$5=$B96,INDEX(Decrements!$F$6:$F$58,Census!$G96+M$5-18),0)+INDEX(Decrements!$E$6:$E$58,Census!$G96+M$5-18)*IF((Census!$F96+M$5)&gt;=Assumptions!$B$11,1,0))*MIN(15/26*Census!$D96*(1+Assumptions!$B$9)^M$5*(INT((Census!$F96+M$5))+IF((Census!$F96+M$5)-INT((Census!$F96+M$5))&gt;0.5,1,0)),Assumptions!$B$10))</f>
        <v>0</v>
      </c>
      <c r="N96" s="30">
        <f>IF(N$5&gt;$B96,0,INDEX(Decrements!$G$6:$G$58,Census!$G96+N$5-18)/INDEX(Decrements!$G$6:$G$58,Census!$G96-17)*(INDEX(Decrements!$D$6:$D$58,Census!$G96+N$5-18)+IF(N$5=$B96,INDEX(Decrements!$F$6:$F$58,Census!$G96+N$5-18),0)+INDEX(Decrements!$E$6:$E$58,Census!$G96+N$5-18)*IF((Census!$F96+N$5)&gt;=Assumptions!$B$11,1,0))*MIN(15/26*Census!$D96*(1+Assumptions!$B$9)^N$5*(INT((Census!$F96+N$5))+IF((Census!$F96+N$5)-INT((Census!$F96+N$5))&gt;0.5,1,0)),Assumptions!$B$10))</f>
        <v>0</v>
      </c>
      <c r="O96" s="30">
        <f>IF(O$5&gt;$B96,0,INDEX(Decrements!$G$6:$G$58,Census!$G96+O$5-18)/INDEX(Decrements!$G$6:$G$58,Census!$G96-17)*(INDEX(Decrements!$D$6:$D$58,Census!$G96+O$5-18)+IF(O$5=$B96,INDEX(Decrements!$F$6:$F$58,Census!$G96+O$5-18),0)+INDEX(Decrements!$E$6:$E$58,Census!$G96+O$5-18)*IF((Census!$F96+O$5)&gt;=Assumptions!$B$11,1,0))*MIN(15/26*Census!$D96*(1+Assumptions!$B$9)^O$5*(INT((Census!$F96+O$5))+IF((Census!$F96+O$5)-INT((Census!$F96+O$5))&gt;0.5,1,0)),Assumptions!$B$10))</f>
        <v>0</v>
      </c>
      <c r="P96" s="30">
        <f>IF(P$5&gt;$B96,0,INDEX(Decrements!$G$6:$G$58,Census!$G96+P$5-18)/INDEX(Decrements!$G$6:$G$58,Census!$G96-17)*(INDEX(Decrements!$D$6:$D$58,Census!$G96+P$5-18)+IF(P$5=$B96,INDEX(Decrements!$F$6:$F$58,Census!$G96+P$5-18),0)+INDEX(Decrements!$E$6:$E$58,Census!$G96+P$5-18)*IF((Census!$F96+P$5)&gt;=Assumptions!$B$11,1,0))*MIN(15/26*Census!$D96*(1+Assumptions!$B$9)^P$5*(INT((Census!$F96+P$5))+IF((Census!$F96+P$5)-INT((Census!$F96+P$5))&gt;0.5,1,0)),Assumptions!$B$10))</f>
        <v>0</v>
      </c>
      <c r="Q96" s="30">
        <f>IF(Q$5&gt;$B96,0,INDEX(Decrements!$G$6:$G$58,Census!$G96+Q$5-18)/INDEX(Decrements!$G$6:$G$58,Census!$G96-17)*(INDEX(Decrements!$D$6:$D$58,Census!$G96+Q$5-18)+IF(Q$5=$B96,INDEX(Decrements!$F$6:$F$58,Census!$G96+Q$5-18),0)+INDEX(Decrements!$E$6:$E$58,Census!$G96+Q$5-18)*IF((Census!$F96+Q$5)&gt;=Assumptions!$B$11,1,0))*MIN(15/26*Census!$D96*(1+Assumptions!$B$9)^Q$5*(INT((Census!$F96+Q$5))+IF((Census!$F96+Q$5)-INT((Census!$F96+Q$5))&gt;0.5,1,0)),Assumptions!$B$10))</f>
        <v>0</v>
      </c>
      <c r="R96" s="30">
        <f>IF(R$5&gt;$B96,0,INDEX(Decrements!$G$6:$G$58,Census!$G96+R$5-18)/INDEX(Decrements!$G$6:$G$58,Census!$G96-17)*(INDEX(Decrements!$D$6:$D$58,Census!$G96+R$5-18)+IF(R$5=$B96,INDEX(Decrements!$F$6:$F$58,Census!$G96+R$5-18),0)+INDEX(Decrements!$E$6:$E$58,Census!$G96+R$5-18)*IF((Census!$F96+R$5)&gt;=Assumptions!$B$11,1,0))*MIN(15/26*Census!$D96*(1+Assumptions!$B$9)^R$5*(INT((Census!$F96+R$5))+IF((Census!$F96+R$5)-INT((Census!$F96+R$5))&gt;0.5,1,0)),Assumptions!$B$10))</f>
        <v>0</v>
      </c>
      <c r="S96" s="30">
        <f>IF(S$5&gt;$B96,0,INDEX(Decrements!$G$6:$G$58,Census!$G96+S$5-18)/INDEX(Decrements!$G$6:$G$58,Census!$G96-17)*(INDEX(Decrements!$D$6:$D$58,Census!$G96+S$5-18)+IF(S$5=$B96,INDEX(Decrements!$F$6:$F$58,Census!$G96+S$5-18),0)+INDEX(Decrements!$E$6:$E$58,Census!$G96+S$5-18)*IF((Census!$F96+S$5)&gt;=Assumptions!$B$11,1,0))*MIN(15/26*Census!$D96*(1+Assumptions!$B$9)^S$5*(INT((Census!$F96+S$5))+IF((Census!$F96+S$5)-INT((Census!$F96+S$5))&gt;0.5,1,0)),Assumptions!$B$10))</f>
        <v>0</v>
      </c>
      <c r="T96" s="30">
        <f>IF(T$5&gt;$B96,0,INDEX(Decrements!$G$6:$G$58,Census!$G96+T$5-18)/INDEX(Decrements!$G$6:$G$58,Census!$G96-17)*(INDEX(Decrements!$D$6:$D$58,Census!$G96+T$5-18)+IF(T$5=$B96,INDEX(Decrements!$F$6:$F$58,Census!$G96+T$5-18),0)+INDEX(Decrements!$E$6:$E$58,Census!$G96+T$5-18)*IF((Census!$F96+T$5)&gt;=Assumptions!$B$11,1,0))*MIN(15/26*Census!$D96*(1+Assumptions!$B$9)^T$5*(INT((Census!$F96+T$5))+IF((Census!$F96+T$5)-INT((Census!$F96+T$5))&gt;0.5,1,0)),Assumptions!$B$10))</f>
        <v>0</v>
      </c>
      <c r="U96" s="30">
        <f>IF(U$5&gt;$B96,0,INDEX(Decrements!$G$6:$G$58,Census!$G96+U$5-18)/INDEX(Decrements!$G$6:$G$58,Census!$G96-17)*(INDEX(Decrements!$D$6:$D$58,Census!$G96+U$5-18)+IF(U$5=$B96,INDEX(Decrements!$F$6:$F$58,Census!$G96+U$5-18),0)+INDEX(Decrements!$E$6:$E$58,Census!$G96+U$5-18)*IF((Census!$F96+U$5)&gt;=Assumptions!$B$11,1,0))*MIN(15/26*Census!$D96*(1+Assumptions!$B$9)^U$5*(INT((Census!$F96+U$5))+IF((Census!$F96+U$5)-INT((Census!$F96+U$5))&gt;0.5,1,0)),Assumptions!$B$10))</f>
        <v>0</v>
      </c>
      <c r="V96" s="30">
        <f>IF(V$5&gt;$B96,0,INDEX(Decrements!$G$6:$G$58,Census!$G96+V$5-18)/INDEX(Decrements!$G$6:$G$58,Census!$G96-17)*(INDEX(Decrements!$D$6:$D$58,Census!$G96+V$5-18)+IF(V$5=$B96,INDEX(Decrements!$F$6:$F$58,Census!$G96+V$5-18),0)+INDEX(Decrements!$E$6:$E$58,Census!$G96+V$5-18)*IF((Census!$F96+V$5)&gt;=Assumptions!$B$11,1,0))*MIN(15/26*Census!$D96*(1+Assumptions!$B$9)^V$5*(INT((Census!$F96+V$5))+IF((Census!$F96+V$5)-INT((Census!$F96+V$5))&gt;0.5,1,0)),Assumptions!$B$10))</f>
        <v>0</v>
      </c>
      <c r="W96" s="30">
        <f>IF(W$5&gt;$B96,0,INDEX(Decrements!$G$6:$G$58,Census!$G96+W$5-18)/INDEX(Decrements!$G$6:$G$58,Census!$G96-17)*(INDEX(Decrements!$D$6:$D$58,Census!$G96+W$5-18)+IF(W$5=$B96,INDEX(Decrements!$F$6:$F$58,Census!$G96+W$5-18),0)+INDEX(Decrements!$E$6:$E$58,Census!$G96+W$5-18)*IF((Census!$F96+W$5)&gt;=Assumptions!$B$11,1,0))*MIN(15/26*Census!$D96*(1+Assumptions!$B$9)^W$5*(INT((Census!$F96+W$5))+IF((Census!$F96+W$5)-INT((Census!$F96+W$5))&gt;0.5,1,0)),Assumptions!$B$10))</f>
        <v>0</v>
      </c>
      <c r="X96" s="30">
        <f>IF(X$5&gt;$B96,0,INDEX(Decrements!$G$6:$G$58,Census!$G96+X$5-18)/INDEX(Decrements!$G$6:$G$58,Census!$G96-17)*(INDEX(Decrements!$D$6:$D$58,Census!$G96+X$5-18)+IF(X$5=$B96,INDEX(Decrements!$F$6:$F$58,Census!$G96+X$5-18),0)+INDEX(Decrements!$E$6:$E$58,Census!$G96+X$5-18)*IF((Census!$F96+X$5)&gt;=Assumptions!$B$11,1,0))*MIN(15/26*Census!$D96*(1+Assumptions!$B$9)^X$5*(INT((Census!$F96+X$5))+IF((Census!$F96+X$5)-INT((Census!$F96+X$5))&gt;0.5,1,0)),Assumptions!$B$10))</f>
        <v>0</v>
      </c>
      <c r="Y96" s="30">
        <f>IF(Y$5&gt;$B96,0,INDEX(Decrements!$G$6:$G$58,Census!$G96+Y$5-18)/INDEX(Decrements!$G$6:$G$58,Census!$G96-17)*(INDEX(Decrements!$D$6:$D$58,Census!$G96+Y$5-18)+IF(Y$5=$B96,INDEX(Decrements!$F$6:$F$58,Census!$G96+Y$5-18),0)+INDEX(Decrements!$E$6:$E$58,Census!$G96+Y$5-18)*IF((Census!$F96+Y$5)&gt;=Assumptions!$B$11,1,0))*MIN(15/26*Census!$D96*(1+Assumptions!$B$9)^Y$5*(INT((Census!$F96+Y$5))+IF((Census!$F96+Y$5)-INT((Census!$F96+Y$5))&gt;0.5,1,0)),Assumptions!$B$10))</f>
        <v>0</v>
      </c>
      <c r="Z96" s="30">
        <f>IF(Z$5&gt;$B96,0,INDEX(Decrements!$G$6:$G$58,Census!$G96+Z$5-18)/INDEX(Decrements!$G$6:$G$58,Census!$G96-17)*(INDEX(Decrements!$D$6:$D$58,Census!$G96+Z$5-18)+IF(Z$5=$B96,INDEX(Decrements!$F$6:$F$58,Census!$G96+Z$5-18),0)+INDEX(Decrements!$E$6:$E$58,Census!$G96+Z$5-18)*IF((Census!$F96+Z$5)&gt;=Assumptions!$B$11,1,0))*MIN(15/26*Census!$D96*(1+Assumptions!$B$9)^Z$5*(INT((Census!$F96+Z$5))+IF((Census!$F96+Z$5)-INT((Census!$F96+Z$5))&gt;0.5,1,0)),Assumptions!$B$10))</f>
        <v>0</v>
      </c>
      <c r="AA96" s="30">
        <f>IF(AA$5&gt;$B96,0,INDEX(Decrements!$G$6:$G$58,Census!$G96+AA$5-18)/INDEX(Decrements!$G$6:$G$58,Census!$G96-17)*(INDEX(Decrements!$D$6:$D$58,Census!$G96+AA$5-18)+IF(AA$5=$B96,INDEX(Decrements!$F$6:$F$58,Census!$G96+AA$5-18),0)+INDEX(Decrements!$E$6:$E$58,Census!$G96+AA$5-18)*IF((Census!$F96+AA$5)&gt;=Assumptions!$B$11,1,0))*MIN(15/26*Census!$D96*(1+Assumptions!$B$9)^AA$5*(INT((Census!$F96+AA$5))+IF((Census!$F96+AA$5)-INT((Census!$F96+AA$5))&gt;0.5,1,0)),Assumptions!$B$10))</f>
        <v>0</v>
      </c>
      <c r="AB96" s="30">
        <f>IF(AB$5&gt;$B96,0,INDEX(Decrements!$G$6:$G$58,Census!$G96+AB$5-18)/INDEX(Decrements!$G$6:$G$58,Census!$G96-17)*(INDEX(Decrements!$D$6:$D$58,Census!$G96+AB$5-18)+IF(AB$5=$B96,INDEX(Decrements!$F$6:$F$58,Census!$G96+AB$5-18),0)+INDEX(Decrements!$E$6:$E$58,Census!$G96+AB$5-18)*IF((Census!$F96+AB$5)&gt;=Assumptions!$B$11,1,0))*MIN(15/26*Census!$D96*(1+Assumptions!$B$9)^AB$5*(INT((Census!$F96+AB$5))+IF((Census!$F96+AB$5)-INT((Census!$F96+AB$5))&gt;0.5,1,0)),Assumptions!$B$10))</f>
        <v>0</v>
      </c>
      <c r="AC96" s="30">
        <f>IF(AC$5&gt;$B96,0,INDEX(Decrements!$G$6:$G$58,Census!$G96+AC$5-18)/INDEX(Decrements!$G$6:$G$58,Census!$G96-17)*(INDEX(Decrements!$D$6:$D$58,Census!$G96+AC$5-18)+IF(AC$5=$B96,INDEX(Decrements!$F$6:$F$58,Census!$G96+AC$5-18),0)+INDEX(Decrements!$E$6:$E$58,Census!$G96+AC$5-18)*IF((Census!$F96+AC$5)&gt;=Assumptions!$B$11,1,0))*MIN(15/26*Census!$D96*(1+Assumptions!$B$9)^AC$5*(INT((Census!$F96+AC$5))+IF((Census!$F96+AC$5)-INT((Census!$F96+AC$5))&gt;0.5,1,0)),Assumptions!$B$10))</f>
        <v>0</v>
      </c>
      <c r="AD96" s="30">
        <f>IF(AD$5&gt;$B96,0,INDEX(Decrements!$G$6:$G$58,Census!$G96+AD$5-18)/INDEX(Decrements!$G$6:$G$58,Census!$G96-17)*(INDEX(Decrements!$D$6:$D$58,Census!$G96+AD$5-18)+IF(AD$5=$B96,INDEX(Decrements!$F$6:$F$58,Census!$G96+AD$5-18),0)+INDEX(Decrements!$E$6:$E$58,Census!$G96+AD$5-18)*IF((Census!$F96+AD$5)&gt;=Assumptions!$B$11,1,0))*MIN(15/26*Census!$D96*(1+Assumptions!$B$9)^AD$5*(INT((Census!$F96+AD$5))+IF((Census!$F96+AD$5)-INT((Census!$F96+AD$5))&gt;0.5,1,0)),Assumptions!$B$10))</f>
        <v>0</v>
      </c>
      <c r="AE96" s="30">
        <f>IF(AE$5&gt;$B96,0,INDEX(Decrements!$G$6:$G$58,Census!$G96+AE$5-18)/INDEX(Decrements!$G$6:$G$58,Census!$G96-17)*(INDEX(Decrements!$D$6:$D$58,Census!$G96+AE$5-18)+IF(AE$5=$B96,INDEX(Decrements!$F$6:$F$58,Census!$G96+AE$5-18),0)+INDEX(Decrements!$E$6:$E$58,Census!$G96+AE$5-18)*IF((Census!$F96+AE$5)&gt;=Assumptions!$B$11,1,0))*MIN(15/26*Census!$D96*(1+Assumptions!$B$9)^AE$5*(INT((Census!$F96+AE$5))+IF((Census!$F96+AE$5)-INT((Census!$F96+AE$5))&gt;0.5,1,0)),Assumptions!$B$10))</f>
        <v>0</v>
      </c>
      <c r="AF96" s="30">
        <f>IF(AF$5&gt;$B96,0,INDEX(Decrements!$G$6:$G$58,Census!$G96+AF$5-18)/INDEX(Decrements!$G$6:$G$58,Census!$G96-17)*(INDEX(Decrements!$D$6:$D$58,Census!$G96+AF$5-18)+IF(AF$5=$B96,INDEX(Decrements!$F$6:$F$58,Census!$G96+AF$5-18),0)+INDEX(Decrements!$E$6:$E$58,Census!$G96+AF$5-18)*IF((Census!$F96+AF$5)&gt;=Assumptions!$B$11,1,0))*MIN(15/26*Census!$D96*(1+Assumptions!$B$9)^AF$5*(INT((Census!$F96+AF$5))+IF((Census!$F96+AF$5)-INT((Census!$F96+AF$5))&gt;0.5,1,0)),Assumptions!$B$10))</f>
        <v>0</v>
      </c>
      <c r="AG96" s="30">
        <f>IF(AG$5&gt;$B96,0,INDEX(Decrements!$G$6:$G$58,Census!$G96+AG$5-18)/INDEX(Decrements!$G$6:$G$58,Census!$G96-17)*(INDEX(Decrements!$D$6:$D$58,Census!$G96+AG$5-18)+IF(AG$5=$B96,INDEX(Decrements!$F$6:$F$58,Census!$G96+AG$5-18),0)+INDEX(Decrements!$E$6:$E$58,Census!$G96+AG$5-18)*IF((Census!$F96+AG$5)&gt;=Assumptions!$B$11,1,0))*MIN(15/26*Census!$D96*(1+Assumptions!$B$9)^AG$5*(INT((Census!$F96+AG$5))+IF((Census!$F96+AG$5)-INT((Census!$F96+AG$5))&gt;0.5,1,0)),Assumptions!$B$10))</f>
        <v>0</v>
      </c>
      <c r="AH96" s="30">
        <f>IF(AH$5&gt;$B96,0,INDEX(Decrements!$G$6:$G$58,Census!$G96+AH$5-18)/INDEX(Decrements!$G$6:$G$58,Census!$G96-17)*(INDEX(Decrements!$D$6:$D$58,Census!$G96+AH$5-18)+IF(AH$5=$B96,INDEX(Decrements!$F$6:$F$58,Census!$G96+AH$5-18),0)+INDEX(Decrements!$E$6:$E$58,Census!$G96+AH$5-18)*IF((Census!$F96+AH$5)&gt;=Assumptions!$B$11,1,0))*MIN(15/26*Census!$D96*(1+Assumptions!$B$9)^AH$5*(INT((Census!$F96+AH$5))+IF((Census!$F96+AH$5)-INT((Census!$F96+AH$5))&gt;0.5,1,0)),Assumptions!$B$10))</f>
        <v>0</v>
      </c>
      <c r="AI96" s="30">
        <f>IF(AI$5&gt;$B96,0,INDEX(Decrements!$G$6:$G$58,Census!$G96+AI$5-18)/INDEX(Decrements!$G$6:$G$58,Census!$G96-17)*(INDEX(Decrements!$D$6:$D$58,Census!$G96+AI$5-18)+IF(AI$5=$B96,INDEX(Decrements!$F$6:$F$58,Census!$G96+AI$5-18),0)+INDEX(Decrements!$E$6:$E$58,Census!$G96+AI$5-18)*IF((Census!$F96+AI$5)&gt;=Assumptions!$B$11,1,0))*MIN(15/26*Census!$D96*(1+Assumptions!$B$9)^AI$5*(INT((Census!$F96+AI$5))+IF((Census!$F96+AI$5)-INT((Census!$F96+AI$5))&gt;0.5,1,0)),Assumptions!$B$10))</f>
        <v>0</v>
      </c>
      <c r="AJ96" s="30">
        <f>IF(AJ$5&gt;$B96,0,INDEX(Decrements!$G$6:$G$58,Census!$G96+AJ$5-18)/INDEX(Decrements!$G$6:$G$58,Census!$G96-17)*(INDEX(Decrements!$D$6:$D$58,Census!$G96+AJ$5-18)+IF(AJ$5=$B96,INDEX(Decrements!$F$6:$F$58,Census!$G96+AJ$5-18),0)+INDEX(Decrements!$E$6:$E$58,Census!$G96+AJ$5-18)*IF((Census!$F96+AJ$5)&gt;=Assumptions!$B$11,1,0))*MIN(15/26*Census!$D96*(1+Assumptions!$B$9)^AJ$5*(INT((Census!$F96+AJ$5))+IF((Census!$F96+AJ$5)-INT((Census!$F96+AJ$5))&gt;0.5,1,0)),Assumptions!$B$10))</f>
        <v>0</v>
      </c>
      <c r="AK96" s="30">
        <f>IF(AK$5&gt;$B96,0,INDEX(Decrements!$G$6:$G$58,Census!$G96+AK$5-18)/INDEX(Decrements!$G$6:$G$58,Census!$G96-17)*(INDEX(Decrements!$D$6:$D$58,Census!$G96+AK$5-18)+IF(AK$5=$B96,INDEX(Decrements!$F$6:$F$58,Census!$G96+AK$5-18),0)+INDEX(Decrements!$E$6:$E$58,Census!$G96+AK$5-18)*IF((Census!$F96+AK$5)&gt;=Assumptions!$B$11,1,0))*MIN(15/26*Census!$D96*(1+Assumptions!$B$9)^AK$5*(INT((Census!$F96+AK$5))+IF((Census!$F96+AK$5)-INT((Census!$F96+AK$5))&gt;0.5,1,0)),Assumptions!$B$10))</f>
        <v>0</v>
      </c>
      <c r="AL96" s="30">
        <f>IF(AL$5&gt;$B96,0,INDEX(Decrements!$G$6:$G$58,Census!$G96+AL$5-18)/INDEX(Decrements!$G$6:$G$58,Census!$G96-17)*(INDEX(Decrements!$D$6:$D$58,Census!$G96+AL$5-18)+IF(AL$5=$B96,INDEX(Decrements!$F$6:$F$58,Census!$G96+AL$5-18),0)+INDEX(Decrements!$E$6:$E$58,Census!$G96+AL$5-18)*IF((Census!$F96+AL$5)&gt;=Assumptions!$B$11,1,0))*MIN(15/26*Census!$D96*(1+Assumptions!$B$9)^AL$5*(INT((Census!$F96+AL$5))+IF((Census!$F96+AL$5)-INT((Census!$F96+AL$5))&gt;0.5,1,0)),Assumptions!$B$10))</f>
        <v>0</v>
      </c>
      <c r="AM96" s="30">
        <f>IF(AM$5&gt;$B96,0,INDEX(Decrements!$G$6:$G$58,Census!$G96+AM$5-18)/INDEX(Decrements!$G$6:$G$58,Census!$G96-17)*(INDEX(Decrements!$D$6:$D$58,Census!$G96+AM$5-18)+IF(AM$5=$B96,INDEX(Decrements!$F$6:$F$58,Census!$G96+AM$5-18),0)+INDEX(Decrements!$E$6:$E$58,Census!$G96+AM$5-18)*IF((Census!$F96+AM$5)&gt;=Assumptions!$B$11,1,0))*MIN(15/26*Census!$D96*(1+Assumptions!$B$9)^AM$5*(INT((Census!$F96+AM$5))+IF((Census!$F96+AM$5)-INT((Census!$F96+AM$5))&gt;0.5,1,0)),Assumptions!$B$10))</f>
        <v>0</v>
      </c>
      <c r="AN96" s="30">
        <f>IF(AN$5&gt;$B96,0,INDEX(Decrements!$G$6:$G$58,Census!$G96+AN$5-18)/INDEX(Decrements!$G$6:$G$58,Census!$G96-17)*(INDEX(Decrements!$D$6:$D$58,Census!$G96+AN$5-18)+IF(AN$5=$B96,INDEX(Decrements!$F$6:$F$58,Census!$G96+AN$5-18),0)+INDEX(Decrements!$E$6:$E$58,Census!$G96+AN$5-18)*IF((Census!$F96+AN$5)&gt;=Assumptions!$B$11,1,0))*MIN(15/26*Census!$D96*(1+Assumptions!$B$9)^AN$5*(INT((Census!$F96+AN$5))+IF((Census!$F96+AN$5)-INT((Census!$F96+AN$5))&gt;0.5,1,0)),Assumptions!$B$10))</f>
        <v>0</v>
      </c>
      <c r="AO96" s="30">
        <f>IF(AO$5&gt;$B96,0,INDEX(Decrements!$G$6:$G$58,Census!$G96+AO$5-18)/INDEX(Decrements!$G$6:$G$58,Census!$G96-17)*(INDEX(Decrements!$D$6:$D$58,Census!$G96+AO$5-18)+IF(AO$5=$B96,INDEX(Decrements!$F$6:$F$58,Census!$G96+AO$5-18),0)+INDEX(Decrements!$E$6:$E$58,Census!$G96+AO$5-18)*IF((Census!$F96+AO$5)&gt;=Assumptions!$B$11,1,0))*MIN(15/26*Census!$D96*(1+Assumptions!$B$9)^AO$5*(INT((Census!$F96+AO$5))+IF((Census!$F96+AO$5)-INT((Census!$F96+AO$5))&gt;0.5,1,0)),Assumptions!$B$10))</f>
        <v>0</v>
      </c>
      <c r="AP96" s="30">
        <f>IF(AP$5&gt;$B96,0,INDEX(Decrements!$G$6:$G$58,Census!$G96+AP$5-18)/INDEX(Decrements!$G$6:$G$58,Census!$G96-17)*(INDEX(Decrements!$D$6:$D$58,Census!$G96+AP$5-18)+IF(AP$5=$B96,INDEX(Decrements!$F$6:$F$58,Census!$G96+AP$5-18),0)+INDEX(Decrements!$E$6:$E$58,Census!$G96+AP$5-18)*IF((Census!$F96+AP$5)&gt;=Assumptions!$B$11,1,0))*MIN(15/26*Census!$D96*(1+Assumptions!$B$9)^AP$5*(INT((Census!$F96+AP$5))+IF((Census!$F96+AP$5)-INT((Census!$F96+AP$5))&gt;0.5,1,0)),Assumptions!$B$10))</f>
        <v>0</v>
      </c>
      <c r="AQ96" s="30">
        <f>IF(AQ$5&gt;$B96,0,INDEX(Decrements!$G$6:$G$58,Census!$G96+AQ$5-18)/INDEX(Decrements!$G$6:$G$58,Census!$G96-17)*(INDEX(Decrements!$D$6:$D$58,Census!$G96+AQ$5-18)+IF(AQ$5=$B96,INDEX(Decrements!$F$6:$F$58,Census!$G96+AQ$5-18),0)+INDEX(Decrements!$E$6:$E$58,Census!$G96+AQ$5-18)*IF((Census!$F96+AQ$5)&gt;=Assumptions!$B$11,1,0))*MIN(15/26*Census!$D96*(1+Assumptions!$B$9)^AQ$5*(INT((Census!$F96+AQ$5))+IF((Census!$F96+AQ$5)-INT((Census!$F96+AQ$5))&gt;0.5,1,0)),Assumptions!$B$10))</f>
        <v>0</v>
      </c>
      <c r="AR96" s="30">
        <f>IF(AR$5&gt;$B96,0,INDEX(Decrements!$G$6:$G$58,Census!$G96+AR$5-18)/INDEX(Decrements!$G$6:$G$58,Census!$G96-17)*(INDEX(Decrements!$D$6:$D$58,Census!$G96+AR$5-18)+IF(AR$5=$B96,INDEX(Decrements!$F$6:$F$58,Census!$G96+AR$5-18),0)+INDEX(Decrements!$E$6:$E$58,Census!$G96+AR$5-18)*IF((Census!$F96+AR$5)&gt;=Assumptions!$B$11,1,0))*MIN(15/26*Census!$D96*(1+Assumptions!$B$9)^AR$5*(INT((Census!$F96+AR$5))+IF((Census!$F96+AR$5)-INT((Census!$F96+AR$5))&gt;0.5,1,0)),Assumptions!$B$10))</f>
        <v>0</v>
      </c>
      <c r="AS96" s="30">
        <f>IF(AS$5&gt;$B96,0,INDEX(Decrements!$G$6:$G$58,Census!$G96+AS$5-18)/INDEX(Decrements!$G$6:$G$58,Census!$G96-17)*(INDEX(Decrements!$D$6:$D$58,Census!$G96+AS$5-18)+IF(AS$5=$B96,INDEX(Decrements!$F$6:$F$58,Census!$G96+AS$5-18),0)+INDEX(Decrements!$E$6:$E$58,Census!$G96+AS$5-18)*IF((Census!$F96+AS$5)&gt;=Assumptions!$B$11,1,0))*MIN(15/26*Census!$D96*(1+Assumptions!$B$9)^AS$5*(INT((Census!$F96+AS$5))+IF((Census!$F96+AS$5)-INT((Census!$F96+AS$5))&gt;0.5,1,0)),Assumptions!$B$10))</f>
        <v>0</v>
      </c>
      <c r="AT96" s="30">
        <f>IF(AT$5&gt;$B96,0,INDEX(Decrements!$G$6:$G$58,Census!$G96+AT$5-18)/INDEX(Decrements!$G$6:$G$58,Census!$G96-17)*(INDEX(Decrements!$D$6:$D$58,Census!$G96+AT$5-18)+IF(AT$5=$B96,INDEX(Decrements!$F$6:$F$58,Census!$G96+AT$5-18),0)+INDEX(Decrements!$E$6:$E$58,Census!$G96+AT$5-18)*IF((Census!$F96+AT$5)&gt;=Assumptions!$B$11,1,0))*MIN(15/26*Census!$D96*(1+Assumptions!$B$9)^AT$5*(INT((Census!$F96+AT$5))+IF((Census!$F96+AT$5)-INT((Census!$F96+AT$5))&gt;0.5,1,0)),Assumptions!$B$10))</f>
        <v>0</v>
      </c>
      <c r="AU96" s="30">
        <f>IF(AU$5&gt;$B96,0,INDEX(Decrements!$G$6:$G$58,Census!$G96+AU$5-18)/INDEX(Decrements!$G$6:$G$58,Census!$G96-17)*(INDEX(Decrements!$D$6:$D$58,Census!$G96+AU$5-18)+IF(AU$5=$B96,INDEX(Decrements!$F$6:$F$58,Census!$G96+AU$5-18),0)+INDEX(Decrements!$E$6:$E$58,Census!$G96+AU$5-18)*IF((Census!$F96+AU$5)&gt;=Assumptions!$B$11,1,0))*MIN(15/26*Census!$D96*(1+Assumptions!$B$9)^AU$5*(INT((Census!$F96+AU$5))+IF((Census!$F96+AU$5)-INT((Census!$F96+AU$5))&gt;0.5,1,0)),Assumptions!$B$10))</f>
        <v>0</v>
      </c>
    </row>
    <row r="97" spans="1:47" x14ac:dyDescent="0.3">
      <c r="A97" s="10" t="str">
        <f>Census!A97</f>
        <v>E092</v>
      </c>
      <c r="B97" s="29">
        <f>Census!H97</f>
        <v>5</v>
      </c>
      <c r="C97" s="30">
        <f>IF(C$5&gt;$B97,0,INDEX(Decrements!$G$6:$G$58,Census!$G97+C$5-18)/INDEX(Decrements!$G$6:$G$58,Census!$G97-17)*(INDEX(Decrements!$D$6:$D$58,Census!$G97+C$5-18)+IF(C$5=$B97,INDEX(Decrements!$F$6:$F$58,Census!$G97+C$5-18),0)+INDEX(Decrements!$E$6:$E$58,Census!$G97+C$5-18)*IF((Census!$F97+C$5)&gt;=Assumptions!$B$11,1,0))*MIN(15/26*Census!$D97*(1+Assumptions!$B$9)^C$5*(INT((Census!$F97+C$5))+IF((Census!$F97+C$5)-INT((Census!$F97+C$5))&gt;0.5,1,0)),Assumptions!$B$10))</f>
        <v>28628.279094688511</v>
      </c>
      <c r="D97" s="30">
        <f>IF(D$5&gt;$B97,0,INDEX(Decrements!$G$6:$G$58,Census!$G97+D$5-18)/INDEX(Decrements!$G$6:$G$58,Census!$G97-17)*(INDEX(Decrements!$D$6:$D$58,Census!$G97+D$5-18)+IF(D$5=$B97,INDEX(Decrements!$F$6:$F$58,Census!$G97+D$5-18),0)+INDEX(Decrements!$E$6:$E$58,Census!$G97+D$5-18)*IF((Census!$F97+D$5)&gt;=Assumptions!$B$11,1,0))*MIN(15/26*Census!$D97*(1+Assumptions!$B$9)^D$5*(INT((Census!$F97+D$5))+IF((Census!$F97+D$5)-INT((Census!$F97+D$5))&gt;0.5,1,0)),Assumptions!$B$10))</f>
        <v>28989.232390649773</v>
      </c>
      <c r="E97" s="30">
        <f>IF(E$5&gt;$B97,0,INDEX(Decrements!$G$6:$G$58,Census!$G97+E$5-18)/INDEX(Decrements!$G$6:$G$58,Census!$G97-17)*(INDEX(Decrements!$D$6:$D$58,Census!$G97+E$5-18)+IF(E$5=$B97,INDEX(Decrements!$F$6:$F$58,Census!$G97+E$5-18),0)+INDEX(Decrements!$E$6:$E$58,Census!$G97+E$5-18)*IF((Census!$F97+E$5)&gt;=Assumptions!$B$11,1,0))*MIN(15/26*Census!$D97*(1+Assumptions!$B$9)^E$5*(INT((Census!$F97+E$5))+IF((Census!$F97+E$5)-INT((Census!$F97+E$5))&gt;0.5,1,0)),Assumptions!$B$10))</f>
        <v>29397.9442123673</v>
      </c>
      <c r="F97" s="30">
        <f>IF(F$5&gt;$B97,0,INDEX(Decrements!$G$6:$G$58,Census!$G97+F$5-18)/INDEX(Decrements!$G$6:$G$58,Census!$G97-17)*(INDEX(Decrements!$D$6:$D$58,Census!$G97+F$5-18)+IF(F$5=$B97,INDEX(Decrements!$F$6:$F$58,Census!$G97+F$5-18),0)+INDEX(Decrements!$E$6:$E$58,Census!$G97+F$5-18)*IF((Census!$F97+F$5)&gt;=Assumptions!$B$11,1,0))*MIN(15/26*Census!$D97*(1+Assumptions!$B$9)^F$5*(INT((Census!$F97+F$5))+IF((Census!$F97+F$5)-INT((Census!$F97+F$5))&gt;0.5,1,0)),Assumptions!$B$10))</f>
        <v>29857.192376289251</v>
      </c>
      <c r="G97" s="30">
        <f>IF(G$5&gt;$B97,0,INDEX(Decrements!$G$6:$G$58,Census!$G97+G$5-18)/INDEX(Decrements!$G$6:$G$58,Census!$G97-17)*(INDEX(Decrements!$D$6:$D$58,Census!$G97+G$5-18)+IF(G$5=$B97,INDEX(Decrements!$F$6:$F$58,Census!$G97+G$5-18),0)+INDEX(Decrements!$E$6:$E$58,Census!$G97+G$5-18)*IF((Census!$F97+G$5)&gt;=Assumptions!$B$11,1,0))*MIN(15/26*Census!$D97*(1+Assumptions!$B$9)^G$5*(INT((Census!$F97+G$5))+IF((Census!$F97+G$5)-INT((Census!$F97+G$5))&gt;0.5,1,0)),Assumptions!$B$10))</f>
        <v>1883127.351926005</v>
      </c>
      <c r="H97" s="30">
        <f>IF(H$5&gt;$B97,0,INDEX(Decrements!$G$6:$G$58,Census!$G97+H$5-18)/INDEX(Decrements!$G$6:$G$58,Census!$G97-17)*(INDEX(Decrements!$D$6:$D$58,Census!$G97+H$5-18)+IF(H$5=$B97,INDEX(Decrements!$F$6:$F$58,Census!$G97+H$5-18),0)+INDEX(Decrements!$E$6:$E$58,Census!$G97+H$5-18)*IF((Census!$F97+H$5)&gt;=Assumptions!$B$11,1,0))*MIN(15/26*Census!$D97*(1+Assumptions!$B$9)^H$5*(INT((Census!$F97+H$5))+IF((Census!$F97+H$5)-INT((Census!$F97+H$5))&gt;0.5,1,0)),Assumptions!$B$10))</f>
        <v>0</v>
      </c>
      <c r="I97" s="30">
        <f>IF(I$5&gt;$B97,0,INDEX(Decrements!$G$6:$G$58,Census!$G97+I$5-18)/INDEX(Decrements!$G$6:$G$58,Census!$G97-17)*(INDEX(Decrements!$D$6:$D$58,Census!$G97+I$5-18)+IF(I$5=$B97,INDEX(Decrements!$F$6:$F$58,Census!$G97+I$5-18),0)+INDEX(Decrements!$E$6:$E$58,Census!$G97+I$5-18)*IF((Census!$F97+I$5)&gt;=Assumptions!$B$11,1,0))*MIN(15/26*Census!$D97*(1+Assumptions!$B$9)^I$5*(INT((Census!$F97+I$5))+IF((Census!$F97+I$5)-INT((Census!$F97+I$5))&gt;0.5,1,0)),Assumptions!$B$10))</f>
        <v>0</v>
      </c>
      <c r="J97" s="30">
        <f>IF(J$5&gt;$B97,0,INDEX(Decrements!$G$6:$G$58,Census!$G97+J$5-18)/INDEX(Decrements!$G$6:$G$58,Census!$G97-17)*(INDEX(Decrements!$D$6:$D$58,Census!$G97+J$5-18)+IF(J$5=$B97,INDEX(Decrements!$F$6:$F$58,Census!$G97+J$5-18),0)+INDEX(Decrements!$E$6:$E$58,Census!$G97+J$5-18)*IF((Census!$F97+J$5)&gt;=Assumptions!$B$11,1,0))*MIN(15/26*Census!$D97*(1+Assumptions!$B$9)^J$5*(INT((Census!$F97+J$5))+IF((Census!$F97+J$5)-INT((Census!$F97+J$5))&gt;0.5,1,0)),Assumptions!$B$10))</f>
        <v>0</v>
      </c>
      <c r="K97" s="30">
        <f>IF(K$5&gt;$B97,0,INDEX(Decrements!$G$6:$G$58,Census!$G97+K$5-18)/INDEX(Decrements!$G$6:$G$58,Census!$G97-17)*(INDEX(Decrements!$D$6:$D$58,Census!$G97+K$5-18)+IF(K$5=$B97,INDEX(Decrements!$F$6:$F$58,Census!$G97+K$5-18),0)+INDEX(Decrements!$E$6:$E$58,Census!$G97+K$5-18)*IF((Census!$F97+K$5)&gt;=Assumptions!$B$11,1,0))*MIN(15/26*Census!$D97*(1+Assumptions!$B$9)^K$5*(INT((Census!$F97+K$5))+IF((Census!$F97+K$5)-INT((Census!$F97+K$5))&gt;0.5,1,0)),Assumptions!$B$10))</f>
        <v>0</v>
      </c>
      <c r="L97" s="30">
        <f>IF(L$5&gt;$B97,0,INDEX(Decrements!$G$6:$G$58,Census!$G97+L$5-18)/INDEX(Decrements!$G$6:$G$58,Census!$G97-17)*(INDEX(Decrements!$D$6:$D$58,Census!$G97+L$5-18)+IF(L$5=$B97,INDEX(Decrements!$F$6:$F$58,Census!$G97+L$5-18),0)+INDEX(Decrements!$E$6:$E$58,Census!$G97+L$5-18)*IF((Census!$F97+L$5)&gt;=Assumptions!$B$11,1,0))*MIN(15/26*Census!$D97*(1+Assumptions!$B$9)^L$5*(INT((Census!$F97+L$5))+IF((Census!$F97+L$5)-INT((Census!$F97+L$5))&gt;0.5,1,0)),Assumptions!$B$10))</f>
        <v>0</v>
      </c>
      <c r="M97" s="30">
        <f>IF(M$5&gt;$B97,0,INDEX(Decrements!$G$6:$G$58,Census!$G97+M$5-18)/INDEX(Decrements!$G$6:$G$58,Census!$G97-17)*(INDEX(Decrements!$D$6:$D$58,Census!$G97+M$5-18)+IF(M$5=$B97,INDEX(Decrements!$F$6:$F$58,Census!$G97+M$5-18),0)+INDEX(Decrements!$E$6:$E$58,Census!$G97+M$5-18)*IF((Census!$F97+M$5)&gt;=Assumptions!$B$11,1,0))*MIN(15/26*Census!$D97*(1+Assumptions!$B$9)^M$5*(INT((Census!$F97+M$5))+IF((Census!$F97+M$5)-INT((Census!$F97+M$5))&gt;0.5,1,0)),Assumptions!$B$10))</f>
        <v>0</v>
      </c>
      <c r="N97" s="30">
        <f>IF(N$5&gt;$B97,0,INDEX(Decrements!$G$6:$G$58,Census!$G97+N$5-18)/INDEX(Decrements!$G$6:$G$58,Census!$G97-17)*(INDEX(Decrements!$D$6:$D$58,Census!$G97+N$5-18)+IF(N$5=$B97,INDEX(Decrements!$F$6:$F$58,Census!$G97+N$5-18),0)+INDEX(Decrements!$E$6:$E$58,Census!$G97+N$5-18)*IF((Census!$F97+N$5)&gt;=Assumptions!$B$11,1,0))*MIN(15/26*Census!$D97*(1+Assumptions!$B$9)^N$5*(INT((Census!$F97+N$5))+IF((Census!$F97+N$5)-INT((Census!$F97+N$5))&gt;0.5,1,0)),Assumptions!$B$10))</f>
        <v>0</v>
      </c>
      <c r="O97" s="30">
        <f>IF(O$5&gt;$B97,0,INDEX(Decrements!$G$6:$G$58,Census!$G97+O$5-18)/INDEX(Decrements!$G$6:$G$58,Census!$G97-17)*(INDEX(Decrements!$D$6:$D$58,Census!$G97+O$5-18)+IF(O$5=$B97,INDEX(Decrements!$F$6:$F$58,Census!$G97+O$5-18),0)+INDEX(Decrements!$E$6:$E$58,Census!$G97+O$5-18)*IF((Census!$F97+O$5)&gt;=Assumptions!$B$11,1,0))*MIN(15/26*Census!$D97*(1+Assumptions!$B$9)^O$5*(INT((Census!$F97+O$5))+IF((Census!$F97+O$5)-INT((Census!$F97+O$5))&gt;0.5,1,0)),Assumptions!$B$10))</f>
        <v>0</v>
      </c>
      <c r="P97" s="30">
        <f>IF(P$5&gt;$B97,0,INDEX(Decrements!$G$6:$G$58,Census!$G97+P$5-18)/INDEX(Decrements!$G$6:$G$58,Census!$G97-17)*(INDEX(Decrements!$D$6:$D$58,Census!$G97+P$5-18)+IF(P$5=$B97,INDEX(Decrements!$F$6:$F$58,Census!$G97+P$5-18),0)+INDEX(Decrements!$E$6:$E$58,Census!$G97+P$5-18)*IF((Census!$F97+P$5)&gt;=Assumptions!$B$11,1,0))*MIN(15/26*Census!$D97*(1+Assumptions!$B$9)^P$5*(INT((Census!$F97+P$5))+IF((Census!$F97+P$5)-INT((Census!$F97+P$5))&gt;0.5,1,0)),Assumptions!$B$10))</f>
        <v>0</v>
      </c>
      <c r="Q97" s="30">
        <f>IF(Q$5&gt;$B97,0,INDEX(Decrements!$G$6:$G$58,Census!$G97+Q$5-18)/INDEX(Decrements!$G$6:$G$58,Census!$G97-17)*(INDEX(Decrements!$D$6:$D$58,Census!$G97+Q$5-18)+IF(Q$5=$B97,INDEX(Decrements!$F$6:$F$58,Census!$G97+Q$5-18),0)+INDEX(Decrements!$E$6:$E$58,Census!$G97+Q$5-18)*IF((Census!$F97+Q$5)&gt;=Assumptions!$B$11,1,0))*MIN(15/26*Census!$D97*(1+Assumptions!$B$9)^Q$5*(INT((Census!$F97+Q$5))+IF((Census!$F97+Q$5)-INT((Census!$F97+Q$5))&gt;0.5,1,0)),Assumptions!$B$10))</f>
        <v>0</v>
      </c>
      <c r="R97" s="30">
        <f>IF(R$5&gt;$B97,0,INDEX(Decrements!$G$6:$G$58,Census!$G97+R$5-18)/INDEX(Decrements!$G$6:$G$58,Census!$G97-17)*(INDEX(Decrements!$D$6:$D$58,Census!$G97+R$5-18)+IF(R$5=$B97,INDEX(Decrements!$F$6:$F$58,Census!$G97+R$5-18),0)+INDEX(Decrements!$E$6:$E$58,Census!$G97+R$5-18)*IF((Census!$F97+R$5)&gt;=Assumptions!$B$11,1,0))*MIN(15/26*Census!$D97*(1+Assumptions!$B$9)^R$5*(INT((Census!$F97+R$5))+IF((Census!$F97+R$5)-INT((Census!$F97+R$5))&gt;0.5,1,0)),Assumptions!$B$10))</f>
        <v>0</v>
      </c>
      <c r="S97" s="30">
        <f>IF(S$5&gt;$B97,0,INDEX(Decrements!$G$6:$G$58,Census!$G97+S$5-18)/INDEX(Decrements!$G$6:$G$58,Census!$G97-17)*(INDEX(Decrements!$D$6:$D$58,Census!$G97+S$5-18)+IF(S$5=$B97,INDEX(Decrements!$F$6:$F$58,Census!$G97+S$5-18),0)+INDEX(Decrements!$E$6:$E$58,Census!$G97+S$5-18)*IF((Census!$F97+S$5)&gt;=Assumptions!$B$11,1,0))*MIN(15/26*Census!$D97*(1+Assumptions!$B$9)^S$5*(INT((Census!$F97+S$5))+IF((Census!$F97+S$5)-INT((Census!$F97+S$5))&gt;0.5,1,0)),Assumptions!$B$10))</f>
        <v>0</v>
      </c>
      <c r="T97" s="30">
        <f>IF(T$5&gt;$B97,0,INDEX(Decrements!$G$6:$G$58,Census!$G97+T$5-18)/INDEX(Decrements!$G$6:$G$58,Census!$G97-17)*(INDEX(Decrements!$D$6:$D$58,Census!$G97+T$5-18)+IF(T$5=$B97,INDEX(Decrements!$F$6:$F$58,Census!$G97+T$5-18),0)+INDEX(Decrements!$E$6:$E$58,Census!$G97+T$5-18)*IF((Census!$F97+T$5)&gt;=Assumptions!$B$11,1,0))*MIN(15/26*Census!$D97*(1+Assumptions!$B$9)^T$5*(INT((Census!$F97+T$5))+IF((Census!$F97+T$5)-INT((Census!$F97+T$5))&gt;0.5,1,0)),Assumptions!$B$10))</f>
        <v>0</v>
      </c>
      <c r="U97" s="30">
        <f>IF(U$5&gt;$B97,0,INDEX(Decrements!$G$6:$G$58,Census!$G97+U$5-18)/INDEX(Decrements!$G$6:$G$58,Census!$G97-17)*(INDEX(Decrements!$D$6:$D$58,Census!$G97+U$5-18)+IF(U$5=$B97,INDEX(Decrements!$F$6:$F$58,Census!$G97+U$5-18),0)+INDEX(Decrements!$E$6:$E$58,Census!$G97+U$5-18)*IF((Census!$F97+U$5)&gt;=Assumptions!$B$11,1,0))*MIN(15/26*Census!$D97*(1+Assumptions!$B$9)^U$5*(INT((Census!$F97+U$5))+IF((Census!$F97+U$5)-INT((Census!$F97+U$5))&gt;0.5,1,0)),Assumptions!$B$10))</f>
        <v>0</v>
      </c>
      <c r="V97" s="30">
        <f>IF(V$5&gt;$B97,0,INDEX(Decrements!$G$6:$G$58,Census!$G97+V$5-18)/INDEX(Decrements!$G$6:$G$58,Census!$G97-17)*(INDEX(Decrements!$D$6:$D$58,Census!$G97+V$5-18)+IF(V$5=$B97,INDEX(Decrements!$F$6:$F$58,Census!$G97+V$5-18),0)+INDEX(Decrements!$E$6:$E$58,Census!$G97+V$5-18)*IF((Census!$F97+V$5)&gt;=Assumptions!$B$11,1,0))*MIN(15/26*Census!$D97*(1+Assumptions!$B$9)^V$5*(INT((Census!$F97+V$5))+IF((Census!$F97+V$5)-INT((Census!$F97+V$5))&gt;0.5,1,0)),Assumptions!$B$10))</f>
        <v>0</v>
      </c>
      <c r="W97" s="30">
        <f>IF(W$5&gt;$B97,0,INDEX(Decrements!$G$6:$G$58,Census!$G97+W$5-18)/INDEX(Decrements!$G$6:$G$58,Census!$G97-17)*(INDEX(Decrements!$D$6:$D$58,Census!$G97+W$5-18)+IF(W$5=$B97,INDEX(Decrements!$F$6:$F$58,Census!$G97+W$5-18),0)+INDEX(Decrements!$E$6:$E$58,Census!$G97+W$5-18)*IF((Census!$F97+W$5)&gt;=Assumptions!$B$11,1,0))*MIN(15/26*Census!$D97*(1+Assumptions!$B$9)^W$5*(INT((Census!$F97+W$5))+IF((Census!$F97+W$5)-INT((Census!$F97+W$5))&gt;0.5,1,0)),Assumptions!$B$10))</f>
        <v>0</v>
      </c>
      <c r="X97" s="30">
        <f>IF(X$5&gt;$B97,0,INDEX(Decrements!$G$6:$G$58,Census!$G97+X$5-18)/INDEX(Decrements!$G$6:$G$58,Census!$G97-17)*(INDEX(Decrements!$D$6:$D$58,Census!$G97+X$5-18)+IF(X$5=$B97,INDEX(Decrements!$F$6:$F$58,Census!$G97+X$5-18),0)+INDEX(Decrements!$E$6:$E$58,Census!$G97+X$5-18)*IF((Census!$F97+X$5)&gt;=Assumptions!$B$11,1,0))*MIN(15/26*Census!$D97*(1+Assumptions!$B$9)^X$5*(INT((Census!$F97+X$5))+IF((Census!$F97+X$5)-INT((Census!$F97+X$5))&gt;0.5,1,0)),Assumptions!$B$10))</f>
        <v>0</v>
      </c>
      <c r="Y97" s="30">
        <f>IF(Y$5&gt;$B97,0,INDEX(Decrements!$G$6:$G$58,Census!$G97+Y$5-18)/INDEX(Decrements!$G$6:$G$58,Census!$G97-17)*(INDEX(Decrements!$D$6:$D$58,Census!$G97+Y$5-18)+IF(Y$5=$B97,INDEX(Decrements!$F$6:$F$58,Census!$G97+Y$5-18),0)+INDEX(Decrements!$E$6:$E$58,Census!$G97+Y$5-18)*IF((Census!$F97+Y$5)&gt;=Assumptions!$B$11,1,0))*MIN(15/26*Census!$D97*(1+Assumptions!$B$9)^Y$5*(INT((Census!$F97+Y$5))+IF((Census!$F97+Y$5)-INT((Census!$F97+Y$5))&gt;0.5,1,0)),Assumptions!$B$10))</f>
        <v>0</v>
      </c>
      <c r="Z97" s="30">
        <f>IF(Z$5&gt;$B97,0,INDEX(Decrements!$G$6:$G$58,Census!$G97+Z$5-18)/INDEX(Decrements!$G$6:$G$58,Census!$G97-17)*(INDEX(Decrements!$D$6:$D$58,Census!$G97+Z$5-18)+IF(Z$5=$B97,INDEX(Decrements!$F$6:$F$58,Census!$G97+Z$5-18),0)+INDEX(Decrements!$E$6:$E$58,Census!$G97+Z$5-18)*IF((Census!$F97+Z$5)&gt;=Assumptions!$B$11,1,0))*MIN(15/26*Census!$D97*(1+Assumptions!$B$9)^Z$5*(INT((Census!$F97+Z$5))+IF((Census!$F97+Z$5)-INT((Census!$F97+Z$5))&gt;0.5,1,0)),Assumptions!$B$10))</f>
        <v>0</v>
      </c>
      <c r="AA97" s="30">
        <f>IF(AA$5&gt;$B97,0,INDEX(Decrements!$G$6:$G$58,Census!$G97+AA$5-18)/INDEX(Decrements!$G$6:$G$58,Census!$G97-17)*(INDEX(Decrements!$D$6:$D$58,Census!$G97+AA$5-18)+IF(AA$5=$B97,INDEX(Decrements!$F$6:$F$58,Census!$G97+AA$5-18),0)+INDEX(Decrements!$E$6:$E$58,Census!$G97+AA$5-18)*IF((Census!$F97+AA$5)&gt;=Assumptions!$B$11,1,0))*MIN(15/26*Census!$D97*(1+Assumptions!$B$9)^AA$5*(INT((Census!$F97+AA$5))+IF((Census!$F97+AA$5)-INT((Census!$F97+AA$5))&gt;0.5,1,0)),Assumptions!$B$10))</f>
        <v>0</v>
      </c>
      <c r="AB97" s="30">
        <f>IF(AB$5&gt;$B97,0,INDEX(Decrements!$G$6:$G$58,Census!$G97+AB$5-18)/INDEX(Decrements!$G$6:$G$58,Census!$G97-17)*(INDEX(Decrements!$D$6:$D$58,Census!$G97+AB$5-18)+IF(AB$5=$B97,INDEX(Decrements!$F$6:$F$58,Census!$G97+AB$5-18),0)+INDEX(Decrements!$E$6:$E$58,Census!$G97+AB$5-18)*IF((Census!$F97+AB$5)&gt;=Assumptions!$B$11,1,0))*MIN(15/26*Census!$D97*(1+Assumptions!$B$9)^AB$5*(INT((Census!$F97+AB$5))+IF((Census!$F97+AB$5)-INT((Census!$F97+AB$5))&gt;0.5,1,0)),Assumptions!$B$10))</f>
        <v>0</v>
      </c>
      <c r="AC97" s="30">
        <f>IF(AC$5&gt;$B97,0,INDEX(Decrements!$G$6:$G$58,Census!$G97+AC$5-18)/INDEX(Decrements!$G$6:$G$58,Census!$G97-17)*(INDEX(Decrements!$D$6:$D$58,Census!$G97+AC$5-18)+IF(AC$5=$B97,INDEX(Decrements!$F$6:$F$58,Census!$G97+AC$5-18),0)+INDEX(Decrements!$E$6:$E$58,Census!$G97+AC$5-18)*IF((Census!$F97+AC$5)&gt;=Assumptions!$B$11,1,0))*MIN(15/26*Census!$D97*(1+Assumptions!$B$9)^AC$5*(INT((Census!$F97+AC$5))+IF((Census!$F97+AC$5)-INT((Census!$F97+AC$5))&gt;0.5,1,0)),Assumptions!$B$10))</f>
        <v>0</v>
      </c>
      <c r="AD97" s="30">
        <f>IF(AD$5&gt;$B97,0,INDEX(Decrements!$G$6:$G$58,Census!$G97+AD$5-18)/INDEX(Decrements!$G$6:$G$58,Census!$G97-17)*(INDEX(Decrements!$D$6:$D$58,Census!$G97+AD$5-18)+IF(AD$5=$B97,INDEX(Decrements!$F$6:$F$58,Census!$G97+AD$5-18),0)+INDEX(Decrements!$E$6:$E$58,Census!$G97+AD$5-18)*IF((Census!$F97+AD$5)&gt;=Assumptions!$B$11,1,0))*MIN(15/26*Census!$D97*(1+Assumptions!$B$9)^AD$5*(INT((Census!$F97+AD$5))+IF((Census!$F97+AD$5)-INT((Census!$F97+AD$5))&gt;0.5,1,0)),Assumptions!$B$10))</f>
        <v>0</v>
      </c>
      <c r="AE97" s="30">
        <f>IF(AE$5&gt;$B97,0,INDEX(Decrements!$G$6:$G$58,Census!$G97+AE$5-18)/INDEX(Decrements!$G$6:$G$58,Census!$G97-17)*(INDEX(Decrements!$D$6:$D$58,Census!$G97+AE$5-18)+IF(AE$5=$B97,INDEX(Decrements!$F$6:$F$58,Census!$G97+AE$5-18),0)+INDEX(Decrements!$E$6:$E$58,Census!$G97+AE$5-18)*IF((Census!$F97+AE$5)&gt;=Assumptions!$B$11,1,0))*MIN(15/26*Census!$D97*(1+Assumptions!$B$9)^AE$5*(INT((Census!$F97+AE$5))+IF((Census!$F97+AE$5)-INT((Census!$F97+AE$5))&gt;0.5,1,0)),Assumptions!$B$10))</f>
        <v>0</v>
      </c>
      <c r="AF97" s="30">
        <f>IF(AF$5&gt;$B97,0,INDEX(Decrements!$G$6:$G$58,Census!$G97+AF$5-18)/INDEX(Decrements!$G$6:$G$58,Census!$G97-17)*(INDEX(Decrements!$D$6:$D$58,Census!$G97+AF$5-18)+IF(AF$5=$B97,INDEX(Decrements!$F$6:$F$58,Census!$G97+AF$5-18),0)+INDEX(Decrements!$E$6:$E$58,Census!$G97+AF$5-18)*IF((Census!$F97+AF$5)&gt;=Assumptions!$B$11,1,0))*MIN(15/26*Census!$D97*(1+Assumptions!$B$9)^AF$5*(INT((Census!$F97+AF$5))+IF((Census!$F97+AF$5)-INT((Census!$F97+AF$5))&gt;0.5,1,0)),Assumptions!$B$10))</f>
        <v>0</v>
      </c>
      <c r="AG97" s="30">
        <f>IF(AG$5&gt;$B97,0,INDEX(Decrements!$G$6:$G$58,Census!$G97+AG$5-18)/INDEX(Decrements!$G$6:$G$58,Census!$G97-17)*(INDEX(Decrements!$D$6:$D$58,Census!$G97+AG$5-18)+IF(AG$5=$B97,INDEX(Decrements!$F$6:$F$58,Census!$G97+AG$5-18),0)+INDEX(Decrements!$E$6:$E$58,Census!$G97+AG$5-18)*IF((Census!$F97+AG$5)&gt;=Assumptions!$B$11,1,0))*MIN(15/26*Census!$D97*(1+Assumptions!$B$9)^AG$5*(INT((Census!$F97+AG$5))+IF((Census!$F97+AG$5)-INT((Census!$F97+AG$5))&gt;0.5,1,0)),Assumptions!$B$10))</f>
        <v>0</v>
      </c>
      <c r="AH97" s="30">
        <f>IF(AH$5&gt;$B97,0,INDEX(Decrements!$G$6:$G$58,Census!$G97+AH$5-18)/INDEX(Decrements!$G$6:$G$58,Census!$G97-17)*(INDEX(Decrements!$D$6:$D$58,Census!$G97+AH$5-18)+IF(AH$5=$B97,INDEX(Decrements!$F$6:$F$58,Census!$G97+AH$5-18),0)+INDEX(Decrements!$E$6:$E$58,Census!$G97+AH$5-18)*IF((Census!$F97+AH$5)&gt;=Assumptions!$B$11,1,0))*MIN(15/26*Census!$D97*(1+Assumptions!$B$9)^AH$5*(INT((Census!$F97+AH$5))+IF((Census!$F97+AH$5)-INT((Census!$F97+AH$5))&gt;0.5,1,0)),Assumptions!$B$10))</f>
        <v>0</v>
      </c>
      <c r="AI97" s="30">
        <f>IF(AI$5&gt;$B97,0,INDEX(Decrements!$G$6:$G$58,Census!$G97+AI$5-18)/INDEX(Decrements!$G$6:$G$58,Census!$G97-17)*(INDEX(Decrements!$D$6:$D$58,Census!$G97+AI$5-18)+IF(AI$5=$B97,INDEX(Decrements!$F$6:$F$58,Census!$G97+AI$5-18),0)+INDEX(Decrements!$E$6:$E$58,Census!$G97+AI$5-18)*IF((Census!$F97+AI$5)&gt;=Assumptions!$B$11,1,0))*MIN(15/26*Census!$D97*(1+Assumptions!$B$9)^AI$5*(INT((Census!$F97+AI$5))+IF((Census!$F97+AI$5)-INT((Census!$F97+AI$5))&gt;0.5,1,0)),Assumptions!$B$10))</f>
        <v>0</v>
      </c>
      <c r="AJ97" s="30">
        <f>IF(AJ$5&gt;$B97,0,INDEX(Decrements!$G$6:$G$58,Census!$G97+AJ$5-18)/INDEX(Decrements!$G$6:$G$58,Census!$G97-17)*(INDEX(Decrements!$D$6:$D$58,Census!$G97+AJ$5-18)+IF(AJ$5=$B97,INDEX(Decrements!$F$6:$F$58,Census!$G97+AJ$5-18),0)+INDEX(Decrements!$E$6:$E$58,Census!$G97+AJ$5-18)*IF((Census!$F97+AJ$5)&gt;=Assumptions!$B$11,1,0))*MIN(15/26*Census!$D97*(1+Assumptions!$B$9)^AJ$5*(INT((Census!$F97+AJ$5))+IF((Census!$F97+AJ$5)-INT((Census!$F97+AJ$5))&gt;0.5,1,0)),Assumptions!$B$10))</f>
        <v>0</v>
      </c>
      <c r="AK97" s="30">
        <f>IF(AK$5&gt;$B97,0,INDEX(Decrements!$G$6:$G$58,Census!$G97+AK$5-18)/INDEX(Decrements!$G$6:$G$58,Census!$G97-17)*(INDEX(Decrements!$D$6:$D$58,Census!$G97+AK$5-18)+IF(AK$5=$B97,INDEX(Decrements!$F$6:$F$58,Census!$G97+AK$5-18),0)+INDEX(Decrements!$E$6:$E$58,Census!$G97+AK$5-18)*IF((Census!$F97+AK$5)&gt;=Assumptions!$B$11,1,0))*MIN(15/26*Census!$D97*(1+Assumptions!$B$9)^AK$5*(INT((Census!$F97+AK$5))+IF((Census!$F97+AK$5)-INT((Census!$F97+AK$5))&gt;0.5,1,0)),Assumptions!$B$10))</f>
        <v>0</v>
      </c>
      <c r="AL97" s="30">
        <f>IF(AL$5&gt;$B97,0,INDEX(Decrements!$G$6:$G$58,Census!$G97+AL$5-18)/INDEX(Decrements!$G$6:$G$58,Census!$G97-17)*(INDEX(Decrements!$D$6:$D$58,Census!$G97+AL$5-18)+IF(AL$5=$B97,INDEX(Decrements!$F$6:$F$58,Census!$G97+AL$5-18),0)+INDEX(Decrements!$E$6:$E$58,Census!$G97+AL$5-18)*IF((Census!$F97+AL$5)&gt;=Assumptions!$B$11,1,0))*MIN(15/26*Census!$D97*(1+Assumptions!$B$9)^AL$5*(INT((Census!$F97+AL$5))+IF((Census!$F97+AL$5)-INT((Census!$F97+AL$5))&gt;0.5,1,0)),Assumptions!$B$10))</f>
        <v>0</v>
      </c>
      <c r="AM97" s="30">
        <f>IF(AM$5&gt;$B97,0,INDEX(Decrements!$G$6:$G$58,Census!$G97+AM$5-18)/INDEX(Decrements!$G$6:$G$58,Census!$G97-17)*(INDEX(Decrements!$D$6:$D$58,Census!$G97+AM$5-18)+IF(AM$5=$B97,INDEX(Decrements!$F$6:$F$58,Census!$G97+AM$5-18),0)+INDEX(Decrements!$E$6:$E$58,Census!$G97+AM$5-18)*IF((Census!$F97+AM$5)&gt;=Assumptions!$B$11,1,0))*MIN(15/26*Census!$D97*(1+Assumptions!$B$9)^AM$5*(INT((Census!$F97+AM$5))+IF((Census!$F97+AM$5)-INT((Census!$F97+AM$5))&gt;0.5,1,0)),Assumptions!$B$10))</f>
        <v>0</v>
      </c>
      <c r="AN97" s="30">
        <f>IF(AN$5&gt;$B97,0,INDEX(Decrements!$G$6:$G$58,Census!$G97+AN$5-18)/INDEX(Decrements!$G$6:$G$58,Census!$G97-17)*(INDEX(Decrements!$D$6:$D$58,Census!$G97+AN$5-18)+IF(AN$5=$B97,INDEX(Decrements!$F$6:$F$58,Census!$G97+AN$5-18),0)+INDEX(Decrements!$E$6:$E$58,Census!$G97+AN$5-18)*IF((Census!$F97+AN$5)&gt;=Assumptions!$B$11,1,0))*MIN(15/26*Census!$D97*(1+Assumptions!$B$9)^AN$5*(INT((Census!$F97+AN$5))+IF((Census!$F97+AN$5)-INT((Census!$F97+AN$5))&gt;0.5,1,0)),Assumptions!$B$10))</f>
        <v>0</v>
      </c>
      <c r="AO97" s="30">
        <f>IF(AO$5&gt;$B97,0,INDEX(Decrements!$G$6:$G$58,Census!$G97+AO$5-18)/INDEX(Decrements!$G$6:$G$58,Census!$G97-17)*(INDEX(Decrements!$D$6:$D$58,Census!$G97+AO$5-18)+IF(AO$5=$B97,INDEX(Decrements!$F$6:$F$58,Census!$G97+AO$5-18),0)+INDEX(Decrements!$E$6:$E$58,Census!$G97+AO$5-18)*IF((Census!$F97+AO$5)&gt;=Assumptions!$B$11,1,0))*MIN(15/26*Census!$D97*(1+Assumptions!$B$9)^AO$5*(INT((Census!$F97+AO$5))+IF((Census!$F97+AO$5)-INT((Census!$F97+AO$5))&gt;0.5,1,0)),Assumptions!$B$10))</f>
        <v>0</v>
      </c>
      <c r="AP97" s="30">
        <f>IF(AP$5&gt;$B97,0,INDEX(Decrements!$G$6:$G$58,Census!$G97+AP$5-18)/INDEX(Decrements!$G$6:$G$58,Census!$G97-17)*(INDEX(Decrements!$D$6:$D$58,Census!$G97+AP$5-18)+IF(AP$5=$B97,INDEX(Decrements!$F$6:$F$58,Census!$G97+AP$5-18),0)+INDEX(Decrements!$E$6:$E$58,Census!$G97+AP$5-18)*IF((Census!$F97+AP$5)&gt;=Assumptions!$B$11,1,0))*MIN(15/26*Census!$D97*(1+Assumptions!$B$9)^AP$5*(INT((Census!$F97+AP$5))+IF((Census!$F97+AP$5)-INT((Census!$F97+AP$5))&gt;0.5,1,0)),Assumptions!$B$10))</f>
        <v>0</v>
      </c>
      <c r="AQ97" s="30">
        <f>IF(AQ$5&gt;$B97,0,INDEX(Decrements!$G$6:$G$58,Census!$G97+AQ$5-18)/INDEX(Decrements!$G$6:$G$58,Census!$G97-17)*(INDEX(Decrements!$D$6:$D$58,Census!$G97+AQ$5-18)+IF(AQ$5=$B97,INDEX(Decrements!$F$6:$F$58,Census!$G97+AQ$5-18),0)+INDEX(Decrements!$E$6:$E$58,Census!$G97+AQ$5-18)*IF((Census!$F97+AQ$5)&gt;=Assumptions!$B$11,1,0))*MIN(15/26*Census!$D97*(1+Assumptions!$B$9)^AQ$5*(INT((Census!$F97+AQ$5))+IF((Census!$F97+AQ$5)-INT((Census!$F97+AQ$5))&gt;0.5,1,0)),Assumptions!$B$10))</f>
        <v>0</v>
      </c>
      <c r="AR97" s="30">
        <f>IF(AR$5&gt;$B97,0,INDEX(Decrements!$G$6:$G$58,Census!$G97+AR$5-18)/INDEX(Decrements!$G$6:$G$58,Census!$G97-17)*(INDEX(Decrements!$D$6:$D$58,Census!$G97+AR$5-18)+IF(AR$5=$B97,INDEX(Decrements!$F$6:$F$58,Census!$G97+AR$5-18),0)+INDEX(Decrements!$E$6:$E$58,Census!$G97+AR$5-18)*IF((Census!$F97+AR$5)&gt;=Assumptions!$B$11,1,0))*MIN(15/26*Census!$D97*(1+Assumptions!$B$9)^AR$5*(INT((Census!$F97+AR$5))+IF((Census!$F97+AR$5)-INT((Census!$F97+AR$5))&gt;0.5,1,0)),Assumptions!$B$10))</f>
        <v>0</v>
      </c>
      <c r="AS97" s="30">
        <f>IF(AS$5&gt;$B97,0,INDEX(Decrements!$G$6:$G$58,Census!$G97+AS$5-18)/INDEX(Decrements!$G$6:$G$58,Census!$G97-17)*(INDEX(Decrements!$D$6:$D$58,Census!$G97+AS$5-18)+IF(AS$5=$B97,INDEX(Decrements!$F$6:$F$58,Census!$G97+AS$5-18),0)+INDEX(Decrements!$E$6:$E$58,Census!$G97+AS$5-18)*IF((Census!$F97+AS$5)&gt;=Assumptions!$B$11,1,0))*MIN(15/26*Census!$D97*(1+Assumptions!$B$9)^AS$5*(INT((Census!$F97+AS$5))+IF((Census!$F97+AS$5)-INT((Census!$F97+AS$5))&gt;0.5,1,0)),Assumptions!$B$10))</f>
        <v>0</v>
      </c>
      <c r="AT97" s="30">
        <f>IF(AT$5&gt;$B97,0,INDEX(Decrements!$G$6:$G$58,Census!$G97+AT$5-18)/INDEX(Decrements!$G$6:$G$58,Census!$G97-17)*(INDEX(Decrements!$D$6:$D$58,Census!$G97+AT$5-18)+IF(AT$5=$B97,INDEX(Decrements!$F$6:$F$58,Census!$G97+AT$5-18),0)+INDEX(Decrements!$E$6:$E$58,Census!$G97+AT$5-18)*IF((Census!$F97+AT$5)&gt;=Assumptions!$B$11,1,0))*MIN(15/26*Census!$D97*(1+Assumptions!$B$9)^AT$5*(INT((Census!$F97+AT$5))+IF((Census!$F97+AT$5)-INT((Census!$F97+AT$5))&gt;0.5,1,0)),Assumptions!$B$10))</f>
        <v>0</v>
      </c>
      <c r="AU97" s="30">
        <f>IF(AU$5&gt;$B97,0,INDEX(Decrements!$G$6:$G$58,Census!$G97+AU$5-18)/INDEX(Decrements!$G$6:$G$58,Census!$G97-17)*(INDEX(Decrements!$D$6:$D$58,Census!$G97+AU$5-18)+IF(AU$5=$B97,INDEX(Decrements!$F$6:$F$58,Census!$G97+AU$5-18),0)+INDEX(Decrements!$E$6:$E$58,Census!$G97+AU$5-18)*IF((Census!$F97+AU$5)&gt;=Assumptions!$B$11,1,0))*MIN(15/26*Census!$D97*(1+Assumptions!$B$9)^AU$5*(INT((Census!$F97+AU$5))+IF((Census!$F97+AU$5)-INT((Census!$F97+AU$5))&gt;0.5,1,0)),Assumptions!$B$10))</f>
        <v>0</v>
      </c>
    </row>
    <row r="98" spans="1:47" x14ac:dyDescent="0.3">
      <c r="A98" s="10" t="str">
        <f>Census!A98</f>
        <v>E093</v>
      </c>
      <c r="B98" s="29">
        <f>Census!H98</f>
        <v>15</v>
      </c>
      <c r="C98" s="30">
        <f>IF(C$5&gt;$B98,0,INDEX(Decrements!$G$6:$G$58,Census!$G98+C$5-18)/INDEX(Decrements!$G$6:$G$58,Census!$G98-17)*(INDEX(Decrements!$D$6:$D$58,Census!$G98+C$5-18)+IF(C$5=$B98,INDEX(Decrements!$F$6:$F$58,Census!$G98+C$5-18),0)+INDEX(Decrements!$E$6:$E$58,Census!$G98+C$5-18)*IF((Census!$F98+C$5)&gt;=Assumptions!$B$11,1,0))*MIN(15/26*Census!$D98*(1+Assumptions!$B$9)^C$5*(INT((Census!$F98+C$5))+IF((Census!$F98+C$5)-INT((Census!$F98+C$5))&gt;0.5,1,0)),Assumptions!$B$10))</f>
        <v>22381.240705585908</v>
      </c>
      <c r="D98" s="30">
        <f>IF(D$5&gt;$B98,0,INDEX(Decrements!$G$6:$G$58,Census!$G98+D$5-18)/INDEX(Decrements!$G$6:$G$58,Census!$G98-17)*(INDEX(Decrements!$D$6:$D$58,Census!$G98+D$5-18)+IF(D$5=$B98,INDEX(Decrements!$F$6:$F$58,Census!$G98+D$5-18),0)+INDEX(Decrements!$E$6:$E$58,Census!$G98+D$5-18)*IF((Census!$F98+D$5)&gt;=Assumptions!$B$11,1,0))*MIN(15/26*Census!$D98*(1+Assumptions!$B$9)^D$5*(INT((Census!$F98+D$5))+IF((Census!$F98+D$5)-INT((Census!$F98+D$5))&gt;0.5,1,0)),Assumptions!$B$10))</f>
        <v>24893.061629713291</v>
      </c>
      <c r="E98" s="30">
        <f>IF(E$5&gt;$B98,0,INDEX(Decrements!$G$6:$G$58,Census!$G98+E$5-18)/INDEX(Decrements!$G$6:$G$58,Census!$G98-17)*(INDEX(Decrements!$D$6:$D$58,Census!$G98+E$5-18)+IF(E$5=$B98,INDEX(Decrements!$F$6:$F$58,Census!$G98+E$5-18),0)+INDEX(Decrements!$E$6:$E$58,Census!$G98+E$5-18)*IF((Census!$F98+E$5)&gt;=Assumptions!$B$11,1,0))*MIN(15/26*Census!$D98*(1+Assumptions!$B$9)^E$5*(INT((Census!$F98+E$5))+IF((Census!$F98+E$5)-INT((Census!$F98+E$5))&gt;0.5,1,0)),Assumptions!$B$10))</f>
        <v>27609.197624349155</v>
      </c>
      <c r="F98" s="30">
        <f>IF(F$5&gt;$B98,0,INDEX(Decrements!$G$6:$G$58,Census!$G98+F$5-18)/INDEX(Decrements!$G$6:$G$58,Census!$G98-17)*(INDEX(Decrements!$D$6:$D$58,Census!$G98+F$5-18)+IF(F$5=$B98,INDEX(Decrements!$F$6:$F$58,Census!$G98+F$5-18),0)+INDEX(Decrements!$E$6:$E$58,Census!$G98+F$5-18)*IF((Census!$F98+F$5)&gt;=Assumptions!$B$11,1,0))*MIN(15/26*Census!$D98*(1+Assumptions!$B$9)^F$5*(INT((Census!$F98+F$5))+IF((Census!$F98+F$5)-INT((Census!$F98+F$5))&gt;0.5,1,0)),Assumptions!$B$10))</f>
        <v>30546.295578638401</v>
      </c>
      <c r="G98" s="30">
        <f>IF(G$5&gt;$B98,0,INDEX(Decrements!$G$6:$G$58,Census!$G98+G$5-18)/INDEX(Decrements!$G$6:$G$58,Census!$G98-17)*(INDEX(Decrements!$D$6:$D$58,Census!$G98+G$5-18)+IF(G$5=$B98,INDEX(Decrements!$F$6:$F$58,Census!$G98+G$5-18),0)+INDEX(Decrements!$E$6:$E$58,Census!$G98+G$5-18)*IF((Census!$F98+G$5)&gt;=Assumptions!$B$11,1,0))*MIN(15/26*Census!$D98*(1+Assumptions!$B$9)^G$5*(INT((Census!$F98+G$5))+IF((Census!$F98+G$5)-INT((Census!$F98+G$5))&gt;0.5,1,0)),Assumptions!$B$10))</f>
        <v>33722.596601177109</v>
      </c>
      <c r="H98" s="30">
        <f>IF(H$5&gt;$B98,0,INDEX(Decrements!$G$6:$G$58,Census!$G98+H$5-18)/INDEX(Decrements!$G$6:$G$58,Census!$G98-17)*(INDEX(Decrements!$D$6:$D$58,Census!$G98+H$5-18)+IF(H$5=$B98,INDEX(Decrements!$F$6:$F$58,Census!$G98+H$5-18),0)+INDEX(Decrements!$E$6:$E$58,Census!$G98+H$5-18)*IF((Census!$F98+H$5)&gt;=Assumptions!$B$11,1,0))*MIN(15/26*Census!$D98*(1+Assumptions!$B$9)^H$5*(INT((Census!$F98+H$5))+IF((Census!$F98+H$5)-INT((Census!$F98+H$5))&gt;0.5,1,0)),Assumptions!$B$10))</f>
        <v>25852.671696672496</v>
      </c>
      <c r="I98" s="30">
        <f>IF(I$5&gt;$B98,0,INDEX(Decrements!$G$6:$G$58,Census!$G98+I$5-18)/INDEX(Decrements!$G$6:$G$58,Census!$G98-17)*(INDEX(Decrements!$D$6:$D$58,Census!$G98+I$5-18)+IF(I$5=$B98,INDEX(Decrements!$F$6:$F$58,Census!$G98+I$5-18),0)+INDEX(Decrements!$E$6:$E$58,Census!$G98+I$5-18)*IF((Census!$F98+I$5)&gt;=Assumptions!$B$11,1,0))*MIN(15/26*Census!$D98*(1+Assumptions!$B$9)^I$5*(INT((Census!$F98+I$5))+IF((Census!$F98+I$5)-INT((Census!$F98+I$5))&gt;0.5,1,0)),Assumptions!$B$10))</f>
        <v>28825.514286293361</v>
      </c>
      <c r="J98" s="30">
        <f>IF(J$5&gt;$B98,0,INDEX(Decrements!$G$6:$G$58,Census!$G98+J$5-18)/INDEX(Decrements!$G$6:$G$58,Census!$G98-17)*(INDEX(Decrements!$D$6:$D$58,Census!$G98+J$5-18)+IF(J$5=$B98,INDEX(Decrements!$F$6:$F$58,Census!$G98+J$5-18),0)+INDEX(Decrements!$E$6:$E$58,Census!$G98+J$5-18)*IF((Census!$F98+J$5)&gt;=Assumptions!$B$11,1,0))*MIN(15/26*Census!$D98*(1+Assumptions!$B$9)^J$5*(INT((Census!$F98+J$5))+IF((Census!$F98+J$5)-INT((Census!$F98+J$5))&gt;0.5,1,0)),Assumptions!$B$10))</f>
        <v>32101.107516106076</v>
      </c>
      <c r="K98" s="30">
        <f>IF(K$5&gt;$B98,0,INDEX(Decrements!$G$6:$G$58,Census!$G98+K$5-18)/INDEX(Decrements!$G$6:$G$58,Census!$G98-17)*(INDEX(Decrements!$D$6:$D$58,Census!$G98+K$5-18)+IF(K$5=$B98,INDEX(Decrements!$F$6:$F$58,Census!$G98+K$5-18),0)+INDEX(Decrements!$E$6:$E$58,Census!$G98+K$5-18)*IF((Census!$F98+K$5)&gt;=Assumptions!$B$11,1,0))*MIN(15/26*Census!$D98*(1+Assumptions!$B$9)^K$5*(INT((Census!$F98+K$5))+IF((Census!$F98+K$5)-INT((Census!$F98+K$5))&gt;0.5,1,0)),Assumptions!$B$10))</f>
        <v>35712.520381287337</v>
      </c>
      <c r="L98" s="30">
        <f>IF(L$5&gt;$B98,0,INDEX(Decrements!$G$6:$G$58,Census!$G98+L$5-18)/INDEX(Decrements!$G$6:$G$58,Census!$G98-17)*(INDEX(Decrements!$D$6:$D$58,Census!$G98+L$5-18)+IF(L$5=$B98,INDEX(Decrements!$F$6:$F$58,Census!$G98+L$5-18),0)+INDEX(Decrements!$E$6:$E$58,Census!$G98+L$5-18)*IF((Census!$F98+L$5)&gt;=Assumptions!$B$11,1,0))*MIN(15/26*Census!$D98*(1+Assumptions!$B$9)^L$5*(INT((Census!$F98+L$5))+IF((Census!$F98+L$5)-INT((Census!$F98+L$5))&gt;0.5,1,0)),Assumptions!$B$10))</f>
        <v>36978.108772793166</v>
      </c>
      <c r="M98" s="30">
        <f>IF(M$5&gt;$B98,0,INDEX(Decrements!$G$6:$G$58,Census!$G98+M$5-18)/INDEX(Decrements!$G$6:$G$58,Census!$G98-17)*(INDEX(Decrements!$D$6:$D$58,Census!$G98+M$5-18)+IF(M$5=$B98,INDEX(Decrements!$F$6:$F$58,Census!$G98+M$5-18),0)+INDEX(Decrements!$E$6:$E$58,Census!$G98+M$5-18)*IF((Census!$F98+M$5)&gt;=Assumptions!$B$11,1,0))*MIN(15/26*Census!$D98*(1+Assumptions!$B$9)^M$5*(INT((Census!$F98+M$5))+IF((Census!$F98+M$5)-INT((Census!$F98+M$5))&gt;0.5,1,0)),Assumptions!$B$10))</f>
        <v>21600.327294892835</v>
      </c>
      <c r="N98" s="30">
        <f>IF(N$5&gt;$B98,0,INDEX(Decrements!$G$6:$G$58,Census!$G98+N$5-18)/INDEX(Decrements!$G$6:$G$58,Census!$G98-17)*(INDEX(Decrements!$D$6:$D$58,Census!$G98+N$5-18)+IF(N$5=$B98,INDEX(Decrements!$F$6:$F$58,Census!$G98+N$5-18),0)+INDEX(Decrements!$E$6:$E$58,Census!$G98+N$5-18)*IF((Census!$F98+N$5)&gt;=Assumptions!$B$11,1,0))*MIN(15/26*Census!$D98*(1+Assumptions!$B$9)^N$5*(INT((Census!$F98+N$5))+IF((Census!$F98+N$5)-INT((Census!$F98+N$5))&gt;0.5,1,0)),Assumptions!$B$10))</f>
        <v>21872.670222148288</v>
      </c>
      <c r="O98" s="30">
        <f>IF(O$5&gt;$B98,0,INDEX(Decrements!$G$6:$G$58,Census!$G98+O$5-18)/INDEX(Decrements!$G$6:$G$58,Census!$G98-17)*(INDEX(Decrements!$D$6:$D$58,Census!$G98+O$5-18)+IF(O$5=$B98,INDEX(Decrements!$F$6:$F$58,Census!$G98+O$5-18),0)+INDEX(Decrements!$E$6:$E$58,Census!$G98+O$5-18)*IF((Census!$F98+O$5)&gt;=Assumptions!$B$11,1,0))*MIN(15/26*Census!$D98*(1+Assumptions!$B$9)^O$5*(INT((Census!$F98+O$5))+IF((Census!$F98+O$5)-INT((Census!$F98+O$5))&gt;0.5,1,0)),Assumptions!$B$10))</f>
        <v>22181.047442070965</v>
      </c>
      <c r="P98" s="30">
        <f>IF(P$5&gt;$B98,0,INDEX(Decrements!$G$6:$G$58,Census!$G98+P$5-18)/INDEX(Decrements!$G$6:$G$58,Census!$G98-17)*(INDEX(Decrements!$D$6:$D$58,Census!$G98+P$5-18)+IF(P$5=$B98,INDEX(Decrements!$F$6:$F$58,Census!$G98+P$5-18),0)+INDEX(Decrements!$E$6:$E$58,Census!$G98+P$5-18)*IF((Census!$F98+P$5)&gt;=Assumptions!$B$11,1,0))*MIN(15/26*Census!$D98*(1+Assumptions!$B$9)^P$5*(INT((Census!$F98+P$5))+IF((Census!$F98+P$5)-INT((Census!$F98+P$5))&gt;0.5,1,0)),Assumptions!$B$10))</f>
        <v>22527.554845379509</v>
      </c>
      <c r="Q98" s="30">
        <f>IF(Q$5&gt;$B98,0,INDEX(Decrements!$G$6:$G$58,Census!$G98+Q$5-18)/INDEX(Decrements!$G$6:$G$58,Census!$G98-17)*(INDEX(Decrements!$D$6:$D$58,Census!$G98+Q$5-18)+IF(Q$5=$B98,INDEX(Decrements!$F$6:$F$58,Census!$G98+Q$5-18),0)+INDEX(Decrements!$E$6:$E$58,Census!$G98+Q$5-18)*IF((Census!$F98+Q$5)&gt;=Assumptions!$B$11,1,0))*MIN(15/26*Census!$D98*(1+Assumptions!$B$9)^Q$5*(INT((Census!$F98+Q$5))+IF((Census!$F98+Q$5)-INT((Census!$F98+Q$5))&gt;0.5,1,0)),Assumptions!$B$10))</f>
        <v>1420838.7100401479</v>
      </c>
      <c r="R98" s="30">
        <f>IF(R$5&gt;$B98,0,INDEX(Decrements!$G$6:$G$58,Census!$G98+R$5-18)/INDEX(Decrements!$G$6:$G$58,Census!$G98-17)*(INDEX(Decrements!$D$6:$D$58,Census!$G98+R$5-18)+IF(R$5=$B98,INDEX(Decrements!$F$6:$F$58,Census!$G98+R$5-18),0)+INDEX(Decrements!$E$6:$E$58,Census!$G98+R$5-18)*IF((Census!$F98+R$5)&gt;=Assumptions!$B$11,1,0))*MIN(15/26*Census!$D98*(1+Assumptions!$B$9)^R$5*(INT((Census!$F98+R$5))+IF((Census!$F98+R$5)-INT((Census!$F98+R$5))&gt;0.5,1,0)),Assumptions!$B$10))</f>
        <v>0</v>
      </c>
      <c r="S98" s="30">
        <f>IF(S$5&gt;$B98,0,INDEX(Decrements!$G$6:$G$58,Census!$G98+S$5-18)/INDEX(Decrements!$G$6:$G$58,Census!$G98-17)*(INDEX(Decrements!$D$6:$D$58,Census!$G98+S$5-18)+IF(S$5=$B98,INDEX(Decrements!$F$6:$F$58,Census!$G98+S$5-18),0)+INDEX(Decrements!$E$6:$E$58,Census!$G98+S$5-18)*IF((Census!$F98+S$5)&gt;=Assumptions!$B$11,1,0))*MIN(15/26*Census!$D98*(1+Assumptions!$B$9)^S$5*(INT((Census!$F98+S$5))+IF((Census!$F98+S$5)-INT((Census!$F98+S$5))&gt;0.5,1,0)),Assumptions!$B$10))</f>
        <v>0</v>
      </c>
      <c r="T98" s="30">
        <f>IF(T$5&gt;$B98,0,INDEX(Decrements!$G$6:$G$58,Census!$G98+T$5-18)/INDEX(Decrements!$G$6:$G$58,Census!$G98-17)*(INDEX(Decrements!$D$6:$D$58,Census!$G98+T$5-18)+IF(T$5=$B98,INDEX(Decrements!$F$6:$F$58,Census!$G98+T$5-18),0)+INDEX(Decrements!$E$6:$E$58,Census!$G98+T$5-18)*IF((Census!$F98+T$5)&gt;=Assumptions!$B$11,1,0))*MIN(15/26*Census!$D98*(1+Assumptions!$B$9)^T$5*(INT((Census!$F98+T$5))+IF((Census!$F98+T$5)-INT((Census!$F98+T$5))&gt;0.5,1,0)),Assumptions!$B$10))</f>
        <v>0</v>
      </c>
      <c r="U98" s="30">
        <f>IF(U$5&gt;$B98,0,INDEX(Decrements!$G$6:$G$58,Census!$G98+U$5-18)/INDEX(Decrements!$G$6:$G$58,Census!$G98-17)*(INDEX(Decrements!$D$6:$D$58,Census!$G98+U$5-18)+IF(U$5=$B98,INDEX(Decrements!$F$6:$F$58,Census!$G98+U$5-18),0)+INDEX(Decrements!$E$6:$E$58,Census!$G98+U$5-18)*IF((Census!$F98+U$5)&gt;=Assumptions!$B$11,1,0))*MIN(15/26*Census!$D98*(1+Assumptions!$B$9)^U$5*(INT((Census!$F98+U$5))+IF((Census!$F98+U$5)-INT((Census!$F98+U$5))&gt;0.5,1,0)),Assumptions!$B$10))</f>
        <v>0</v>
      </c>
      <c r="V98" s="30">
        <f>IF(V$5&gt;$B98,0,INDEX(Decrements!$G$6:$G$58,Census!$G98+V$5-18)/INDEX(Decrements!$G$6:$G$58,Census!$G98-17)*(INDEX(Decrements!$D$6:$D$58,Census!$G98+V$5-18)+IF(V$5=$B98,INDEX(Decrements!$F$6:$F$58,Census!$G98+V$5-18),0)+INDEX(Decrements!$E$6:$E$58,Census!$G98+V$5-18)*IF((Census!$F98+V$5)&gt;=Assumptions!$B$11,1,0))*MIN(15/26*Census!$D98*(1+Assumptions!$B$9)^V$5*(INT((Census!$F98+V$5))+IF((Census!$F98+V$5)-INT((Census!$F98+V$5))&gt;0.5,1,0)),Assumptions!$B$10))</f>
        <v>0</v>
      </c>
      <c r="W98" s="30">
        <f>IF(W$5&gt;$B98,0,INDEX(Decrements!$G$6:$G$58,Census!$G98+W$5-18)/INDEX(Decrements!$G$6:$G$58,Census!$G98-17)*(INDEX(Decrements!$D$6:$D$58,Census!$G98+W$5-18)+IF(W$5=$B98,INDEX(Decrements!$F$6:$F$58,Census!$G98+W$5-18),0)+INDEX(Decrements!$E$6:$E$58,Census!$G98+W$5-18)*IF((Census!$F98+W$5)&gt;=Assumptions!$B$11,1,0))*MIN(15/26*Census!$D98*(1+Assumptions!$B$9)^W$5*(INT((Census!$F98+W$5))+IF((Census!$F98+W$5)-INT((Census!$F98+W$5))&gt;0.5,1,0)),Assumptions!$B$10))</f>
        <v>0</v>
      </c>
      <c r="X98" s="30">
        <f>IF(X$5&gt;$B98,0,INDEX(Decrements!$G$6:$G$58,Census!$G98+X$5-18)/INDEX(Decrements!$G$6:$G$58,Census!$G98-17)*(INDEX(Decrements!$D$6:$D$58,Census!$G98+X$5-18)+IF(X$5=$B98,INDEX(Decrements!$F$6:$F$58,Census!$G98+X$5-18),0)+INDEX(Decrements!$E$6:$E$58,Census!$G98+X$5-18)*IF((Census!$F98+X$5)&gt;=Assumptions!$B$11,1,0))*MIN(15/26*Census!$D98*(1+Assumptions!$B$9)^X$5*(INT((Census!$F98+X$5))+IF((Census!$F98+X$5)-INT((Census!$F98+X$5))&gt;0.5,1,0)),Assumptions!$B$10))</f>
        <v>0</v>
      </c>
      <c r="Y98" s="30">
        <f>IF(Y$5&gt;$B98,0,INDEX(Decrements!$G$6:$G$58,Census!$G98+Y$5-18)/INDEX(Decrements!$G$6:$G$58,Census!$G98-17)*(INDEX(Decrements!$D$6:$D$58,Census!$G98+Y$5-18)+IF(Y$5=$B98,INDEX(Decrements!$F$6:$F$58,Census!$G98+Y$5-18),0)+INDEX(Decrements!$E$6:$E$58,Census!$G98+Y$5-18)*IF((Census!$F98+Y$5)&gt;=Assumptions!$B$11,1,0))*MIN(15/26*Census!$D98*(1+Assumptions!$B$9)^Y$5*(INT((Census!$F98+Y$5))+IF((Census!$F98+Y$5)-INT((Census!$F98+Y$5))&gt;0.5,1,0)),Assumptions!$B$10))</f>
        <v>0</v>
      </c>
      <c r="Z98" s="30">
        <f>IF(Z$5&gt;$B98,0,INDEX(Decrements!$G$6:$G$58,Census!$G98+Z$5-18)/INDEX(Decrements!$G$6:$G$58,Census!$G98-17)*(INDEX(Decrements!$D$6:$D$58,Census!$G98+Z$5-18)+IF(Z$5=$B98,INDEX(Decrements!$F$6:$F$58,Census!$G98+Z$5-18),0)+INDEX(Decrements!$E$6:$E$58,Census!$G98+Z$5-18)*IF((Census!$F98+Z$5)&gt;=Assumptions!$B$11,1,0))*MIN(15/26*Census!$D98*(1+Assumptions!$B$9)^Z$5*(INT((Census!$F98+Z$5))+IF((Census!$F98+Z$5)-INT((Census!$F98+Z$5))&gt;0.5,1,0)),Assumptions!$B$10))</f>
        <v>0</v>
      </c>
      <c r="AA98" s="30">
        <f>IF(AA$5&gt;$B98,0,INDEX(Decrements!$G$6:$G$58,Census!$G98+AA$5-18)/INDEX(Decrements!$G$6:$G$58,Census!$G98-17)*(INDEX(Decrements!$D$6:$D$58,Census!$G98+AA$5-18)+IF(AA$5=$B98,INDEX(Decrements!$F$6:$F$58,Census!$G98+AA$5-18),0)+INDEX(Decrements!$E$6:$E$58,Census!$G98+AA$5-18)*IF((Census!$F98+AA$5)&gt;=Assumptions!$B$11,1,0))*MIN(15/26*Census!$D98*(1+Assumptions!$B$9)^AA$5*(INT((Census!$F98+AA$5))+IF((Census!$F98+AA$5)-INT((Census!$F98+AA$5))&gt;0.5,1,0)),Assumptions!$B$10))</f>
        <v>0</v>
      </c>
      <c r="AB98" s="30">
        <f>IF(AB$5&gt;$B98,0,INDEX(Decrements!$G$6:$G$58,Census!$G98+AB$5-18)/INDEX(Decrements!$G$6:$G$58,Census!$G98-17)*(INDEX(Decrements!$D$6:$D$58,Census!$G98+AB$5-18)+IF(AB$5=$B98,INDEX(Decrements!$F$6:$F$58,Census!$G98+AB$5-18),0)+INDEX(Decrements!$E$6:$E$58,Census!$G98+AB$5-18)*IF((Census!$F98+AB$5)&gt;=Assumptions!$B$11,1,0))*MIN(15/26*Census!$D98*(1+Assumptions!$B$9)^AB$5*(INT((Census!$F98+AB$5))+IF((Census!$F98+AB$5)-INT((Census!$F98+AB$5))&gt;0.5,1,0)),Assumptions!$B$10))</f>
        <v>0</v>
      </c>
      <c r="AC98" s="30">
        <f>IF(AC$5&gt;$B98,0,INDEX(Decrements!$G$6:$G$58,Census!$G98+AC$5-18)/INDEX(Decrements!$G$6:$G$58,Census!$G98-17)*(INDEX(Decrements!$D$6:$D$58,Census!$G98+AC$5-18)+IF(AC$5=$B98,INDEX(Decrements!$F$6:$F$58,Census!$G98+AC$5-18),0)+INDEX(Decrements!$E$6:$E$58,Census!$G98+AC$5-18)*IF((Census!$F98+AC$5)&gt;=Assumptions!$B$11,1,0))*MIN(15/26*Census!$D98*(1+Assumptions!$B$9)^AC$5*(INT((Census!$F98+AC$5))+IF((Census!$F98+AC$5)-INT((Census!$F98+AC$5))&gt;0.5,1,0)),Assumptions!$B$10))</f>
        <v>0</v>
      </c>
      <c r="AD98" s="30">
        <f>IF(AD$5&gt;$B98,0,INDEX(Decrements!$G$6:$G$58,Census!$G98+AD$5-18)/INDEX(Decrements!$G$6:$G$58,Census!$G98-17)*(INDEX(Decrements!$D$6:$D$58,Census!$G98+AD$5-18)+IF(AD$5=$B98,INDEX(Decrements!$F$6:$F$58,Census!$G98+AD$5-18),0)+INDEX(Decrements!$E$6:$E$58,Census!$G98+AD$5-18)*IF((Census!$F98+AD$5)&gt;=Assumptions!$B$11,1,0))*MIN(15/26*Census!$D98*(1+Assumptions!$B$9)^AD$5*(INT((Census!$F98+AD$5))+IF((Census!$F98+AD$5)-INT((Census!$F98+AD$5))&gt;0.5,1,0)),Assumptions!$B$10))</f>
        <v>0</v>
      </c>
      <c r="AE98" s="30">
        <f>IF(AE$5&gt;$B98,0,INDEX(Decrements!$G$6:$G$58,Census!$G98+AE$5-18)/INDEX(Decrements!$G$6:$G$58,Census!$G98-17)*(INDEX(Decrements!$D$6:$D$58,Census!$G98+AE$5-18)+IF(AE$5=$B98,INDEX(Decrements!$F$6:$F$58,Census!$G98+AE$5-18),0)+INDEX(Decrements!$E$6:$E$58,Census!$G98+AE$5-18)*IF((Census!$F98+AE$5)&gt;=Assumptions!$B$11,1,0))*MIN(15/26*Census!$D98*(1+Assumptions!$B$9)^AE$5*(INT((Census!$F98+AE$5))+IF((Census!$F98+AE$5)-INT((Census!$F98+AE$5))&gt;0.5,1,0)),Assumptions!$B$10))</f>
        <v>0</v>
      </c>
      <c r="AF98" s="30">
        <f>IF(AF$5&gt;$B98,0,INDEX(Decrements!$G$6:$G$58,Census!$G98+AF$5-18)/INDEX(Decrements!$G$6:$G$58,Census!$G98-17)*(INDEX(Decrements!$D$6:$D$58,Census!$G98+AF$5-18)+IF(AF$5=$B98,INDEX(Decrements!$F$6:$F$58,Census!$G98+AF$5-18),0)+INDEX(Decrements!$E$6:$E$58,Census!$G98+AF$5-18)*IF((Census!$F98+AF$5)&gt;=Assumptions!$B$11,1,0))*MIN(15/26*Census!$D98*(1+Assumptions!$B$9)^AF$5*(INT((Census!$F98+AF$5))+IF((Census!$F98+AF$5)-INT((Census!$F98+AF$5))&gt;0.5,1,0)),Assumptions!$B$10))</f>
        <v>0</v>
      </c>
      <c r="AG98" s="30">
        <f>IF(AG$5&gt;$B98,0,INDEX(Decrements!$G$6:$G$58,Census!$G98+AG$5-18)/INDEX(Decrements!$G$6:$G$58,Census!$G98-17)*(INDEX(Decrements!$D$6:$D$58,Census!$G98+AG$5-18)+IF(AG$5=$B98,INDEX(Decrements!$F$6:$F$58,Census!$G98+AG$5-18),0)+INDEX(Decrements!$E$6:$E$58,Census!$G98+AG$5-18)*IF((Census!$F98+AG$5)&gt;=Assumptions!$B$11,1,0))*MIN(15/26*Census!$D98*(1+Assumptions!$B$9)^AG$5*(INT((Census!$F98+AG$5))+IF((Census!$F98+AG$5)-INT((Census!$F98+AG$5))&gt;0.5,1,0)),Assumptions!$B$10))</f>
        <v>0</v>
      </c>
      <c r="AH98" s="30">
        <f>IF(AH$5&gt;$B98,0,INDEX(Decrements!$G$6:$G$58,Census!$G98+AH$5-18)/INDEX(Decrements!$G$6:$G$58,Census!$G98-17)*(INDEX(Decrements!$D$6:$D$58,Census!$G98+AH$5-18)+IF(AH$5=$B98,INDEX(Decrements!$F$6:$F$58,Census!$G98+AH$5-18),0)+INDEX(Decrements!$E$6:$E$58,Census!$G98+AH$5-18)*IF((Census!$F98+AH$5)&gt;=Assumptions!$B$11,1,0))*MIN(15/26*Census!$D98*(1+Assumptions!$B$9)^AH$5*(INT((Census!$F98+AH$5))+IF((Census!$F98+AH$5)-INT((Census!$F98+AH$5))&gt;0.5,1,0)),Assumptions!$B$10))</f>
        <v>0</v>
      </c>
      <c r="AI98" s="30">
        <f>IF(AI$5&gt;$B98,0,INDEX(Decrements!$G$6:$G$58,Census!$G98+AI$5-18)/INDEX(Decrements!$G$6:$G$58,Census!$G98-17)*(INDEX(Decrements!$D$6:$D$58,Census!$G98+AI$5-18)+IF(AI$5=$B98,INDEX(Decrements!$F$6:$F$58,Census!$G98+AI$5-18),0)+INDEX(Decrements!$E$6:$E$58,Census!$G98+AI$5-18)*IF((Census!$F98+AI$5)&gt;=Assumptions!$B$11,1,0))*MIN(15/26*Census!$D98*(1+Assumptions!$B$9)^AI$5*(INT((Census!$F98+AI$5))+IF((Census!$F98+AI$5)-INT((Census!$F98+AI$5))&gt;0.5,1,0)),Assumptions!$B$10))</f>
        <v>0</v>
      </c>
      <c r="AJ98" s="30">
        <f>IF(AJ$5&gt;$B98,0,INDEX(Decrements!$G$6:$G$58,Census!$G98+AJ$5-18)/INDEX(Decrements!$G$6:$G$58,Census!$G98-17)*(INDEX(Decrements!$D$6:$D$58,Census!$G98+AJ$5-18)+IF(AJ$5=$B98,INDEX(Decrements!$F$6:$F$58,Census!$G98+AJ$5-18),0)+INDEX(Decrements!$E$6:$E$58,Census!$G98+AJ$5-18)*IF((Census!$F98+AJ$5)&gt;=Assumptions!$B$11,1,0))*MIN(15/26*Census!$D98*(1+Assumptions!$B$9)^AJ$5*(INT((Census!$F98+AJ$5))+IF((Census!$F98+AJ$5)-INT((Census!$F98+AJ$5))&gt;0.5,1,0)),Assumptions!$B$10))</f>
        <v>0</v>
      </c>
      <c r="AK98" s="30">
        <f>IF(AK$5&gt;$B98,0,INDEX(Decrements!$G$6:$G$58,Census!$G98+AK$5-18)/INDEX(Decrements!$G$6:$G$58,Census!$G98-17)*(INDEX(Decrements!$D$6:$D$58,Census!$G98+AK$5-18)+IF(AK$5=$B98,INDEX(Decrements!$F$6:$F$58,Census!$G98+AK$5-18),0)+INDEX(Decrements!$E$6:$E$58,Census!$G98+AK$5-18)*IF((Census!$F98+AK$5)&gt;=Assumptions!$B$11,1,0))*MIN(15/26*Census!$D98*(1+Assumptions!$B$9)^AK$5*(INT((Census!$F98+AK$5))+IF((Census!$F98+AK$5)-INT((Census!$F98+AK$5))&gt;0.5,1,0)),Assumptions!$B$10))</f>
        <v>0</v>
      </c>
      <c r="AL98" s="30">
        <f>IF(AL$5&gt;$B98,0,INDEX(Decrements!$G$6:$G$58,Census!$G98+AL$5-18)/INDEX(Decrements!$G$6:$G$58,Census!$G98-17)*(INDEX(Decrements!$D$6:$D$58,Census!$G98+AL$5-18)+IF(AL$5=$B98,INDEX(Decrements!$F$6:$F$58,Census!$G98+AL$5-18),0)+INDEX(Decrements!$E$6:$E$58,Census!$G98+AL$5-18)*IF((Census!$F98+AL$5)&gt;=Assumptions!$B$11,1,0))*MIN(15/26*Census!$D98*(1+Assumptions!$B$9)^AL$5*(INT((Census!$F98+AL$5))+IF((Census!$F98+AL$5)-INT((Census!$F98+AL$5))&gt;0.5,1,0)),Assumptions!$B$10))</f>
        <v>0</v>
      </c>
      <c r="AM98" s="30">
        <f>IF(AM$5&gt;$B98,0,INDEX(Decrements!$G$6:$G$58,Census!$G98+AM$5-18)/INDEX(Decrements!$G$6:$G$58,Census!$G98-17)*(INDEX(Decrements!$D$6:$D$58,Census!$G98+AM$5-18)+IF(AM$5=$B98,INDEX(Decrements!$F$6:$F$58,Census!$G98+AM$5-18),0)+INDEX(Decrements!$E$6:$E$58,Census!$G98+AM$5-18)*IF((Census!$F98+AM$5)&gt;=Assumptions!$B$11,1,0))*MIN(15/26*Census!$D98*(1+Assumptions!$B$9)^AM$5*(INT((Census!$F98+AM$5))+IF((Census!$F98+AM$5)-INT((Census!$F98+AM$5))&gt;0.5,1,0)),Assumptions!$B$10))</f>
        <v>0</v>
      </c>
      <c r="AN98" s="30">
        <f>IF(AN$5&gt;$B98,0,INDEX(Decrements!$G$6:$G$58,Census!$G98+AN$5-18)/INDEX(Decrements!$G$6:$G$58,Census!$G98-17)*(INDEX(Decrements!$D$6:$D$58,Census!$G98+AN$5-18)+IF(AN$5=$B98,INDEX(Decrements!$F$6:$F$58,Census!$G98+AN$5-18),0)+INDEX(Decrements!$E$6:$E$58,Census!$G98+AN$5-18)*IF((Census!$F98+AN$5)&gt;=Assumptions!$B$11,1,0))*MIN(15/26*Census!$D98*(1+Assumptions!$B$9)^AN$5*(INT((Census!$F98+AN$5))+IF((Census!$F98+AN$5)-INT((Census!$F98+AN$5))&gt;0.5,1,0)),Assumptions!$B$10))</f>
        <v>0</v>
      </c>
      <c r="AO98" s="30">
        <f>IF(AO$5&gt;$B98,0,INDEX(Decrements!$G$6:$G$58,Census!$G98+AO$5-18)/INDEX(Decrements!$G$6:$G$58,Census!$G98-17)*(INDEX(Decrements!$D$6:$D$58,Census!$G98+AO$5-18)+IF(AO$5=$B98,INDEX(Decrements!$F$6:$F$58,Census!$G98+AO$5-18),0)+INDEX(Decrements!$E$6:$E$58,Census!$G98+AO$5-18)*IF((Census!$F98+AO$5)&gt;=Assumptions!$B$11,1,0))*MIN(15/26*Census!$D98*(1+Assumptions!$B$9)^AO$5*(INT((Census!$F98+AO$5))+IF((Census!$F98+AO$5)-INT((Census!$F98+AO$5))&gt;0.5,1,0)),Assumptions!$B$10))</f>
        <v>0</v>
      </c>
      <c r="AP98" s="30">
        <f>IF(AP$5&gt;$B98,0,INDEX(Decrements!$G$6:$G$58,Census!$G98+AP$5-18)/INDEX(Decrements!$G$6:$G$58,Census!$G98-17)*(INDEX(Decrements!$D$6:$D$58,Census!$G98+AP$5-18)+IF(AP$5=$B98,INDEX(Decrements!$F$6:$F$58,Census!$G98+AP$5-18),0)+INDEX(Decrements!$E$6:$E$58,Census!$G98+AP$5-18)*IF((Census!$F98+AP$5)&gt;=Assumptions!$B$11,1,0))*MIN(15/26*Census!$D98*(1+Assumptions!$B$9)^AP$5*(INT((Census!$F98+AP$5))+IF((Census!$F98+AP$5)-INT((Census!$F98+AP$5))&gt;0.5,1,0)),Assumptions!$B$10))</f>
        <v>0</v>
      </c>
      <c r="AQ98" s="30">
        <f>IF(AQ$5&gt;$B98,0,INDEX(Decrements!$G$6:$G$58,Census!$G98+AQ$5-18)/INDEX(Decrements!$G$6:$G$58,Census!$G98-17)*(INDEX(Decrements!$D$6:$D$58,Census!$G98+AQ$5-18)+IF(AQ$5=$B98,INDEX(Decrements!$F$6:$F$58,Census!$G98+AQ$5-18),0)+INDEX(Decrements!$E$6:$E$58,Census!$G98+AQ$5-18)*IF((Census!$F98+AQ$5)&gt;=Assumptions!$B$11,1,0))*MIN(15/26*Census!$D98*(1+Assumptions!$B$9)^AQ$5*(INT((Census!$F98+AQ$5))+IF((Census!$F98+AQ$5)-INT((Census!$F98+AQ$5))&gt;0.5,1,0)),Assumptions!$B$10))</f>
        <v>0</v>
      </c>
      <c r="AR98" s="30">
        <f>IF(AR$5&gt;$B98,0,INDEX(Decrements!$G$6:$G$58,Census!$G98+AR$5-18)/INDEX(Decrements!$G$6:$G$58,Census!$G98-17)*(INDEX(Decrements!$D$6:$D$58,Census!$G98+AR$5-18)+IF(AR$5=$B98,INDEX(Decrements!$F$6:$F$58,Census!$G98+AR$5-18),0)+INDEX(Decrements!$E$6:$E$58,Census!$G98+AR$5-18)*IF((Census!$F98+AR$5)&gt;=Assumptions!$B$11,1,0))*MIN(15/26*Census!$D98*(1+Assumptions!$B$9)^AR$5*(INT((Census!$F98+AR$5))+IF((Census!$F98+AR$5)-INT((Census!$F98+AR$5))&gt;0.5,1,0)),Assumptions!$B$10))</f>
        <v>0</v>
      </c>
      <c r="AS98" s="30">
        <f>IF(AS$5&gt;$B98,0,INDEX(Decrements!$G$6:$G$58,Census!$G98+AS$5-18)/INDEX(Decrements!$G$6:$G$58,Census!$G98-17)*(INDEX(Decrements!$D$6:$D$58,Census!$G98+AS$5-18)+IF(AS$5=$B98,INDEX(Decrements!$F$6:$F$58,Census!$G98+AS$5-18),0)+INDEX(Decrements!$E$6:$E$58,Census!$G98+AS$5-18)*IF((Census!$F98+AS$5)&gt;=Assumptions!$B$11,1,0))*MIN(15/26*Census!$D98*(1+Assumptions!$B$9)^AS$5*(INT((Census!$F98+AS$5))+IF((Census!$F98+AS$5)-INT((Census!$F98+AS$5))&gt;0.5,1,0)),Assumptions!$B$10))</f>
        <v>0</v>
      </c>
      <c r="AT98" s="30">
        <f>IF(AT$5&gt;$B98,0,INDEX(Decrements!$G$6:$G$58,Census!$G98+AT$5-18)/INDEX(Decrements!$G$6:$G$58,Census!$G98-17)*(INDEX(Decrements!$D$6:$D$58,Census!$G98+AT$5-18)+IF(AT$5=$B98,INDEX(Decrements!$F$6:$F$58,Census!$G98+AT$5-18),0)+INDEX(Decrements!$E$6:$E$58,Census!$G98+AT$5-18)*IF((Census!$F98+AT$5)&gt;=Assumptions!$B$11,1,0))*MIN(15/26*Census!$D98*(1+Assumptions!$B$9)^AT$5*(INT((Census!$F98+AT$5))+IF((Census!$F98+AT$5)-INT((Census!$F98+AT$5))&gt;0.5,1,0)),Assumptions!$B$10))</f>
        <v>0</v>
      </c>
      <c r="AU98" s="30">
        <f>IF(AU$5&gt;$B98,0,INDEX(Decrements!$G$6:$G$58,Census!$G98+AU$5-18)/INDEX(Decrements!$G$6:$G$58,Census!$G98-17)*(INDEX(Decrements!$D$6:$D$58,Census!$G98+AU$5-18)+IF(AU$5=$B98,INDEX(Decrements!$F$6:$F$58,Census!$G98+AU$5-18),0)+INDEX(Decrements!$E$6:$E$58,Census!$G98+AU$5-18)*IF((Census!$F98+AU$5)&gt;=Assumptions!$B$11,1,0))*MIN(15/26*Census!$D98*(1+Assumptions!$B$9)^AU$5*(INT((Census!$F98+AU$5))+IF((Census!$F98+AU$5)-INT((Census!$F98+AU$5))&gt;0.5,1,0)),Assumptions!$B$10))</f>
        <v>0</v>
      </c>
    </row>
    <row r="99" spans="1:47" x14ac:dyDescent="0.3">
      <c r="A99" s="10" t="str">
        <f>Census!A99</f>
        <v>E094</v>
      </c>
      <c r="B99" s="29">
        <f>Census!H99</f>
        <v>13</v>
      </c>
      <c r="C99" s="30">
        <f>IF(C$5&gt;$B99,0,INDEX(Decrements!$G$6:$G$58,Census!$G99+C$5-18)/INDEX(Decrements!$G$6:$G$58,Census!$G99-17)*(INDEX(Decrements!$D$6:$D$58,Census!$G99+C$5-18)+IF(C$5=$B99,INDEX(Decrements!$F$6:$F$58,Census!$G99+C$5-18),0)+INDEX(Decrements!$E$6:$E$58,Census!$G99+C$5-18)*IF((Census!$F99+C$5)&gt;=Assumptions!$B$11,1,0))*MIN(15/26*Census!$D99*(1+Assumptions!$B$9)^C$5*(INT((Census!$F99+C$5))+IF((Census!$F99+C$5)-INT((Census!$F99+C$5))&gt;0.5,1,0)),Assumptions!$B$10))</f>
        <v>64361.537783714259</v>
      </c>
      <c r="D99" s="30">
        <f>IF(D$5&gt;$B99,0,INDEX(Decrements!$G$6:$G$58,Census!$G99+D$5-18)/INDEX(Decrements!$G$6:$G$58,Census!$G99-17)*(INDEX(Decrements!$D$6:$D$58,Census!$G99+D$5-18)+IF(D$5=$B99,INDEX(Decrements!$F$6:$F$58,Census!$G99+D$5-18),0)+INDEX(Decrements!$E$6:$E$58,Census!$G99+D$5-18)*IF((Census!$F99+D$5)&gt;=Assumptions!$B$11,1,0))*MIN(15/26*Census!$D99*(1+Assumptions!$B$9)^D$5*(INT((Census!$F99+D$5))+IF((Census!$F99+D$5)-INT((Census!$F99+D$5))&gt;0.5,1,0)),Assumptions!$B$10))</f>
        <v>62637.011156411005</v>
      </c>
      <c r="E99" s="30">
        <f>IF(E$5&gt;$B99,0,INDEX(Decrements!$G$6:$G$58,Census!$G99+E$5-18)/INDEX(Decrements!$G$6:$G$58,Census!$G99-17)*(INDEX(Decrements!$D$6:$D$58,Census!$G99+E$5-18)+IF(E$5=$B99,INDEX(Decrements!$F$6:$F$58,Census!$G99+E$5-18),0)+INDEX(Decrements!$E$6:$E$58,Census!$G99+E$5-18)*IF((Census!$F99+E$5)&gt;=Assumptions!$B$11,1,0))*MIN(15/26*Census!$D99*(1+Assumptions!$B$9)^E$5*(INT((Census!$F99+E$5))+IF((Census!$F99+E$5)-INT((Census!$F99+E$5))&gt;0.5,1,0)),Assumptions!$B$10))</f>
        <v>60979.018437254294</v>
      </c>
      <c r="F99" s="30">
        <f>IF(F$5&gt;$B99,0,INDEX(Decrements!$G$6:$G$58,Census!$G99+F$5-18)/INDEX(Decrements!$G$6:$G$58,Census!$G99-17)*(INDEX(Decrements!$D$6:$D$58,Census!$G99+F$5-18)+IF(F$5=$B99,INDEX(Decrements!$F$6:$F$58,Census!$G99+F$5-18),0)+INDEX(Decrements!$E$6:$E$58,Census!$G99+F$5-18)*IF((Census!$F99+F$5)&gt;=Assumptions!$B$11,1,0))*MIN(15/26*Census!$D99*(1+Assumptions!$B$9)^F$5*(INT((Census!$F99+F$5))+IF((Census!$F99+F$5)-INT((Census!$F99+F$5))&gt;0.5,1,0)),Assumptions!$B$10))</f>
        <v>41317.849698671875</v>
      </c>
      <c r="G99" s="30">
        <f>IF(G$5&gt;$B99,0,INDEX(Decrements!$G$6:$G$58,Census!$G99+G$5-18)/INDEX(Decrements!$G$6:$G$58,Census!$G99-17)*(INDEX(Decrements!$D$6:$D$58,Census!$G99+G$5-18)+IF(G$5=$B99,INDEX(Decrements!$F$6:$F$58,Census!$G99+G$5-18),0)+INDEX(Decrements!$E$6:$E$58,Census!$G99+G$5-18)*IF((Census!$F99+G$5)&gt;=Assumptions!$B$11,1,0))*MIN(15/26*Census!$D99*(1+Assumptions!$B$9)^G$5*(INT((Census!$F99+G$5))+IF((Census!$F99+G$5)-INT((Census!$F99+G$5))&gt;0.5,1,0)),Assumptions!$B$10))</f>
        <v>40801.9044168779</v>
      </c>
      <c r="H99" s="30">
        <f>IF(H$5&gt;$B99,0,INDEX(Decrements!$G$6:$G$58,Census!$G99+H$5-18)/INDEX(Decrements!$G$6:$G$58,Census!$G99-17)*(INDEX(Decrements!$D$6:$D$58,Census!$G99+H$5-18)+IF(H$5=$B99,INDEX(Decrements!$F$6:$F$58,Census!$G99+H$5-18),0)+INDEX(Decrements!$E$6:$E$58,Census!$G99+H$5-18)*IF((Census!$F99+H$5)&gt;=Assumptions!$B$11,1,0))*MIN(15/26*Census!$D99*(1+Assumptions!$B$9)^H$5*(INT((Census!$F99+H$5))+IF((Census!$F99+H$5)-INT((Census!$F99+H$5))&gt;0.5,1,0)),Assumptions!$B$10))</f>
        <v>40319.60090718884</v>
      </c>
      <c r="I99" s="30">
        <f>IF(I$5&gt;$B99,0,INDEX(Decrements!$G$6:$G$58,Census!$G99+I$5-18)/INDEX(Decrements!$G$6:$G$58,Census!$G99-17)*(INDEX(Decrements!$D$6:$D$58,Census!$G99+I$5-18)+IF(I$5=$B99,INDEX(Decrements!$F$6:$F$58,Census!$G99+I$5-18),0)+INDEX(Decrements!$E$6:$E$58,Census!$G99+I$5-18)*IF((Census!$F99+I$5)&gt;=Assumptions!$B$11,1,0))*MIN(15/26*Census!$D99*(1+Assumptions!$B$9)^I$5*(INT((Census!$F99+I$5))+IF((Census!$F99+I$5)-INT((Census!$F99+I$5))&gt;0.5,1,0)),Assumptions!$B$10))</f>
        <v>39871.648068103568</v>
      </c>
      <c r="J99" s="30">
        <f>IF(J$5&gt;$B99,0,INDEX(Decrements!$G$6:$G$58,Census!$G99+J$5-18)/INDEX(Decrements!$G$6:$G$58,Census!$G99-17)*(INDEX(Decrements!$D$6:$D$58,Census!$G99+J$5-18)+IF(J$5=$B99,INDEX(Decrements!$F$6:$F$58,Census!$G99+J$5-18),0)+INDEX(Decrements!$E$6:$E$58,Census!$G99+J$5-18)*IF((Census!$F99+J$5)&gt;=Assumptions!$B$11,1,0))*MIN(15/26*Census!$D99*(1+Assumptions!$B$9)^J$5*(INT((Census!$F99+J$5))+IF((Census!$F99+J$5)-INT((Census!$F99+J$5))&gt;0.5,1,0)),Assumptions!$B$10))</f>
        <v>39458.778191701262</v>
      </c>
      <c r="K99" s="30">
        <f>IF(K$5&gt;$B99,0,INDEX(Decrements!$G$6:$G$58,Census!$G99+K$5-18)/INDEX(Decrements!$G$6:$G$58,Census!$G99-17)*(INDEX(Decrements!$D$6:$D$58,Census!$G99+K$5-18)+IF(K$5=$B99,INDEX(Decrements!$F$6:$F$58,Census!$G99+K$5-18),0)+INDEX(Decrements!$E$6:$E$58,Census!$G99+K$5-18)*IF((Census!$F99+K$5)&gt;=Assumptions!$B$11,1,0))*MIN(15/26*Census!$D99*(1+Assumptions!$B$9)^K$5*(INT((Census!$F99+K$5))+IF((Census!$F99+K$5)-INT((Census!$F99+K$5))&gt;0.5,1,0)),Assumptions!$B$10))</f>
        <v>23049.381157762928</v>
      </c>
      <c r="L99" s="30">
        <f>IF(L$5&gt;$B99,0,INDEX(Decrements!$G$6:$G$58,Census!$G99+L$5-18)/INDEX(Decrements!$G$6:$G$58,Census!$G99-17)*(INDEX(Decrements!$D$6:$D$58,Census!$G99+L$5-18)+IF(L$5=$B99,INDEX(Decrements!$F$6:$F$58,Census!$G99+L$5-18),0)+INDEX(Decrements!$E$6:$E$58,Census!$G99+L$5-18)*IF((Census!$F99+L$5)&gt;=Assumptions!$B$11,1,0))*MIN(15/26*Census!$D99*(1+Assumptions!$B$9)^L$5*(INT((Census!$F99+L$5))+IF((Census!$F99+L$5)-INT((Census!$F99+L$5))&gt;0.5,1,0)),Assumptions!$B$10))</f>
        <v>23339.994158678714</v>
      </c>
      <c r="M99" s="30">
        <f>IF(M$5&gt;$B99,0,INDEX(Decrements!$G$6:$G$58,Census!$G99+M$5-18)/INDEX(Decrements!$G$6:$G$58,Census!$G99-17)*(INDEX(Decrements!$D$6:$D$58,Census!$G99+M$5-18)+IF(M$5=$B99,INDEX(Decrements!$F$6:$F$58,Census!$G99+M$5-18),0)+INDEX(Decrements!$E$6:$E$58,Census!$G99+M$5-18)*IF((Census!$F99+M$5)&gt;=Assumptions!$B$11,1,0))*MIN(15/26*Census!$D99*(1+Assumptions!$B$9)^M$5*(INT((Census!$F99+M$5))+IF((Census!$F99+M$5)-INT((Census!$F99+M$5))&gt;0.5,1,0)),Assumptions!$B$10))</f>
        <v>23669.05880595605</v>
      </c>
      <c r="N99" s="30">
        <f>IF(N$5&gt;$B99,0,INDEX(Decrements!$G$6:$G$58,Census!$G99+N$5-18)/INDEX(Decrements!$G$6:$G$58,Census!$G99-17)*(INDEX(Decrements!$D$6:$D$58,Census!$G99+N$5-18)+IF(N$5=$B99,INDEX(Decrements!$F$6:$F$58,Census!$G99+N$5-18),0)+INDEX(Decrements!$E$6:$E$58,Census!$G99+N$5-18)*IF((Census!$F99+N$5)&gt;=Assumptions!$B$11,1,0))*MIN(15/26*Census!$D99*(1+Assumptions!$B$9)^N$5*(INT((Census!$F99+N$5))+IF((Census!$F99+N$5)-INT((Census!$F99+N$5))&gt;0.5,1,0)),Assumptions!$B$10))</f>
        <v>24038.811592745242</v>
      </c>
      <c r="O99" s="30">
        <f>IF(O$5&gt;$B99,0,INDEX(Decrements!$G$6:$G$58,Census!$G99+O$5-18)/INDEX(Decrements!$G$6:$G$58,Census!$G99-17)*(INDEX(Decrements!$D$6:$D$58,Census!$G99+O$5-18)+IF(O$5=$B99,INDEX(Decrements!$F$6:$F$58,Census!$G99+O$5-18),0)+INDEX(Decrements!$E$6:$E$58,Census!$G99+O$5-18)*IF((Census!$F99+O$5)&gt;=Assumptions!$B$11,1,0))*MIN(15/26*Census!$D99*(1+Assumptions!$B$9)^O$5*(INT((Census!$F99+O$5))+IF((Census!$F99+O$5)-INT((Census!$F99+O$5))&gt;0.5,1,0)),Assumptions!$B$10))</f>
        <v>1516155.4056249335</v>
      </c>
      <c r="P99" s="30">
        <f>IF(P$5&gt;$B99,0,INDEX(Decrements!$G$6:$G$58,Census!$G99+P$5-18)/INDEX(Decrements!$G$6:$G$58,Census!$G99-17)*(INDEX(Decrements!$D$6:$D$58,Census!$G99+P$5-18)+IF(P$5=$B99,INDEX(Decrements!$F$6:$F$58,Census!$G99+P$5-18),0)+INDEX(Decrements!$E$6:$E$58,Census!$G99+P$5-18)*IF((Census!$F99+P$5)&gt;=Assumptions!$B$11,1,0))*MIN(15/26*Census!$D99*(1+Assumptions!$B$9)^P$5*(INT((Census!$F99+P$5))+IF((Census!$F99+P$5)-INT((Census!$F99+P$5))&gt;0.5,1,0)),Assumptions!$B$10))</f>
        <v>0</v>
      </c>
      <c r="Q99" s="30">
        <f>IF(Q$5&gt;$B99,0,INDEX(Decrements!$G$6:$G$58,Census!$G99+Q$5-18)/INDEX(Decrements!$G$6:$G$58,Census!$G99-17)*(INDEX(Decrements!$D$6:$D$58,Census!$G99+Q$5-18)+IF(Q$5=$B99,INDEX(Decrements!$F$6:$F$58,Census!$G99+Q$5-18),0)+INDEX(Decrements!$E$6:$E$58,Census!$G99+Q$5-18)*IF((Census!$F99+Q$5)&gt;=Assumptions!$B$11,1,0))*MIN(15/26*Census!$D99*(1+Assumptions!$B$9)^Q$5*(INT((Census!$F99+Q$5))+IF((Census!$F99+Q$5)-INT((Census!$F99+Q$5))&gt;0.5,1,0)),Assumptions!$B$10))</f>
        <v>0</v>
      </c>
      <c r="R99" s="30">
        <f>IF(R$5&gt;$B99,0,INDEX(Decrements!$G$6:$G$58,Census!$G99+R$5-18)/INDEX(Decrements!$G$6:$G$58,Census!$G99-17)*(INDEX(Decrements!$D$6:$D$58,Census!$G99+R$5-18)+IF(R$5=$B99,INDEX(Decrements!$F$6:$F$58,Census!$G99+R$5-18),0)+INDEX(Decrements!$E$6:$E$58,Census!$G99+R$5-18)*IF((Census!$F99+R$5)&gt;=Assumptions!$B$11,1,0))*MIN(15/26*Census!$D99*(1+Assumptions!$B$9)^R$5*(INT((Census!$F99+R$5))+IF((Census!$F99+R$5)-INT((Census!$F99+R$5))&gt;0.5,1,0)),Assumptions!$B$10))</f>
        <v>0</v>
      </c>
      <c r="S99" s="30">
        <f>IF(S$5&gt;$B99,0,INDEX(Decrements!$G$6:$G$58,Census!$G99+S$5-18)/INDEX(Decrements!$G$6:$G$58,Census!$G99-17)*(INDEX(Decrements!$D$6:$D$58,Census!$G99+S$5-18)+IF(S$5=$B99,INDEX(Decrements!$F$6:$F$58,Census!$G99+S$5-18),0)+INDEX(Decrements!$E$6:$E$58,Census!$G99+S$5-18)*IF((Census!$F99+S$5)&gt;=Assumptions!$B$11,1,0))*MIN(15/26*Census!$D99*(1+Assumptions!$B$9)^S$5*(INT((Census!$F99+S$5))+IF((Census!$F99+S$5)-INT((Census!$F99+S$5))&gt;0.5,1,0)),Assumptions!$B$10))</f>
        <v>0</v>
      </c>
      <c r="T99" s="30">
        <f>IF(T$5&gt;$B99,0,INDEX(Decrements!$G$6:$G$58,Census!$G99+T$5-18)/INDEX(Decrements!$G$6:$G$58,Census!$G99-17)*(INDEX(Decrements!$D$6:$D$58,Census!$G99+T$5-18)+IF(T$5=$B99,INDEX(Decrements!$F$6:$F$58,Census!$G99+T$5-18),0)+INDEX(Decrements!$E$6:$E$58,Census!$G99+T$5-18)*IF((Census!$F99+T$5)&gt;=Assumptions!$B$11,1,0))*MIN(15/26*Census!$D99*(1+Assumptions!$B$9)^T$5*(INT((Census!$F99+T$5))+IF((Census!$F99+T$5)-INT((Census!$F99+T$5))&gt;0.5,1,0)),Assumptions!$B$10))</f>
        <v>0</v>
      </c>
      <c r="U99" s="30">
        <f>IF(U$5&gt;$B99,0,INDEX(Decrements!$G$6:$G$58,Census!$G99+U$5-18)/INDEX(Decrements!$G$6:$G$58,Census!$G99-17)*(INDEX(Decrements!$D$6:$D$58,Census!$G99+U$5-18)+IF(U$5=$B99,INDEX(Decrements!$F$6:$F$58,Census!$G99+U$5-18),0)+INDEX(Decrements!$E$6:$E$58,Census!$G99+U$5-18)*IF((Census!$F99+U$5)&gt;=Assumptions!$B$11,1,0))*MIN(15/26*Census!$D99*(1+Assumptions!$B$9)^U$5*(INT((Census!$F99+U$5))+IF((Census!$F99+U$5)-INT((Census!$F99+U$5))&gt;0.5,1,0)),Assumptions!$B$10))</f>
        <v>0</v>
      </c>
      <c r="V99" s="30">
        <f>IF(V$5&gt;$B99,0,INDEX(Decrements!$G$6:$G$58,Census!$G99+V$5-18)/INDEX(Decrements!$G$6:$G$58,Census!$G99-17)*(INDEX(Decrements!$D$6:$D$58,Census!$G99+V$5-18)+IF(V$5=$B99,INDEX(Decrements!$F$6:$F$58,Census!$G99+V$5-18),0)+INDEX(Decrements!$E$6:$E$58,Census!$G99+V$5-18)*IF((Census!$F99+V$5)&gt;=Assumptions!$B$11,1,0))*MIN(15/26*Census!$D99*(1+Assumptions!$B$9)^V$5*(INT((Census!$F99+V$5))+IF((Census!$F99+V$5)-INT((Census!$F99+V$5))&gt;0.5,1,0)),Assumptions!$B$10))</f>
        <v>0</v>
      </c>
      <c r="W99" s="30">
        <f>IF(W$5&gt;$B99,0,INDEX(Decrements!$G$6:$G$58,Census!$G99+W$5-18)/INDEX(Decrements!$G$6:$G$58,Census!$G99-17)*(INDEX(Decrements!$D$6:$D$58,Census!$G99+W$5-18)+IF(W$5=$B99,INDEX(Decrements!$F$6:$F$58,Census!$G99+W$5-18),0)+INDEX(Decrements!$E$6:$E$58,Census!$G99+W$5-18)*IF((Census!$F99+W$5)&gt;=Assumptions!$B$11,1,0))*MIN(15/26*Census!$D99*(1+Assumptions!$B$9)^W$5*(INT((Census!$F99+W$5))+IF((Census!$F99+W$5)-INT((Census!$F99+W$5))&gt;0.5,1,0)),Assumptions!$B$10))</f>
        <v>0</v>
      </c>
      <c r="X99" s="30">
        <f>IF(X$5&gt;$B99,0,INDEX(Decrements!$G$6:$G$58,Census!$G99+X$5-18)/INDEX(Decrements!$G$6:$G$58,Census!$G99-17)*(INDEX(Decrements!$D$6:$D$58,Census!$G99+X$5-18)+IF(X$5=$B99,INDEX(Decrements!$F$6:$F$58,Census!$G99+X$5-18),0)+INDEX(Decrements!$E$6:$E$58,Census!$G99+X$5-18)*IF((Census!$F99+X$5)&gt;=Assumptions!$B$11,1,0))*MIN(15/26*Census!$D99*(1+Assumptions!$B$9)^X$5*(INT((Census!$F99+X$5))+IF((Census!$F99+X$5)-INT((Census!$F99+X$5))&gt;0.5,1,0)),Assumptions!$B$10))</f>
        <v>0</v>
      </c>
      <c r="Y99" s="30">
        <f>IF(Y$5&gt;$B99,0,INDEX(Decrements!$G$6:$G$58,Census!$G99+Y$5-18)/INDEX(Decrements!$G$6:$G$58,Census!$G99-17)*(INDEX(Decrements!$D$6:$D$58,Census!$G99+Y$5-18)+IF(Y$5=$B99,INDEX(Decrements!$F$6:$F$58,Census!$G99+Y$5-18),0)+INDEX(Decrements!$E$6:$E$58,Census!$G99+Y$5-18)*IF((Census!$F99+Y$5)&gt;=Assumptions!$B$11,1,0))*MIN(15/26*Census!$D99*(1+Assumptions!$B$9)^Y$5*(INT((Census!$F99+Y$5))+IF((Census!$F99+Y$5)-INT((Census!$F99+Y$5))&gt;0.5,1,0)),Assumptions!$B$10))</f>
        <v>0</v>
      </c>
      <c r="Z99" s="30">
        <f>IF(Z$5&gt;$B99,0,INDEX(Decrements!$G$6:$G$58,Census!$G99+Z$5-18)/INDEX(Decrements!$G$6:$G$58,Census!$G99-17)*(INDEX(Decrements!$D$6:$D$58,Census!$G99+Z$5-18)+IF(Z$5=$B99,INDEX(Decrements!$F$6:$F$58,Census!$G99+Z$5-18),0)+INDEX(Decrements!$E$6:$E$58,Census!$G99+Z$5-18)*IF((Census!$F99+Z$5)&gt;=Assumptions!$B$11,1,0))*MIN(15/26*Census!$D99*(1+Assumptions!$B$9)^Z$5*(INT((Census!$F99+Z$5))+IF((Census!$F99+Z$5)-INT((Census!$F99+Z$5))&gt;0.5,1,0)),Assumptions!$B$10))</f>
        <v>0</v>
      </c>
      <c r="AA99" s="30">
        <f>IF(AA$5&gt;$B99,0,INDEX(Decrements!$G$6:$G$58,Census!$G99+AA$5-18)/INDEX(Decrements!$G$6:$G$58,Census!$G99-17)*(INDEX(Decrements!$D$6:$D$58,Census!$G99+AA$5-18)+IF(AA$5=$B99,INDEX(Decrements!$F$6:$F$58,Census!$G99+AA$5-18),0)+INDEX(Decrements!$E$6:$E$58,Census!$G99+AA$5-18)*IF((Census!$F99+AA$5)&gt;=Assumptions!$B$11,1,0))*MIN(15/26*Census!$D99*(1+Assumptions!$B$9)^AA$5*(INT((Census!$F99+AA$5))+IF((Census!$F99+AA$5)-INT((Census!$F99+AA$5))&gt;0.5,1,0)),Assumptions!$B$10))</f>
        <v>0</v>
      </c>
      <c r="AB99" s="30">
        <f>IF(AB$5&gt;$B99,0,INDEX(Decrements!$G$6:$G$58,Census!$G99+AB$5-18)/INDEX(Decrements!$G$6:$G$58,Census!$G99-17)*(INDEX(Decrements!$D$6:$D$58,Census!$G99+AB$5-18)+IF(AB$5=$B99,INDEX(Decrements!$F$6:$F$58,Census!$G99+AB$5-18),0)+INDEX(Decrements!$E$6:$E$58,Census!$G99+AB$5-18)*IF((Census!$F99+AB$5)&gt;=Assumptions!$B$11,1,0))*MIN(15/26*Census!$D99*(1+Assumptions!$B$9)^AB$5*(INT((Census!$F99+AB$5))+IF((Census!$F99+AB$5)-INT((Census!$F99+AB$5))&gt;0.5,1,0)),Assumptions!$B$10))</f>
        <v>0</v>
      </c>
      <c r="AC99" s="30">
        <f>IF(AC$5&gt;$B99,0,INDEX(Decrements!$G$6:$G$58,Census!$G99+AC$5-18)/INDEX(Decrements!$G$6:$G$58,Census!$G99-17)*(INDEX(Decrements!$D$6:$D$58,Census!$G99+AC$5-18)+IF(AC$5=$B99,INDEX(Decrements!$F$6:$F$58,Census!$G99+AC$5-18),0)+INDEX(Decrements!$E$6:$E$58,Census!$G99+AC$5-18)*IF((Census!$F99+AC$5)&gt;=Assumptions!$B$11,1,0))*MIN(15/26*Census!$D99*(1+Assumptions!$B$9)^AC$5*(INT((Census!$F99+AC$5))+IF((Census!$F99+AC$5)-INT((Census!$F99+AC$5))&gt;0.5,1,0)),Assumptions!$B$10))</f>
        <v>0</v>
      </c>
      <c r="AD99" s="30">
        <f>IF(AD$5&gt;$B99,0,INDEX(Decrements!$G$6:$G$58,Census!$G99+AD$5-18)/INDEX(Decrements!$G$6:$G$58,Census!$G99-17)*(INDEX(Decrements!$D$6:$D$58,Census!$G99+AD$5-18)+IF(AD$5=$B99,INDEX(Decrements!$F$6:$F$58,Census!$G99+AD$5-18),0)+INDEX(Decrements!$E$6:$E$58,Census!$G99+AD$5-18)*IF((Census!$F99+AD$5)&gt;=Assumptions!$B$11,1,0))*MIN(15/26*Census!$D99*(1+Assumptions!$B$9)^AD$5*(INT((Census!$F99+AD$5))+IF((Census!$F99+AD$5)-INT((Census!$F99+AD$5))&gt;0.5,1,0)),Assumptions!$B$10))</f>
        <v>0</v>
      </c>
      <c r="AE99" s="30">
        <f>IF(AE$5&gt;$B99,0,INDEX(Decrements!$G$6:$G$58,Census!$G99+AE$5-18)/INDEX(Decrements!$G$6:$G$58,Census!$G99-17)*(INDEX(Decrements!$D$6:$D$58,Census!$G99+AE$5-18)+IF(AE$5=$B99,INDEX(Decrements!$F$6:$F$58,Census!$G99+AE$5-18),0)+INDEX(Decrements!$E$6:$E$58,Census!$G99+AE$5-18)*IF((Census!$F99+AE$5)&gt;=Assumptions!$B$11,1,0))*MIN(15/26*Census!$D99*(1+Assumptions!$B$9)^AE$5*(INT((Census!$F99+AE$5))+IF((Census!$F99+AE$5)-INT((Census!$F99+AE$5))&gt;0.5,1,0)),Assumptions!$B$10))</f>
        <v>0</v>
      </c>
      <c r="AF99" s="30">
        <f>IF(AF$5&gt;$B99,0,INDEX(Decrements!$G$6:$G$58,Census!$G99+AF$5-18)/INDEX(Decrements!$G$6:$G$58,Census!$G99-17)*(INDEX(Decrements!$D$6:$D$58,Census!$G99+AF$5-18)+IF(AF$5=$B99,INDEX(Decrements!$F$6:$F$58,Census!$G99+AF$5-18),0)+INDEX(Decrements!$E$6:$E$58,Census!$G99+AF$5-18)*IF((Census!$F99+AF$5)&gt;=Assumptions!$B$11,1,0))*MIN(15/26*Census!$D99*(1+Assumptions!$B$9)^AF$5*(INT((Census!$F99+AF$5))+IF((Census!$F99+AF$5)-INT((Census!$F99+AF$5))&gt;0.5,1,0)),Assumptions!$B$10))</f>
        <v>0</v>
      </c>
      <c r="AG99" s="30">
        <f>IF(AG$5&gt;$B99,0,INDEX(Decrements!$G$6:$G$58,Census!$G99+AG$5-18)/INDEX(Decrements!$G$6:$G$58,Census!$G99-17)*(INDEX(Decrements!$D$6:$D$58,Census!$G99+AG$5-18)+IF(AG$5=$B99,INDEX(Decrements!$F$6:$F$58,Census!$G99+AG$5-18),0)+INDEX(Decrements!$E$6:$E$58,Census!$G99+AG$5-18)*IF((Census!$F99+AG$5)&gt;=Assumptions!$B$11,1,0))*MIN(15/26*Census!$D99*(1+Assumptions!$B$9)^AG$5*(INT((Census!$F99+AG$5))+IF((Census!$F99+AG$5)-INT((Census!$F99+AG$5))&gt;0.5,1,0)),Assumptions!$B$10))</f>
        <v>0</v>
      </c>
      <c r="AH99" s="30">
        <f>IF(AH$5&gt;$B99,0,INDEX(Decrements!$G$6:$G$58,Census!$G99+AH$5-18)/INDEX(Decrements!$G$6:$G$58,Census!$G99-17)*(INDEX(Decrements!$D$6:$D$58,Census!$G99+AH$5-18)+IF(AH$5=$B99,INDEX(Decrements!$F$6:$F$58,Census!$G99+AH$5-18),0)+INDEX(Decrements!$E$6:$E$58,Census!$G99+AH$5-18)*IF((Census!$F99+AH$5)&gt;=Assumptions!$B$11,1,0))*MIN(15/26*Census!$D99*(1+Assumptions!$B$9)^AH$5*(INT((Census!$F99+AH$5))+IF((Census!$F99+AH$5)-INT((Census!$F99+AH$5))&gt;0.5,1,0)),Assumptions!$B$10))</f>
        <v>0</v>
      </c>
      <c r="AI99" s="30">
        <f>IF(AI$5&gt;$B99,0,INDEX(Decrements!$G$6:$G$58,Census!$G99+AI$5-18)/INDEX(Decrements!$G$6:$G$58,Census!$G99-17)*(INDEX(Decrements!$D$6:$D$58,Census!$G99+AI$5-18)+IF(AI$5=$B99,INDEX(Decrements!$F$6:$F$58,Census!$G99+AI$5-18),0)+INDEX(Decrements!$E$6:$E$58,Census!$G99+AI$5-18)*IF((Census!$F99+AI$5)&gt;=Assumptions!$B$11,1,0))*MIN(15/26*Census!$D99*(1+Assumptions!$B$9)^AI$5*(INT((Census!$F99+AI$5))+IF((Census!$F99+AI$5)-INT((Census!$F99+AI$5))&gt;0.5,1,0)),Assumptions!$B$10))</f>
        <v>0</v>
      </c>
      <c r="AJ99" s="30">
        <f>IF(AJ$5&gt;$B99,0,INDEX(Decrements!$G$6:$G$58,Census!$G99+AJ$5-18)/INDEX(Decrements!$G$6:$G$58,Census!$G99-17)*(INDEX(Decrements!$D$6:$D$58,Census!$G99+AJ$5-18)+IF(AJ$5=$B99,INDEX(Decrements!$F$6:$F$58,Census!$G99+AJ$5-18),0)+INDEX(Decrements!$E$6:$E$58,Census!$G99+AJ$5-18)*IF((Census!$F99+AJ$5)&gt;=Assumptions!$B$11,1,0))*MIN(15/26*Census!$D99*(1+Assumptions!$B$9)^AJ$5*(INT((Census!$F99+AJ$5))+IF((Census!$F99+AJ$5)-INT((Census!$F99+AJ$5))&gt;0.5,1,0)),Assumptions!$B$10))</f>
        <v>0</v>
      </c>
      <c r="AK99" s="30">
        <f>IF(AK$5&gt;$B99,0,INDEX(Decrements!$G$6:$G$58,Census!$G99+AK$5-18)/INDEX(Decrements!$G$6:$G$58,Census!$G99-17)*(INDEX(Decrements!$D$6:$D$58,Census!$G99+AK$5-18)+IF(AK$5=$B99,INDEX(Decrements!$F$6:$F$58,Census!$G99+AK$5-18),0)+INDEX(Decrements!$E$6:$E$58,Census!$G99+AK$5-18)*IF((Census!$F99+AK$5)&gt;=Assumptions!$B$11,1,0))*MIN(15/26*Census!$D99*(1+Assumptions!$B$9)^AK$5*(INT((Census!$F99+AK$5))+IF((Census!$F99+AK$5)-INT((Census!$F99+AK$5))&gt;0.5,1,0)),Assumptions!$B$10))</f>
        <v>0</v>
      </c>
      <c r="AL99" s="30">
        <f>IF(AL$5&gt;$B99,0,INDEX(Decrements!$G$6:$G$58,Census!$G99+AL$5-18)/INDEX(Decrements!$G$6:$G$58,Census!$G99-17)*(INDEX(Decrements!$D$6:$D$58,Census!$G99+AL$5-18)+IF(AL$5=$B99,INDEX(Decrements!$F$6:$F$58,Census!$G99+AL$5-18),0)+INDEX(Decrements!$E$6:$E$58,Census!$G99+AL$5-18)*IF((Census!$F99+AL$5)&gt;=Assumptions!$B$11,1,0))*MIN(15/26*Census!$D99*(1+Assumptions!$B$9)^AL$5*(INT((Census!$F99+AL$5))+IF((Census!$F99+AL$5)-INT((Census!$F99+AL$5))&gt;0.5,1,0)),Assumptions!$B$10))</f>
        <v>0</v>
      </c>
      <c r="AM99" s="30">
        <f>IF(AM$5&gt;$B99,0,INDEX(Decrements!$G$6:$G$58,Census!$G99+AM$5-18)/INDEX(Decrements!$G$6:$G$58,Census!$G99-17)*(INDEX(Decrements!$D$6:$D$58,Census!$G99+AM$5-18)+IF(AM$5=$B99,INDEX(Decrements!$F$6:$F$58,Census!$G99+AM$5-18),0)+INDEX(Decrements!$E$6:$E$58,Census!$G99+AM$5-18)*IF((Census!$F99+AM$5)&gt;=Assumptions!$B$11,1,0))*MIN(15/26*Census!$D99*(1+Assumptions!$B$9)^AM$5*(INT((Census!$F99+AM$5))+IF((Census!$F99+AM$5)-INT((Census!$F99+AM$5))&gt;0.5,1,0)),Assumptions!$B$10))</f>
        <v>0</v>
      </c>
      <c r="AN99" s="30">
        <f>IF(AN$5&gt;$B99,0,INDEX(Decrements!$G$6:$G$58,Census!$G99+AN$5-18)/INDEX(Decrements!$G$6:$G$58,Census!$G99-17)*(INDEX(Decrements!$D$6:$D$58,Census!$G99+AN$5-18)+IF(AN$5=$B99,INDEX(Decrements!$F$6:$F$58,Census!$G99+AN$5-18),0)+INDEX(Decrements!$E$6:$E$58,Census!$G99+AN$5-18)*IF((Census!$F99+AN$5)&gt;=Assumptions!$B$11,1,0))*MIN(15/26*Census!$D99*(1+Assumptions!$B$9)^AN$5*(INT((Census!$F99+AN$5))+IF((Census!$F99+AN$5)-INT((Census!$F99+AN$5))&gt;0.5,1,0)),Assumptions!$B$10))</f>
        <v>0</v>
      </c>
      <c r="AO99" s="30">
        <f>IF(AO$5&gt;$B99,0,INDEX(Decrements!$G$6:$G$58,Census!$G99+AO$5-18)/INDEX(Decrements!$G$6:$G$58,Census!$G99-17)*(INDEX(Decrements!$D$6:$D$58,Census!$G99+AO$5-18)+IF(AO$5=$B99,INDEX(Decrements!$F$6:$F$58,Census!$G99+AO$5-18),0)+INDEX(Decrements!$E$6:$E$58,Census!$G99+AO$5-18)*IF((Census!$F99+AO$5)&gt;=Assumptions!$B$11,1,0))*MIN(15/26*Census!$D99*(1+Assumptions!$B$9)^AO$5*(INT((Census!$F99+AO$5))+IF((Census!$F99+AO$5)-INT((Census!$F99+AO$5))&gt;0.5,1,0)),Assumptions!$B$10))</f>
        <v>0</v>
      </c>
      <c r="AP99" s="30">
        <f>IF(AP$5&gt;$B99,0,INDEX(Decrements!$G$6:$G$58,Census!$G99+AP$5-18)/INDEX(Decrements!$G$6:$G$58,Census!$G99-17)*(INDEX(Decrements!$D$6:$D$58,Census!$G99+AP$5-18)+IF(AP$5=$B99,INDEX(Decrements!$F$6:$F$58,Census!$G99+AP$5-18),0)+INDEX(Decrements!$E$6:$E$58,Census!$G99+AP$5-18)*IF((Census!$F99+AP$5)&gt;=Assumptions!$B$11,1,0))*MIN(15/26*Census!$D99*(1+Assumptions!$B$9)^AP$5*(INT((Census!$F99+AP$5))+IF((Census!$F99+AP$5)-INT((Census!$F99+AP$5))&gt;0.5,1,0)),Assumptions!$B$10))</f>
        <v>0</v>
      </c>
      <c r="AQ99" s="30">
        <f>IF(AQ$5&gt;$B99,0,INDEX(Decrements!$G$6:$G$58,Census!$G99+AQ$5-18)/INDEX(Decrements!$G$6:$G$58,Census!$G99-17)*(INDEX(Decrements!$D$6:$D$58,Census!$G99+AQ$5-18)+IF(AQ$5=$B99,INDEX(Decrements!$F$6:$F$58,Census!$G99+AQ$5-18),0)+INDEX(Decrements!$E$6:$E$58,Census!$G99+AQ$5-18)*IF((Census!$F99+AQ$5)&gt;=Assumptions!$B$11,1,0))*MIN(15/26*Census!$D99*(1+Assumptions!$B$9)^AQ$5*(INT((Census!$F99+AQ$5))+IF((Census!$F99+AQ$5)-INT((Census!$F99+AQ$5))&gt;0.5,1,0)),Assumptions!$B$10))</f>
        <v>0</v>
      </c>
      <c r="AR99" s="30">
        <f>IF(AR$5&gt;$B99,0,INDEX(Decrements!$G$6:$G$58,Census!$G99+AR$5-18)/INDEX(Decrements!$G$6:$G$58,Census!$G99-17)*(INDEX(Decrements!$D$6:$D$58,Census!$G99+AR$5-18)+IF(AR$5=$B99,INDEX(Decrements!$F$6:$F$58,Census!$G99+AR$5-18),0)+INDEX(Decrements!$E$6:$E$58,Census!$G99+AR$5-18)*IF((Census!$F99+AR$5)&gt;=Assumptions!$B$11,1,0))*MIN(15/26*Census!$D99*(1+Assumptions!$B$9)^AR$5*(INT((Census!$F99+AR$5))+IF((Census!$F99+AR$5)-INT((Census!$F99+AR$5))&gt;0.5,1,0)),Assumptions!$B$10))</f>
        <v>0</v>
      </c>
      <c r="AS99" s="30">
        <f>IF(AS$5&gt;$B99,0,INDEX(Decrements!$G$6:$G$58,Census!$G99+AS$5-18)/INDEX(Decrements!$G$6:$G$58,Census!$G99-17)*(INDEX(Decrements!$D$6:$D$58,Census!$G99+AS$5-18)+IF(AS$5=$B99,INDEX(Decrements!$F$6:$F$58,Census!$G99+AS$5-18),0)+INDEX(Decrements!$E$6:$E$58,Census!$G99+AS$5-18)*IF((Census!$F99+AS$5)&gt;=Assumptions!$B$11,1,0))*MIN(15/26*Census!$D99*(1+Assumptions!$B$9)^AS$5*(INT((Census!$F99+AS$5))+IF((Census!$F99+AS$5)-INT((Census!$F99+AS$5))&gt;0.5,1,0)),Assumptions!$B$10))</f>
        <v>0</v>
      </c>
      <c r="AT99" s="30">
        <f>IF(AT$5&gt;$B99,0,INDEX(Decrements!$G$6:$G$58,Census!$G99+AT$5-18)/INDEX(Decrements!$G$6:$G$58,Census!$G99-17)*(INDEX(Decrements!$D$6:$D$58,Census!$G99+AT$5-18)+IF(AT$5=$B99,INDEX(Decrements!$F$6:$F$58,Census!$G99+AT$5-18),0)+INDEX(Decrements!$E$6:$E$58,Census!$G99+AT$5-18)*IF((Census!$F99+AT$5)&gt;=Assumptions!$B$11,1,0))*MIN(15/26*Census!$D99*(1+Assumptions!$B$9)^AT$5*(INT((Census!$F99+AT$5))+IF((Census!$F99+AT$5)-INT((Census!$F99+AT$5))&gt;0.5,1,0)),Assumptions!$B$10))</f>
        <v>0</v>
      </c>
      <c r="AU99" s="30">
        <f>IF(AU$5&gt;$B99,0,INDEX(Decrements!$G$6:$G$58,Census!$G99+AU$5-18)/INDEX(Decrements!$G$6:$G$58,Census!$G99-17)*(INDEX(Decrements!$D$6:$D$58,Census!$G99+AU$5-18)+IF(AU$5=$B99,INDEX(Decrements!$F$6:$F$58,Census!$G99+AU$5-18),0)+INDEX(Decrements!$E$6:$E$58,Census!$G99+AU$5-18)*IF((Census!$F99+AU$5)&gt;=Assumptions!$B$11,1,0))*MIN(15/26*Census!$D99*(1+Assumptions!$B$9)^AU$5*(INT((Census!$F99+AU$5))+IF((Census!$F99+AU$5)-INT((Census!$F99+AU$5))&gt;0.5,1,0)),Assumptions!$B$10))</f>
        <v>0</v>
      </c>
    </row>
    <row r="100" spans="1:47" x14ac:dyDescent="0.3">
      <c r="A100" s="10" t="str">
        <f>Census!A100</f>
        <v>E095</v>
      </c>
      <c r="B100" s="29">
        <f>Census!H100</f>
        <v>35</v>
      </c>
      <c r="C100" s="30">
        <f>IF(C$5&gt;$B100,0,INDEX(Decrements!$G$6:$G$58,Census!$G100+C$5-18)/INDEX(Decrements!$G$6:$G$58,Census!$G100-17)*(INDEX(Decrements!$D$6:$D$58,Census!$G100+C$5-18)+IF(C$5=$B100,INDEX(Decrements!$F$6:$F$58,Census!$G100+C$5-18),0)+INDEX(Decrements!$E$6:$E$58,Census!$G100+C$5-18)*IF((Census!$F100+C$5)&gt;=Assumptions!$B$11,1,0))*MIN(15/26*Census!$D100*(1+Assumptions!$B$9)^C$5*(INT((Census!$F100+C$5))+IF((Census!$F100+C$5)-INT((Census!$F100+C$5))&gt;0.5,1,0)),Assumptions!$B$10))</f>
        <v>48.580392062983378</v>
      </c>
      <c r="D100" s="30">
        <f>IF(D$5&gt;$B100,0,INDEX(Decrements!$G$6:$G$58,Census!$G100+D$5-18)/INDEX(Decrements!$G$6:$G$58,Census!$G100-17)*(INDEX(Decrements!$D$6:$D$58,Census!$G100+D$5-18)+IF(D$5=$B100,INDEX(Decrements!$F$6:$F$58,Census!$G100+D$5-18),0)+INDEX(Decrements!$E$6:$E$58,Census!$G100+D$5-18)*IF((Census!$F100+D$5)&gt;=Assumptions!$B$11,1,0))*MIN(15/26*Census!$D100*(1+Assumptions!$B$9)^D$5*(INT((Census!$F100+D$5))+IF((Census!$F100+D$5)-INT((Census!$F100+D$5))&gt;0.5,1,0)),Assumptions!$B$10))</f>
        <v>61.577998581854828</v>
      </c>
      <c r="E100" s="30">
        <f>IF(E$5&gt;$B100,0,INDEX(Decrements!$G$6:$G$58,Census!$G100+E$5-18)/INDEX(Decrements!$G$6:$G$58,Census!$G100-17)*(INDEX(Decrements!$D$6:$D$58,Census!$G100+E$5-18)+IF(E$5=$B100,INDEX(Decrements!$F$6:$F$58,Census!$G100+E$5-18),0)+INDEX(Decrements!$E$6:$E$58,Census!$G100+E$5-18)*IF((Census!$F100+E$5)&gt;=Assumptions!$B$11,1,0))*MIN(15/26*Census!$D100*(1+Assumptions!$B$9)^E$5*(INT((Census!$F100+E$5))+IF((Census!$F100+E$5)-INT((Census!$F100+E$5))&gt;0.5,1,0)),Assumptions!$B$10))</f>
        <v>17687.612509393879</v>
      </c>
      <c r="F100" s="30">
        <f>IF(F$5&gt;$B100,0,INDEX(Decrements!$G$6:$G$58,Census!$G100+F$5-18)/INDEX(Decrements!$G$6:$G$58,Census!$G100-17)*(INDEX(Decrements!$D$6:$D$58,Census!$G100+F$5-18)+IF(F$5=$B100,INDEX(Decrements!$F$6:$F$58,Census!$G100+F$5-18),0)+INDEX(Decrements!$E$6:$E$58,Census!$G100+F$5-18)*IF((Census!$F100+F$5)&gt;=Assumptions!$B$11,1,0))*MIN(15/26*Census!$D100*(1+Assumptions!$B$9)^F$5*(INT((Census!$F100+F$5))+IF((Census!$F100+F$5)-INT((Census!$F100+F$5))&gt;0.5,1,0)),Assumptions!$B$10))</f>
        <v>19474.546031636983</v>
      </c>
      <c r="G100" s="30">
        <f>IF(G$5&gt;$B100,0,INDEX(Decrements!$G$6:$G$58,Census!$G100+G$5-18)/INDEX(Decrements!$G$6:$G$58,Census!$G100-17)*(INDEX(Decrements!$D$6:$D$58,Census!$G100+G$5-18)+IF(G$5=$B100,INDEX(Decrements!$F$6:$F$58,Census!$G100+G$5-18),0)+INDEX(Decrements!$E$6:$E$58,Census!$G100+G$5-18)*IF((Census!$F100+G$5)&gt;=Assumptions!$B$11,1,0))*MIN(15/26*Census!$D100*(1+Assumptions!$B$9)^G$5*(INT((Census!$F100+G$5))+IF((Census!$F100+G$5)-INT((Census!$F100+G$5))&gt;0.5,1,0)),Assumptions!$B$10))</f>
        <v>20846.146769341762</v>
      </c>
      <c r="H100" s="30">
        <f>IF(H$5&gt;$B100,0,INDEX(Decrements!$G$6:$G$58,Census!$G100+H$5-18)/INDEX(Decrements!$G$6:$G$58,Census!$G100-17)*(INDEX(Decrements!$D$6:$D$58,Census!$G100+H$5-18)+IF(H$5=$B100,INDEX(Decrements!$F$6:$F$58,Census!$G100+H$5-18),0)+INDEX(Decrements!$E$6:$E$58,Census!$G100+H$5-18)*IF((Census!$F100+H$5)&gt;=Assumptions!$B$11,1,0))*MIN(15/26*Census!$D100*(1+Assumptions!$B$9)^H$5*(INT((Census!$F100+H$5))+IF((Census!$F100+H$5)-INT((Census!$F100+H$5))&gt;0.5,1,0)),Assumptions!$B$10))</f>
        <v>16059.321089537998</v>
      </c>
      <c r="I100" s="30">
        <f>IF(I$5&gt;$B100,0,INDEX(Decrements!$G$6:$G$58,Census!$G100+I$5-18)/INDEX(Decrements!$G$6:$G$58,Census!$G100-17)*(INDEX(Decrements!$D$6:$D$58,Census!$G100+I$5-18)+IF(I$5=$B100,INDEX(Decrements!$F$6:$F$58,Census!$G100+I$5-18),0)+INDEX(Decrements!$E$6:$E$58,Census!$G100+I$5-18)*IF((Census!$F100+I$5)&gt;=Assumptions!$B$11,1,0))*MIN(15/26*Census!$D100*(1+Assumptions!$B$9)^I$5*(INT((Census!$F100+I$5))+IF((Census!$F100+I$5)-INT((Census!$F100+I$5))&gt;0.5,1,0)),Assumptions!$B$10))</f>
        <v>17357.552127895593</v>
      </c>
      <c r="J100" s="30">
        <f>IF(J$5&gt;$B100,0,INDEX(Decrements!$G$6:$G$58,Census!$G100+J$5-18)/INDEX(Decrements!$G$6:$G$58,Census!$G100-17)*(INDEX(Decrements!$D$6:$D$58,Census!$G100+J$5-18)+IF(J$5=$B100,INDEX(Decrements!$F$6:$F$58,Census!$G100+J$5-18),0)+INDEX(Decrements!$E$6:$E$58,Census!$G100+J$5-18)*IF((Census!$F100+J$5)&gt;=Assumptions!$B$11,1,0))*MIN(15/26*Census!$D100*(1+Assumptions!$B$9)^J$5*(INT((Census!$F100+J$5))+IF((Census!$F100+J$5)-INT((Census!$F100+J$5))&gt;0.5,1,0)),Assumptions!$B$10))</f>
        <v>18528.982334090739</v>
      </c>
      <c r="K100" s="30">
        <f>IF(K$5&gt;$B100,0,INDEX(Decrements!$G$6:$G$58,Census!$G100+K$5-18)/INDEX(Decrements!$G$6:$G$58,Census!$G100-17)*(INDEX(Decrements!$D$6:$D$58,Census!$G100+K$5-18)+IF(K$5=$B100,INDEX(Decrements!$F$6:$F$58,Census!$G100+K$5-18),0)+INDEX(Decrements!$E$6:$E$58,Census!$G100+K$5-18)*IF((Census!$F100+K$5)&gt;=Assumptions!$B$11,1,0))*MIN(15/26*Census!$D100*(1+Assumptions!$B$9)^K$5*(INT((Census!$F100+K$5))+IF((Census!$F100+K$5)-INT((Census!$F100+K$5))&gt;0.5,1,0)),Assumptions!$B$10))</f>
        <v>19581.51760046215</v>
      </c>
      <c r="L100" s="30">
        <f>IF(L$5&gt;$B100,0,INDEX(Decrements!$G$6:$G$58,Census!$G100+L$5-18)/INDEX(Decrements!$G$6:$G$58,Census!$G100-17)*(INDEX(Decrements!$D$6:$D$58,Census!$G100+L$5-18)+IF(L$5=$B100,INDEX(Decrements!$F$6:$F$58,Census!$G100+L$5-18),0)+INDEX(Decrements!$E$6:$E$58,Census!$G100+L$5-18)*IF((Census!$F100+L$5)&gt;=Assumptions!$B$11,1,0))*MIN(15/26*Census!$D100*(1+Assumptions!$B$9)^L$5*(INT((Census!$F100+L$5))+IF((Census!$F100+L$5)-INT((Census!$F100+L$5))&gt;0.5,1,0)),Assumptions!$B$10))</f>
        <v>20522.635740530837</v>
      </c>
      <c r="M100" s="30">
        <f>IF(M$5&gt;$B100,0,INDEX(Decrements!$G$6:$G$58,Census!$G100+M$5-18)/INDEX(Decrements!$G$6:$G$58,Census!$G100-17)*(INDEX(Decrements!$D$6:$D$58,Census!$G100+M$5-18)+IF(M$5=$B100,INDEX(Decrements!$F$6:$F$58,Census!$G100+M$5-18),0)+INDEX(Decrements!$E$6:$E$58,Census!$G100+M$5-18)*IF((Census!$F100+M$5)&gt;=Assumptions!$B$11,1,0))*MIN(15/26*Census!$D100*(1+Assumptions!$B$9)^M$5*(INT((Census!$F100+M$5))+IF((Census!$F100+M$5)-INT((Census!$F100+M$5))&gt;0.5,1,0)),Assumptions!$B$10))</f>
        <v>15586.084763822726</v>
      </c>
      <c r="N100" s="30">
        <f>IF(N$5&gt;$B100,0,INDEX(Decrements!$G$6:$G$58,Census!$G100+N$5-18)/INDEX(Decrements!$G$6:$G$58,Census!$G100-17)*(INDEX(Decrements!$D$6:$D$58,Census!$G100+N$5-18)+IF(N$5=$B100,INDEX(Decrements!$F$6:$F$58,Census!$G100+N$5-18),0)+INDEX(Decrements!$E$6:$E$58,Census!$G100+N$5-18)*IF((Census!$F100+N$5)&gt;=Assumptions!$B$11,1,0))*MIN(15/26*Census!$D100*(1+Assumptions!$B$9)^N$5*(INT((Census!$F100+N$5))+IF((Census!$F100+N$5)-INT((Census!$F100+N$5))&gt;0.5,1,0)),Assumptions!$B$10))</f>
        <v>16672.252967963559</v>
      </c>
      <c r="O100" s="30">
        <f>IF(O$5&gt;$B100,0,INDEX(Decrements!$G$6:$G$58,Census!$G100+O$5-18)/INDEX(Decrements!$G$6:$G$58,Census!$G100-17)*(INDEX(Decrements!$D$6:$D$58,Census!$G100+O$5-18)+IF(O$5=$B100,INDEX(Decrements!$F$6:$F$58,Census!$G100+O$5-18),0)+INDEX(Decrements!$E$6:$E$58,Census!$G100+O$5-18)*IF((Census!$F100+O$5)&gt;=Assumptions!$B$11,1,0))*MIN(15/26*Census!$D100*(1+Assumptions!$B$9)^O$5*(INT((Census!$F100+O$5))+IF((Census!$F100+O$5)-INT((Census!$F100+O$5))&gt;0.5,1,0)),Assumptions!$B$10))</f>
        <v>17743.255853068436</v>
      </c>
      <c r="P100" s="30">
        <f>IF(P$5&gt;$B100,0,INDEX(Decrements!$G$6:$G$58,Census!$G100+P$5-18)/INDEX(Decrements!$G$6:$G$58,Census!$G100-17)*(INDEX(Decrements!$D$6:$D$58,Census!$G100+P$5-18)+IF(P$5=$B100,INDEX(Decrements!$F$6:$F$58,Census!$G100+P$5-18),0)+INDEX(Decrements!$E$6:$E$58,Census!$G100+P$5-18)*IF((Census!$F100+P$5)&gt;=Assumptions!$B$11,1,0))*MIN(15/26*Census!$D100*(1+Assumptions!$B$9)^P$5*(INT((Census!$F100+P$5))+IF((Census!$F100+P$5)-INT((Census!$F100+P$5))&gt;0.5,1,0)),Assumptions!$B$10))</f>
        <v>18799.28522543982</v>
      </c>
      <c r="Q100" s="30">
        <f>IF(Q$5&gt;$B100,0,INDEX(Decrements!$G$6:$G$58,Census!$G100+Q$5-18)/INDEX(Decrements!$G$6:$G$58,Census!$G100-17)*(INDEX(Decrements!$D$6:$D$58,Census!$G100+Q$5-18)+IF(Q$5=$B100,INDEX(Decrements!$F$6:$F$58,Census!$G100+Q$5-18),0)+INDEX(Decrements!$E$6:$E$58,Census!$G100+Q$5-18)*IF((Census!$F100+Q$5)&gt;=Assumptions!$B$11,1,0))*MIN(15/26*Census!$D100*(1+Assumptions!$B$9)^Q$5*(INT((Census!$F100+Q$5))+IF((Census!$F100+Q$5)-INT((Census!$F100+Q$5))&gt;0.5,1,0)),Assumptions!$B$10))</f>
        <v>19840.534180790102</v>
      </c>
      <c r="R100" s="30">
        <f>IF(R$5&gt;$B100,0,INDEX(Decrements!$G$6:$G$58,Census!$G100+R$5-18)/INDEX(Decrements!$G$6:$G$58,Census!$G100-17)*(INDEX(Decrements!$D$6:$D$58,Census!$G100+R$5-18)+IF(R$5=$B100,INDEX(Decrements!$F$6:$F$58,Census!$G100+R$5-18),0)+INDEX(Decrements!$E$6:$E$58,Census!$G100+R$5-18)*IF((Census!$F100+R$5)&gt;=Assumptions!$B$11,1,0))*MIN(15/26*Census!$D100*(1+Assumptions!$B$9)^R$5*(INT((Census!$F100+R$5))+IF((Census!$F100+R$5)-INT((Census!$F100+R$5))&gt;0.5,1,0)),Assumptions!$B$10))</f>
        <v>13171.917359824442</v>
      </c>
      <c r="S100" s="30">
        <f>IF(S$5&gt;$B100,0,INDEX(Decrements!$G$6:$G$58,Census!$G100+S$5-18)/INDEX(Decrements!$G$6:$G$58,Census!$G100-17)*(INDEX(Decrements!$D$6:$D$58,Census!$G100+S$5-18)+IF(S$5=$B100,INDEX(Decrements!$F$6:$F$58,Census!$G100+S$5-18),0)+INDEX(Decrements!$E$6:$E$58,Census!$G100+S$5-18)*IF((Census!$F100+S$5)&gt;=Assumptions!$B$11,1,0))*MIN(15/26*Census!$D100*(1+Assumptions!$B$9)^S$5*(INT((Census!$F100+S$5))+IF((Census!$F100+S$5)-INT((Census!$F100+S$5))&gt;0.5,1,0)),Assumptions!$B$10))</f>
        <v>14270.974577428169</v>
      </c>
      <c r="T100" s="30">
        <f>IF(T$5&gt;$B100,0,INDEX(Decrements!$G$6:$G$58,Census!$G100+T$5-18)/INDEX(Decrements!$G$6:$G$58,Census!$G100-17)*(INDEX(Decrements!$D$6:$D$58,Census!$G100+T$5-18)+IF(T$5=$B100,INDEX(Decrements!$F$6:$F$58,Census!$G100+T$5-18),0)+INDEX(Decrements!$E$6:$E$58,Census!$G100+T$5-18)*IF((Census!$F100+T$5)&gt;=Assumptions!$B$11,1,0))*MIN(15/26*Census!$D100*(1+Assumptions!$B$9)^T$5*(INT((Census!$F100+T$5))+IF((Census!$F100+T$5)-INT((Census!$F100+T$5))&gt;0.5,1,0)),Assumptions!$B$10))</f>
        <v>14930.123705695316</v>
      </c>
      <c r="U100" s="30">
        <f>IF(U$5&gt;$B100,0,INDEX(Decrements!$G$6:$G$58,Census!$G100+U$5-18)/INDEX(Decrements!$G$6:$G$58,Census!$G100-17)*(INDEX(Decrements!$D$6:$D$58,Census!$G100+U$5-18)+IF(U$5=$B100,INDEX(Decrements!$F$6:$F$58,Census!$G100+U$5-18),0)+INDEX(Decrements!$E$6:$E$58,Census!$G100+U$5-18)*IF((Census!$F100+U$5)&gt;=Assumptions!$B$11,1,0))*MIN(15/26*Census!$D100*(1+Assumptions!$B$9)^U$5*(INT((Census!$F100+U$5))+IF((Census!$F100+U$5)-INT((Census!$F100+U$5))&gt;0.5,1,0)),Assumptions!$B$10))</f>
        <v>14191.65090562264</v>
      </c>
      <c r="V100" s="30">
        <f>IF(V$5&gt;$B100,0,INDEX(Decrements!$G$6:$G$58,Census!$G100+V$5-18)/INDEX(Decrements!$G$6:$G$58,Census!$G100-17)*(INDEX(Decrements!$D$6:$D$58,Census!$G100+V$5-18)+IF(V$5=$B100,INDEX(Decrements!$F$6:$F$58,Census!$G100+V$5-18),0)+INDEX(Decrements!$E$6:$E$58,Census!$G100+V$5-18)*IF((Census!$F100+V$5)&gt;=Assumptions!$B$11,1,0))*MIN(15/26*Census!$D100*(1+Assumptions!$B$9)^V$5*(INT((Census!$F100+V$5))+IF((Census!$F100+V$5)-INT((Census!$F100+V$5))&gt;0.5,1,0)),Assumptions!$B$10))</f>
        <v>13490.934524052454</v>
      </c>
      <c r="W100" s="30">
        <f>IF(W$5&gt;$B100,0,INDEX(Decrements!$G$6:$G$58,Census!$G100+W$5-18)/INDEX(Decrements!$G$6:$G$58,Census!$G100-17)*(INDEX(Decrements!$D$6:$D$58,Census!$G100+W$5-18)+IF(W$5=$B100,INDEX(Decrements!$F$6:$F$58,Census!$G100+W$5-18),0)+INDEX(Decrements!$E$6:$E$58,Census!$G100+W$5-18)*IF((Census!$F100+W$5)&gt;=Assumptions!$B$11,1,0))*MIN(15/26*Census!$D100*(1+Assumptions!$B$9)^W$5*(INT((Census!$F100+W$5))+IF((Census!$F100+W$5)-INT((Census!$F100+W$5))&gt;0.5,1,0)),Assumptions!$B$10))</f>
        <v>7886.4614664885903</v>
      </c>
      <c r="X100" s="30">
        <f>IF(X$5&gt;$B100,0,INDEX(Decrements!$G$6:$G$58,Census!$G100+X$5-18)/INDEX(Decrements!$G$6:$G$58,Census!$G100-17)*(INDEX(Decrements!$D$6:$D$58,Census!$G100+X$5-18)+IF(X$5=$B100,INDEX(Decrements!$F$6:$F$58,Census!$G100+X$5-18),0)+INDEX(Decrements!$E$6:$E$58,Census!$G100+X$5-18)*IF((Census!$F100+X$5)&gt;=Assumptions!$B$11,1,0))*MIN(15/26*Census!$D100*(1+Assumptions!$B$9)^X$5*(INT((Census!$F100+X$5))+IF((Census!$F100+X$5)-INT((Census!$F100+X$5))&gt;0.5,1,0)),Assumptions!$B$10))</f>
        <v>7670.5941129286894</v>
      </c>
      <c r="Y100" s="30">
        <f>IF(Y$5&gt;$B100,0,INDEX(Decrements!$G$6:$G$58,Census!$G100+Y$5-18)/INDEX(Decrements!$G$6:$G$58,Census!$G100-17)*(INDEX(Decrements!$D$6:$D$58,Census!$G100+Y$5-18)+IF(Y$5=$B100,INDEX(Decrements!$F$6:$F$58,Census!$G100+Y$5-18),0)+INDEX(Decrements!$E$6:$E$58,Census!$G100+Y$5-18)*IF((Census!$F100+Y$5)&gt;=Assumptions!$B$11,1,0))*MIN(15/26*Census!$D100*(1+Assumptions!$B$9)^Y$5*(INT((Census!$F100+Y$5))+IF((Census!$F100+Y$5)-INT((Census!$F100+Y$5))&gt;0.5,1,0)),Assumptions!$B$10))</f>
        <v>7462.7625338974985</v>
      </c>
      <c r="Z100" s="30">
        <f>IF(Z$5&gt;$B100,0,INDEX(Decrements!$G$6:$G$58,Census!$G100+Z$5-18)/INDEX(Decrements!$G$6:$G$58,Census!$G100-17)*(INDEX(Decrements!$D$6:$D$58,Census!$G100+Z$5-18)+IF(Z$5=$B100,INDEX(Decrements!$F$6:$F$58,Census!$G100+Z$5-18),0)+INDEX(Decrements!$E$6:$E$58,Census!$G100+Z$5-18)*IF((Census!$F100+Z$5)&gt;=Assumptions!$B$11,1,0))*MIN(15/26*Census!$D100*(1+Assumptions!$B$9)^Z$5*(INT((Census!$F100+Z$5))+IF((Census!$F100+Z$5)-INT((Census!$F100+Z$5))&gt;0.5,1,0)),Assumptions!$B$10))</f>
        <v>7262.8025399925082</v>
      </c>
      <c r="AA100" s="30">
        <f>IF(AA$5&gt;$B100,0,INDEX(Decrements!$G$6:$G$58,Census!$G100+AA$5-18)/INDEX(Decrements!$G$6:$G$58,Census!$G100-17)*(INDEX(Decrements!$D$6:$D$58,Census!$G100+AA$5-18)+IF(AA$5=$B100,INDEX(Decrements!$F$6:$F$58,Census!$G100+AA$5-18),0)+INDEX(Decrements!$E$6:$E$58,Census!$G100+AA$5-18)*IF((Census!$F100+AA$5)&gt;=Assumptions!$B$11,1,0))*MIN(15/26*Census!$D100*(1+Assumptions!$B$9)^AA$5*(INT((Census!$F100+AA$5))+IF((Census!$F100+AA$5)-INT((Census!$F100+AA$5))&gt;0.5,1,0)),Assumptions!$B$10))</f>
        <v>7070.5571963902858</v>
      </c>
      <c r="AB100" s="30">
        <f>IF(AB$5&gt;$B100,0,INDEX(Decrements!$G$6:$G$58,Census!$G100+AB$5-18)/INDEX(Decrements!$G$6:$G$58,Census!$G100-17)*(INDEX(Decrements!$D$6:$D$58,Census!$G100+AB$5-18)+IF(AB$5=$B100,INDEX(Decrements!$F$6:$F$58,Census!$G100+AB$5-18),0)+INDEX(Decrements!$E$6:$E$58,Census!$G100+AB$5-18)*IF((Census!$F100+AB$5)&gt;=Assumptions!$B$11,1,0))*MIN(15/26*Census!$D100*(1+Assumptions!$B$9)^AB$5*(INT((Census!$F100+AB$5))+IF((Census!$F100+AB$5)-INT((Census!$F100+AB$5))&gt;0.5,1,0)),Assumptions!$B$10))</f>
        <v>4790.8317813760941</v>
      </c>
      <c r="AC100" s="30">
        <f>IF(AC$5&gt;$B100,0,INDEX(Decrements!$G$6:$G$58,Census!$G100+AC$5-18)/INDEX(Decrements!$G$6:$G$58,Census!$G100-17)*(INDEX(Decrements!$D$6:$D$58,Census!$G100+AC$5-18)+IF(AC$5=$B100,INDEX(Decrements!$F$6:$F$58,Census!$G100+AC$5-18),0)+INDEX(Decrements!$E$6:$E$58,Census!$G100+AC$5-18)*IF((Census!$F100+AC$5)&gt;=Assumptions!$B$11,1,0))*MIN(15/26*Census!$D100*(1+Assumptions!$B$9)^AC$5*(INT((Census!$F100+AC$5))+IF((Census!$F100+AC$5)-INT((Census!$F100+AC$5))&gt;0.5,1,0)),Assumptions!$B$10))</f>
        <v>4731.0075874382119</v>
      </c>
      <c r="AD100" s="30">
        <f>IF(AD$5&gt;$B100,0,INDEX(Decrements!$G$6:$G$58,Census!$G100+AD$5-18)/INDEX(Decrements!$G$6:$G$58,Census!$G100-17)*(INDEX(Decrements!$D$6:$D$58,Census!$G100+AD$5-18)+IF(AD$5=$B100,INDEX(Decrements!$F$6:$F$58,Census!$G100+AD$5-18),0)+INDEX(Decrements!$E$6:$E$58,Census!$G100+AD$5-18)*IF((Census!$F100+AD$5)&gt;=Assumptions!$B$11,1,0))*MIN(15/26*Census!$D100*(1+Assumptions!$B$9)^AD$5*(INT((Census!$F100+AD$5))+IF((Census!$F100+AD$5)-INT((Census!$F100+AD$5))&gt;0.5,1,0)),Assumptions!$B$10))</f>
        <v>4675.0841790484019</v>
      </c>
      <c r="AE100" s="30">
        <f>IF(AE$5&gt;$B100,0,INDEX(Decrements!$G$6:$G$58,Census!$G100+AE$5-18)/INDEX(Decrements!$G$6:$G$58,Census!$G100-17)*(INDEX(Decrements!$D$6:$D$58,Census!$G100+AE$5-18)+IF(AE$5=$B100,INDEX(Decrements!$F$6:$F$58,Census!$G100+AE$5-18),0)+INDEX(Decrements!$E$6:$E$58,Census!$G100+AE$5-18)*IF((Census!$F100+AE$5)&gt;=Assumptions!$B$11,1,0))*MIN(15/26*Census!$D100*(1+Assumptions!$B$9)^AE$5*(INT((Census!$F100+AE$5))+IF((Census!$F100+AE$5)-INT((Census!$F100+AE$5))&gt;0.5,1,0)),Assumptions!$B$10))</f>
        <v>4623.1437534527222</v>
      </c>
      <c r="AF100" s="30">
        <f>IF(AF$5&gt;$B100,0,INDEX(Decrements!$G$6:$G$58,Census!$G100+AF$5-18)/INDEX(Decrements!$G$6:$G$58,Census!$G100-17)*(INDEX(Decrements!$D$6:$D$58,Census!$G100+AF$5-18)+IF(AF$5=$B100,INDEX(Decrements!$F$6:$F$58,Census!$G100+AF$5-18),0)+INDEX(Decrements!$E$6:$E$58,Census!$G100+AF$5-18)*IF((Census!$F100+AF$5)&gt;=Assumptions!$B$11,1,0))*MIN(15/26*Census!$D100*(1+Assumptions!$B$9)^AF$5*(INT((Census!$F100+AF$5))+IF((Census!$F100+AF$5)-INT((Census!$F100+AF$5))&gt;0.5,1,0)),Assumptions!$B$10))</f>
        <v>4575.271220398211</v>
      </c>
      <c r="AG100" s="30">
        <f>IF(AG$5&gt;$B100,0,INDEX(Decrements!$G$6:$G$58,Census!$G100+AG$5-18)/INDEX(Decrements!$G$6:$G$58,Census!$G100-17)*(INDEX(Decrements!$D$6:$D$58,Census!$G100+AG$5-18)+IF(AG$5=$B100,INDEX(Decrements!$F$6:$F$58,Census!$G100+AG$5-18),0)+INDEX(Decrements!$E$6:$E$58,Census!$G100+AG$5-18)*IF((Census!$F100+AG$5)&gt;=Assumptions!$B$11,1,0))*MIN(15/26*Census!$D100*(1+Assumptions!$B$9)^AG$5*(INT((Census!$F100+AG$5))+IF((Census!$F100+AG$5)-INT((Census!$F100+AG$5))&gt;0.5,1,0)),Assumptions!$B$10))</f>
        <v>2672.5908680386019</v>
      </c>
      <c r="AH100" s="30">
        <f>IF(AH$5&gt;$B100,0,INDEX(Decrements!$G$6:$G$58,Census!$G100+AH$5-18)/INDEX(Decrements!$G$6:$G$58,Census!$G100-17)*(INDEX(Decrements!$D$6:$D$58,Census!$G100+AH$5-18)+IF(AH$5=$B100,INDEX(Decrements!$F$6:$F$58,Census!$G100+AH$5-18),0)+INDEX(Decrements!$E$6:$E$58,Census!$G100+AH$5-18)*IF((Census!$F100+AH$5)&gt;=Assumptions!$B$11,1,0))*MIN(15/26*Census!$D100*(1+Assumptions!$B$9)^AH$5*(INT((Census!$F100+AH$5))+IF((Census!$F100+AH$5)-INT((Census!$F100+AH$5))&gt;0.5,1,0)),Assumptions!$B$10))</f>
        <v>2706.2876361671997</v>
      </c>
      <c r="AI100" s="30">
        <f>IF(AI$5&gt;$B100,0,INDEX(Decrements!$G$6:$G$58,Census!$G100+AI$5-18)/INDEX(Decrements!$G$6:$G$58,Census!$G100-17)*(INDEX(Decrements!$D$6:$D$58,Census!$G100+AI$5-18)+IF(AI$5=$B100,INDEX(Decrements!$F$6:$F$58,Census!$G100+AI$5-18),0)+INDEX(Decrements!$E$6:$E$58,Census!$G100+AI$5-18)*IF((Census!$F100+AI$5)&gt;=Assumptions!$B$11,1,0))*MIN(15/26*Census!$D100*(1+Assumptions!$B$9)^AI$5*(INT((Census!$F100+AI$5))+IF((Census!$F100+AI$5)-INT((Census!$F100+AI$5))&gt;0.5,1,0)),Assumptions!$B$10))</f>
        <v>2744.4428979197073</v>
      </c>
      <c r="AJ100" s="30">
        <f>IF(AJ$5&gt;$B100,0,INDEX(Decrements!$G$6:$G$58,Census!$G100+AJ$5-18)/INDEX(Decrements!$G$6:$G$58,Census!$G100-17)*(INDEX(Decrements!$D$6:$D$58,Census!$G100+AJ$5-18)+IF(AJ$5=$B100,INDEX(Decrements!$F$6:$F$58,Census!$G100+AJ$5-18),0)+INDEX(Decrements!$E$6:$E$58,Census!$G100+AJ$5-18)*IF((Census!$F100+AJ$5)&gt;=Assumptions!$B$11,1,0))*MIN(15/26*Census!$D100*(1+Assumptions!$B$9)^AJ$5*(INT((Census!$F100+AJ$5))+IF((Census!$F100+AJ$5)-INT((Census!$F100+AJ$5))&gt;0.5,1,0)),Assumptions!$B$10))</f>
        <v>2787.3159761442744</v>
      </c>
      <c r="AK100" s="30">
        <f>IF(AK$5&gt;$B100,0,INDEX(Decrements!$G$6:$G$58,Census!$G100+AK$5-18)/INDEX(Decrements!$G$6:$G$58,Census!$G100-17)*(INDEX(Decrements!$D$6:$D$58,Census!$G100+AK$5-18)+IF(AK$5=$B100,INDEX(Decrements!$F$6:$F$58,Census!$G100+AK$5-18),0)+INDEX(Decrements!$E$6:$E$58,Census!$G100+AK$5-18)*IF((Census!$F100+AK$5)&gt;=Assumptions!$B$11,1,0))*MIN(15/26*Census!$D100*(1+Assumptions!$B$9)^AK$5*(INT((Census!$F100+AK$5))+IF((Census!$F100+AK$5)-INT((Census!$F100+AK$5))&gt;0.5,1,0)),Assumptions!$B$10))</f>
        <v>175799.21403815402</v>
      </c>
      <c r="AL100" s="30">
        <f>IF(AL$5&gt;$B100,0,INDEX(Decrements!$G$6:$G$58,Census!$G100+AL$5-18)/INDEX(Decrements!$G$6:$G$58,Census!$G100-17)*(INDEX(Decrements!$D$6:$D$58,Census!$G100+AL$5-18)+IF(AL$5=$B100,INDEX(Decrements!$F$6:$F$58,Census!$G100+AL$5-18),0)+INDEX(Decrements!$E$6:$E$58,Census!$G100+AL$5-18)*IF((Census!$F100+AL$5)&gt;=Assumptions!$B$11,1,0))*MIN(15/26*Census!$D100*(1+Assumptions!$B$9)^AL$5*(INT((Census!$F100+AL$5))+IF((Census!$F100+AL$5)-INT((Census!$F100+AL$5))&gt;0.5,1,0)),Assumptions!$B$10))</f>
        <v>0</v>
      </c>
      <c r="AM100" s="30">
        <f>IF(AM$5&gt;$B100,0,INDEX(Decrements!$G$6:$G$58,Census!$G100+AM$5-18)/INDEX(Decrements!$G$6:$G$58,Census!$G100-17)*(INDEX(Decrements!$D$6:$D$58,Census!$G100+AM$5-18)+IF(AM$5=$B100,INDEX(Decrements!$F$6:$F$58,Census!$G100+AM$5-18),0)+INDEX(Decrements!$E$6:$E$58,Census!$G100+AM$5-18)*IF((Census!$F100+AM$5)&gt;=Assumptions!$B$11,1,0))*MIN(15/26*Census!$D100*(1+Assumptions!$B$9)^AM$5*(INT((Census!$F100+AM$5))+IF((Census!$F100+AM$5)-INT((Census!$F100+AM$5))&gt;0.5,1,0)),Assumptions!$B$10))</f>
        <v>0</v>
      </c>
      <c r="AN100" s="30">
        <f>IF(AN$5&gt;$B100,0,INDEX(Decrements!$G$6:$G$58,Census!$G100+AN$5-18)/INDEX(Decrements!$G$6:$G$58,Census!$G100-17)*(INDEX(Decrements!$D$6:$D$58,Census!$G100+AN$5-18)+IF(AN$5=$B100,INDEX(Decrements!$F$6:$F$58,Census!$G100+AN$5-18),0)+INDEX(Decrements!$E$6:$E$58,Census!$G100+AN$5-18)*IF((Census!$F100+AN$5)&gt;=Assumptions!$B$11,1,0))*MIN(15/26*Census!$D100*(1+Assumptions!$B$9)^AN$5*(INT((Census!$F100+AN$5))+IF((Census!$F100+AN$5)-INT((Census!$F100+AN$5))&gt;0.5,1,0)),Assumptions!$B$10))</f>
        <v>0</v>
      </c>
      <c r="AO100" s="30">
        <f>IF(AO$5&gt;$B100,0,INDEX(Decrements!$G$6:$G$58,Census!$G100+AO$5-18)/INDEX(Decrements!$G$6:$G$58,Census!$G100-17)*(INDEX(Decrements!$D$6:$D$58,Census!$G100+AO$5-18)+IF(AO$5=$B100,INDEX(Decrements!$F$6:$F$58,Census!$G100+AO$5-18),0)+INDEX(Decrements!$E$6:$E$58,Census!$G100+AO$5-18)*IF((Census!$F100+AO$5)&gt;=Assumptions!$B$11,1,0))*MIN(15/26*Census!$D100*(1+Assumptions!$B$9)^AO$5*(INT((Census!$F100+AO$5))+IF((Census!$F100+AO$5)-INT((Census!$F100+AO$5))&gt;0.5,1,0)),Assumptions!$B$10))</f>
        <v>0</v>
      </c>
      <c r="AP100" s="30">
        <f>IF(AP$5&gt;$B100,0,INDEX(Decrements!$G$6:$G$58,Census!$G100+AP$5-18)/INDEX(Decrements!$G$6:$G$58,Census!$G100-17)*(INDEX(Decrements!$D$6:$D$58,Census!$G100+AP$5-18)+IF(AP$5=$B100,INDEX(Decrements!$F$6:$F$58,Census!$G100+AP$5-18),0)+INDEX(Decrements!$E$6:$E$58,Census!$G100+AP$5-18)*IF((Census!$F100+AP$5)&gt;=Assumptions!$B$11,1,0))*MIN(15/26*Census!$D100*(1+Assumptions!$B$9)^AP$5*(INT((Census!$F100+AP$5))+IF((Census!$F100+AP$5)-INT((Census!$F100+AP$5))&gt;0.5,1,0)),Assumptions!$B$10))</f>
        <v>0</v>
      </c>
      <c r="AQ100" s="30">
        <f>IF(AQ$5&gt;$B100,0,INDEX(Decrements!$G$6:$G$58,Census!$G100+AQ$5-18)/INDEX(Decrements!$G$6:$G$58,Census!$G100-17)*(INDEX(Decrements!$D$6:$D$58,Census!$G100+AQ$5-18)+IF(AQ$5=$B100,INDEX(Decrements!$F$6:$F$58,Census!$G100+AQ$5-18),0)+INDEX(Decrements!$E$6:$E$58,Census!$G100+AQ$5-18)*IF((Census!$F100+AQ$5)&gt;=Assumptions!$B$11,1,0))*MIN(15/26*Census!$D100*(1+Assumptions!$B$9)^AQ$5*(INT((Census!$F100+AQ$5))+IF((Census!$F100+AQ$5)-INT((Census!$F100+AQ$5))&gt;0.5,1,0)),Assumptions!$B$10))</f>
        <v>0</v>
      </c>
      <c r="AR100" s="30">
        <f>IF(AR$5&gt;$B100,0,INDEX(Decrements!$G$6:$G$58,Census!$G100+AR$5-18)/INDEX(Decrements!$G$6:$G$58,Census!$G100-17)*(INDEX(Decrements!$D$6:$D$58,Census!$G100+AR$5-18)+IF(AR$5=$B100,INDEX(Decrements!$F$6:$F$58,Census!$G100+AR$5-18),0)+INDEX(Decrements!$E$6:$E$58,Census!$G100+AR$5-18)*IF((Census!$F100+AR$5)&gt;=Assumptions!$B$11,1,0))*MIN(15/26*Census!$D100*(1+Assumptions!$B$9)^AR$5*(INT((Census!$F100+AR$5))+IF((Census!$F100+AR$5)-INT((Census!$F100+AR$5))&gt;0.5,1,0)),Assumptions!$B$10))</f>
        <v>0</v>
      </c>
      <c r="AS100" s="30">
        <f>IF(AS$5&gt;$B100,0,INDEX(Decrements!$G$6:$G$58,Census!$G100+AS$5-18)/INDEX(Decrements!$G$6:$G$58,Census!$G100-17)*(INDEX(Decrements!$D$6:$D$58,Census!$G100+AS$5-18)+IF(AS$5=$B100,INDEX(Decrements!$F$6:$F$58,Census!$G100+AS$5-18),0)+INDEX(Decrements!$E$6:$E$58,Census!$G100+AS$5-18)*IF((Census!$F100+AS$5)&gt;=Assumptions!$B$11,1,0))*MIN(15/26*Census!$D100*(1+Assumptions!$B$9)^AS$5*(INT((Census!$F100+AS$5))+IF((Census!$F100+AS$5)-INT((Census!$F100+AS$5))&gt;0.5,1,0)),Assumptions!$B$10))</f>
        <v>0</v>
      </c>
      <c r="AT100" s="30">
        <f>IF(AT$5&gt;$B100,0,INDEX(Decrements!$G$6:$G$58,Census!$G100+AT$5-18)/INDEX(Decrements!$G$6:$G$58,Census!$G100-17)*(INDEX(Decrements!$D$6:$D$58,Census!$G100+AT$5-18)+IF(AT$5=$B100,INDEX(Decrements!$F$6:$F$58,Census!$G100+AT$5-18),0)+INDEX(Decrements!$E$6:$E$58,Census!$G100+AT$5-18)*IF((Census!$F100+AT$5)&gt;=Assumptions!$B$11,1,0))*MIN(15/26*Census!$D100*(1+Assumptions!$B$9)^AT$5*(INT((Census!$F100+AT$5))+IF((Census!$F100+AT$5)-INT((Census!$F100+AT$5))&gt;0.5,1,0)),Assumptions!$B$10))</f>
        <v>0</v>
      </c>
      <c r="AU100" s="30">
        <f>IF(AU$5&gt;$B100,0,INDEX(Decrements!$G$6:$G$58,Census!$G100+AU$5-18)/INDEX(Decrements!$G$6:$G$58,Census!$G100-17)*(INDEX(Decrements!$D$6:$D$58,Census!$G100+AU$5-18)+IF(AU$5=$B100,INDEX(Decrements!$F$6:$F$58,Census!$G100+AU$5-18),0)+INDEX(Decrements!$E$6:$E$58,Census!$G100+AU$5-18)*IF((Census!$F100+AU$5)&gt;=Assumptions!$B$11,1,0))*MIN(15/26*Census!$D100*(1+Assumptions!$B$9)^AU$5*(INT((Census!$F100+AU$5))+IF((Census!$F100+AU$5)-INT((Census!$F100+AU$5))&gt;0.5,1,0)),Assumptions!$B$10))</f>
        <v>0</v>
      </c>
    </row>
    <row r="101" spans="1:47" x14ac:dyDescent="0.3">
      <c r="A101" s="10" t="str">
        <f>Census!A101</f>
        <v>E096</v>
      </c>
      <c r="B101" s="29">
        <f>Census!H101</f>
        <v>26</v>
      </c>
      <c r="C101" s="30">
        <f>IF(C$5&gt;$B101,0,INDEX(Decrements!$G$6:$G$58,Census!$G101+C$5-18)/INDEX(Decrements!$G$6:$G$58,Census!$G101-17)*(INDEX(Decrements!$D$6:$D$58,Census!$G101+C$5-18)+IF(C$5=$B101,INDEX(Decrements!$F$6:$F$58,Census!$G101+C$5-18),0)+INDEX(Decrements!$E$6:$E$58,Census!$G101+C$5-18)*IF((Census!$F101+C$5)&gt;=Assumptions!$B$11,1,0))*MIN(15/26*Census!$D101*(1+Assumptions!$B$9)^C$5*(INT((Census!$F101+C$5))+IF((Census!$F101+C$5)-INT((Census!$F101+C$5))&gt;0.5,1,0)),Assumptions!$B$10))</f>
        <v>26966.88326456134</v>
      </c>
      <c r="D101" s="30">
        <f>IF(D$5&gt;$B101,0,INDEX(Decrements!$G$6:$G$58,Census!$G101+D$5-18)/INDEX(Decrements!$G$6:$G$58,Census!$G101-17)*(INDEX(Decrements!$D$6:$D$58,Census!$G101+D$5-18)+IF(D$5=$B101,INDEX(Decrements!$F$6:$F$58,Census!$G101+D$5-18),0)+INDEX(Decrements!$E$6:$E$58,Census!$G101+D$5-18)*IF((Census!$F101+D$5)&gt;=Assumptions!$B$11,1,0))*MIN(15/26*Census!$D101*(1+Assumptions!$B$9)^D$5*(INT((Census!$F101+D$5))+IF((Census!$F101+D$5)-INT((Census!$F101+D$5))&gt;0.5,1,0)),Assumptions!$B$10))</f>
        <v>20623.439962082564</v>
      </c>
      <c r="E101" s="30">
        <f>IF(E$5&gt;$B101,0,INDEX(Decrements!$G$6:$G$58,Census!$G101+E$5-18)/INDEX(Decrements!$G$6:$G$58,Census!$G101-17)*(INDEX(Decrements!$D$6:$D$58,Census!$G101+E$5-18)+IF(E$5=$B101,INDEX(Decrements!$F$6:$F$58,Census!$G101+E$5-18),0)+INDEX(Decrements!$E$6:$E$58,Census!$G101+E$5-18)*IF((Census!$F101+E$5)&gt;=Assumptions!$B$11,1,0))*MIN(15/26*Census!$D101*(1+Assumptions!$B$9)^E$5*(INT((Census!$F101+E$5))+IF((Census!$F101+E$5)-INT((Census!$F101+E$5))&gt;0.5,1,0)),Assumptions!$B$10))</f>
        <v>22191.966443899637</v>
      </c>
      <c r="F101" s="30">
        <f>IF(F$5&gt;$B101,0,INDEX(Decrements!$G$6:$G$58,Census!$G101+F$5-18)/INDEX(Decrements!$G$6:$G$58,Census!$G101-17)*(INDEX(Decrements!$D$6:$D$58,Census!$G101+F$5-18)+IF(F$5=$B101,INDEX(Decrements!$F$6:$F$58,Census!$G101+F$5-18),0)+INDEX(Decrements!$E$6:$E$58,Census!$G101+F$5-18)*IF((Census!$F101+F$5)&gt;=Assumptions!$B$11,1,0))*MIN(15/26*Census!$D101*(1+Assumptions!$B$9)^F$5*(INT((Census!$F101+F$5))+IF((Census!$F101+F$5)-INT((Census!$F101+F$5))&gt;0.5,1,0)),Assumptions!$B$10))</f>
        <v>23738.663857317468</v>
      </c>
      <c r="G101" s="30">
        <f>IF(G$5&gt;$B101,0,INDEX(Decrements!$G$6:$G$58,Census!$G101+G$5-18)/INDEX(Decrements!$G$6:$G$58,Census!$G101-17)*(INDEX(Decrements!$D$6:$D$58,Census!$G101+G$5-18)+IF(G$5=$B101,INDEX(Decrements!$F$6:$F$58,Census!$G101+G$5-18),0)+INDEX(Decrements!$E$6:$E$58,Census!$G101+G$5-18)*IF((Census!$F101+G$5)&gt;=Assumptions!$B$11,1,0))*MIN(15/26*Census!$D101*(1+Assumptions!$B$9)^G$5*(INT((Census!$F101+G$5))+IF((Census!$F101+G$5)-INT((Census!$F101+G$5))&gt;0.5,1,0)),Assumptions!$B$10))</f>
        <v>25263.806870209897</v>
      </c>
      <c r="H101" s="30">
        <f>IF(H$5&gt;$B101,0,INDEX(Decrements!$G$6:$G$58,Census!$G101+H$5-18)/INDEX(Decrements!$G$6:$G$58,Census!$G101-17)*(INDEX(Decrements!$D$6:$D$58,Census!$G101+H$5-18)+IF(H$5=$B101,INDEX(Decrements!$F$6:$F$58,Census!$G101+H$5-18),0)+INDEX(Decrements!$E$6:$E$58,Census!$G101+H$5-18)*IF((Census!$F101+H$5)&gt;=Assumptions!$B$11,1,0))*MIN(15/26*Census!$D101*(1+Assumptions!$B$9)^H$5*(INT((Census!$F101+H$5))+IF((Census!$F101+H$5)-INT((Census!$F101+H$5))&gt;0.5,1,0)),Assumptions!$B$10))</f>
        <v>26767.671955732902</v>
      </c>
      <c r="I101" s="30">
        <f>IF(I$5&gt;$B101,0,INDEX(Decrements!$G$6:$G$58,Census!$G101+I$5-18)/INDEX(Decrements!$G$6:$G$58,Census!$G101-17)*(INDEX(Decrements!$D$6:$D$58,Census!$G101+I$5-18)+IF(I$5=$B101,INDEX(Decrements!$F$6:$F$58,Census!$G101+I$5-18),0)+INDEX(Decrements!$E$6:$E$58,Census!$G101+I$5-18)*IF((Census!$F101+I$5)&gt;=Assumptions!$B$11,1,0))*MIN(15/26*Census!$D101*(1+Assumptions!$B$9)^I$5*(INT((Census!$F101+I$5))+IF((Census!$F101+I$5)-INT((Census!$F101+I$5))&gt;0.5,1,0)),Assumptions!$B$10))</f>
        <v>17832.473724234009</v>
      </c>
      <c r="J101" s="30">
        <f>IF(J$5&gt;$B101,0,INDEX(Decrements!$G$6:$G$58,Census!$G101+J$5-18)/INDEX(Decrements!$G$6:$G$58,Census!$G101-17)*(INDEX(Decrements!$D$6:$D$58,Census!$G101+J$5-18)+IF(J$5=$B101,INDEX(Decrements!$F$6:$F$58,Census!$G101+J$5-18),0)+INDEX(Decrements!$E$6:$E$58,Census!$G101+J$5-18)*IF((Census!$F101+J$5)&gt;=Assumptions!$B$11,1,0))*MIN(15/26*Census!$D101*(1+Assumptions!$B$9)^J$5*(INT((Census!$F101+J$5))+IF((Census!$F101+J$5)-INT((Census!$F101+J$5))&gt;0.5,1,0)),Assumptions!$B$10))</f>
        <v>19380.22058315112</v>
      </c>
      <c r="K101" s="30">
        <f>IF(K$5&gt;$B101,0,INDEX(Decrements!$G$6:$G$58,Census!$G101+K$5-18)/INDEX(Decrements!$G$6:$G$58,Census!$G101-17)*(INDEX(Decrements!$D$6:$D$58,Census!$G101+K$5-18)+IF(K$5=$B101,INDEX(Decrements!$F$6:$F$58,Census!$G101+K$5-18),0)+INDEX(Decrements!$E$6:$E$58,Census!$G101+K$5-18)*IF((Census!$F101+K$5)&gt;=Assumptions!$B$11,1,0))*MIN(15/26*Census!$D101*(1+Assumptions!$B$9)^K$5*(INT((Census!$F101+K$5))+IF((Census!$F101+K$5)-INT((Census!$F101+K$5))&gt;0.5,1,0)),Assumptions!$B$10))</f>
        <v>20998.908176404049</v>
      </c>
      <c r="L101" s="30">
        <f>IF(L$5&gt;$B101,0,INDEX(Decrements!$G$6:$G$58,Census!$G101+L$5-18)/INDEX(Decrements!$G$6:$G$58,Census!$G101-17)*(INDEX(Decrements!$D$6:$D$58,Census!$G101+L$5-18)+IF(L$5=$B101,INDEX(Decrements!$F$6:$F$58,Census!$G101+L$5-18),0)+INDEX(Decrements!$E$6:$E$58,Census!$G101+L$5-18)*IF((Census!$F101+L$5)&gt;=Assumptions!$B$11,1,0))*MIN(15/26*Census!$D101*(1+Assumptions!$B$9)^L$5*(INT((Census!$F101+L$5))+IF((Census!$F101+L$5)-INT((Census!$F101+L$5))&gt;0.5,1,0)),Assumptions!$B$10))</f>
        <v>22691.665769660089</v>
      </c>
      <c r="M101" s="30">
        <f>IF(M$5&gt;$B101,0,INDEX(Decrements!$G$6:$G$58,Census!$G101+M$5-18)/INDEX(Decrements!$G$6:$G$58,Census!$G101-17)*(INDEX(Decrements!$D$6:$D$58,Census!$G101+M$5-18)+IF(M$5=$B101,INDEX(Decrements!$F$6:$F$58,Census!$G101+M$5-18),0)+INDEX(Decrements!$E$6:$E$58,Census!$G101+M$5-18)*IF((Census!$F101+M$5)&gt;=Assumptions!$B$11,1,0))*MIN(15/26*Census!$D101*(1+Assumptions!$B$9)^M$5*(INT((Census!$F101+M$5))+IF((Census!$F101+M$5)-INT((Census!$F101+M$5))&gt;0.5,1,0)),Assumptions!$B$10))</f>
        <v>24461.807691408823</v>
      </c>
      <c r="N101" s="30">
        <f>IF(N$5&gt;$B101,0,INDEX(Decrements!$G$6:$G$58,Census!$G101+N$5-18)/INDEX(Decrements!$G$6:$G$58,Census!$G101-17)*(INDEX(Decrements!$D$6:$D$58,Census!$G101+N$5-18)+IF(N$5=$B101,INDEX(Decrements!$F$6:$F$58,Census!$G101+N$5-18),0)+INDEX(Decrements!$E$6:$E$58,Census!$G101+N$5-18)*IF((Census!$F101+N$5)&gt;=Assumptions!$B$11,1,0))*MIN(15/26*Census!$D101*(1+Assumptions!$B$9)^N$5*(INT((Census!$F101+N$5))+IF((Census!$F101+N$5)-INT((Census!$F101+N$5))&gt;0.5,1,0)),Assumptions!$B$10))</f>
        <v>16179.155174237772</v>
      </c>
      <c r="O101" s="30">
        <f>IF(O$5&gt;$B101,0,INDEX(Decrements!$G$6:$G$58,Census!$G101+O$5-18)/INDEX(Decrements!$G$6:$G$58,Census!$G101-17)*(INDEX(Decrements!$D$6:$D$58,Census!$G101+O$5-18)+IF(O$5=$B101,INDEX(Decrements!$F$6:$F$58,Census!$G101+O$5-18),0)+INDEX(Decrements!$E$6:$E$58,Census!$G101+O$5-18)*IF((Census!$F101+O$5)&gt;=Assumptions!$B$11,1,0))*MIN(15/26*Census!$D101*(1+Assumptions!$B$9)^O$5*(INT((Census!$F101+O$5))+IF((Census!$F101+O$5)-INT((Census!$F101+O$5))&gt;0.5,1,0)),Assumptions!$B$10))</f>
        <v>17767.714540706009</v>
      </c>
      <c r="P101" s="30">
        <f>IF(P$5&gt;$B101,0,INDEX(Decrements!$G$6:$G$58,Census!$G101+P$5-18)/INDEX(Decrements!$G$6:$G$58,Census!$G101-17)*(INDEX(Decrements!$D$6:$D$58,Census!$G101+P$5-18)+IF(P$5=$B101,INDEX(Decrements!$F$6:$F$58,Census!$G101+P$5-18),0)+INDEX(Decrements!$E$6:$E$58,Census!$G101+P$5-18)*IF((Census!$F101+P$5)&gt;=Assumptions!$B$11,1,0))*MIN(15/26*Census!$D101*(1+Assumptions!$B$9)^P$5*(INT((Census!$F101+P$5))+IF((Census!$F101+P$5)-INT((Census!$F101+P$5))&gt;0.5,1,0)),Assumptions!$B$10))</f>
        <v>19480.914894066744</v>
      </c>
      <c r="Q101" s="30">
        <f>IF(Q$5&gt;$B101,0,INDEX(Decrements!$G$6:$G$58,Census!$G101+Q$5-18)/INDEX(Decrements!$G$6:$G$58,Census!$G101-17)*(INDEX(Decrements!$D$6:$D$58,Census!$G101+Q$5-18)+IF(Q$5=$B101,INDEX(Decrements!$F$6:$F$58,Census!$G101+Q$5-18),0)+INDEX(Decrements!$E$6:$E$58,Census!$G101+Q$5-18)*IF((Census!$F101+Q$5)&gt;=Assumptions!$B$11,1,0))*MIN(15/26*Census!$D101*(1+Assumptions!$B$9)^Q$5*(INT((Census!$F101+Q$5))+IF((Census!$F101+Q$5)-INT((Census!$F101+Q$5))&gt;0.5,1,0)),Assumptions!$B$10))</f>
        <v>21328.803137278381</v>
      </c>
      <c r="R101" s="30">
        <f>IF(R$5&gt;$B101,0,INDEX(Decrements!$G$6:$G$58,Census!$G101+R$5-18)/INDEX(Decrements!$G$6:$G$58,Census!$G101-17)*(INDEX(Decrements!$D$6:$D$58,Census!$G101+R$5-18)+IF(R$5=$B101,INDEX(Decrements!$F$6:$F$58,Census!$G101+R$5-18),0)+INDEX(Decrements!$E$6:$E$58,Census!$G101+R$5-18)*IF((Census!$F101+R$5)&gt;=Assumptions!$B$11,1,0))*MIN(15/26*Census!$D101*(1+Assumptions!$B$9)^R$5*(INT((Census!$F101+R$5))+IF((Census!$F101+R$5)-INT((Census!$F101+R$5))&gt;0.5,1,0)),Assumptions!$B$10))</f>
        <v>23322.386248767783</v>
      </c>
      <c r="S101" s="30">
        <f>IF(S$5&gt;$B101,0,INDEX(Decrements!$G$6:$G$58,Census!$G101+S$5-18)/INDEX(Decrements!$G$6:$G$58,Census!$G101-17)*(INDEX(Decrements!$D$6:$D$58,Census!$G101+S$5-18)+IF(S$5=$B101,INDEX(Decrements!$F$6:$F$58,Census!$G101+S$5-18),0)+INDEX(Decrements!$E$6:$E$58,Census!$G101+S$5-18)*IF((Census!$F101+S$5)&gt;=Assumptions!$B$11,1,0))*MIN(15/26*Census!$D101*(1+Assumptions!$B$9)^S$5*(INT((Census!$F101+S$5))+IF((Census!$F101+S$5)-INT((Census!$F101+S$5))&gt;0.5,1,0)),Assumptions!$B$10))</f>
        <v>17324.494099346266</v>
      </c>
      <c r="T101" s="30">
        <f>IF(T$5&gt;$B101,0,INDEX(Decrements!$G$6:$G$58,Census!$G101+T$5-18)/INDEX(Decrements!$G$6:$G$58,Census!$G101-17)*(INDEX(Decrements!$D$6:$D$58,Census!$G101+T$5-18)+IF(T$5=$B101,INDEX(Decrements!$F$6:$F$58,Census!$G101+T$5-18),0)+INDEX(Decrements!$E$6:$E$58,Census!$G101+T$5-18)*IF((Census!$F101+T$5)&gt;=Assumptions!$B$11,1,0))*MIN(15/26*Census!$D101*(1+Assumptions!$B$9)^T$5*(INT((Census!$F101+T$5))+IF((Census!$F101+T$5)-INT((Census!$F101+T$5))&gt;0.5,1,0)),Assumptions!$B$10))</f>
        <v>17108.159245155817</v>
      </c>
      <c r="U101" s="30">
        <f>IF(U$5&gt;$B101,0,INDEX(Decrements!$G$6:$G$58,Census!$G101+U$5-18)/INDEX(Decrements!$G$6:$G$58,Census!$G101-17)*(INDEX(Decrements!$D$6:$D$58,Census!$G101+U$5-18)+IF(U$5=$B101,INDEX(Decrements!$F$6:$F$58,Census!$G101+U$5-18),0)+INDEX(Decrements!$E$6:$E$58,Census!$G101+U$5-18)*IF((Census!$F101+U$5)&gt;=Assumptions!$B$11,1,0))*MIN(15/26*Census!$D101*(1+Assumptions!$B$9)^U$5*(INT((Census!$F101+U$5))+IF((Census!$F101+U$5)-INT((Census!$F101+U$5))&gt;0.5,1,0)),Assumptions!$B$10))</f>
        <v>16905.930320644027</v>
      </c>
      <c r="V101" s="30">
        <f>IF(V$5&gt;$B101,0,INDEX(Decrements!$G$6:$G$58,Census!$G101+V$5-18)/INDEX(Decrements!$G$6:$G$58,Census!$G101-17)*(INDEX(Decrements!$D$6:$D$58,Census!$G101+V$5-18)+IF(V$5=$B101,INDEX(Decrements!$F$6:$F$58,Census!$G101+V$5-18),0)+INDEX(Decrements!$E$6:$E$58,Census!$G101+V$5-18)*IF((Census!$F101+V$5)&gt;=Assumptions!$B$11,1,0))*MIN(15/26*Census!$D101*(1+Assumptions!$B$9)^V$5*(INT((Census!$F101+V$5))+IF((Census!$F101+V$5)-INT((Census!$F101+V$5))&gt;0.5,1,0)),Assumptions!$B$10))</f>
        <v>16718.104565574115</v>
      </c>
      <c r="W101" s="30">
        <f>IF(W$5&gt;$B101,0,INDEX(Decrements!$G$6:$G$58,Census!$G101+W$5-18)/INDEX(Decrements!$G$6:$G$58,Census!$G101-17)*(INDEX(Decrements!$D$6:$D$58,Census!$G101+W$5-18)+IF(W$5=$B101,INDEX(Decrements!$F$6:$F$58,Census!$G101+W$5-18),0)+INDEX(Decrements!$E$6:$E$58,Census!$G101+W$5-18)*IF((Census!$F101+W$5)&gt;=Assumptions!$B$11,1,0))*MIN(15/26*Census!$D101*(1+Assumptions!$B$9)^W$5*(INT((Census!$F101+W$5))+IF((Census!$F101+W$5)-INT((Census!$F101+W$5))&gt;0.5,1,0)),Assumptions!$B$10))</f>
        <v>16544.989028592052</v>
      </c>
      <c r="X101" s="30">
        <f>IF(X$5&gt;$B101,0,INDEX(Decrements!$G$6:$G$58,Census!$G101+X$5-18)/INDEX(Decrements!$G$6:$G$58,Census!$G101-17)*(INDEX(Decrements!$D$6:$D$58,Census!$G101+X$5-18)+IF(X$5=$B101,INDEX(Decrements!$F$6:$F$58,Census!$G101+X$5-18),0)+INDEX(Decrements!$E$6:$E$58,Census!$G101+X$5-18)*IF((Census!$F101+X$5)&gt;=Assumptions!$B$11,1,0))*MIN(15/26*Census!$D101*(1+Assumptions!$B$9)^X$5*(INT((Census!$F101+X$5))+IF((Census!$F101+X$5)-INT((Census!$F101+X$5))&gt;0.5,1,0)),Assumptions!$B$10))</f>
        <v>9664.5607352137376</v>
      </c>
      <c r="Y101" s="30">
        <f>IF(Y$5&gt;$B101,0,INDEX(Decrements!$G$6:$G$58,Census!$G101+Y$5-18)/INDEX(Decrements!$G$6:$G$58,Census!$G101-17)*(INDEX(Decrements!$D$6:$D$58,Census!$G101+Y$5-18)+IF(Y$5=$B101,INDEX(Decrements!$F$6:$F$58,Census!$G101+Y$5-18),0)+INDEX(Decrements!$E$6:$E$58,Census!$G101+Y$5-18)*IF((Census!$F101+Y$5)&gt;=Assumptions!$B$11,1,0))*MIN(15/26*Census!$D101*(1+Assumptions!$B$9)^Y$5*(INT((Census!$F101+Y$5))+IF((Census!$F101+Y$5)-INT((Census!$F101+Y$5))&gt;0.5,1,0)),Assumptions!$B$10))</f>
        <v>9786.4142018456332</v>
      </c>
      <c r="Z101" s="30">
        <f>IF(Z$5&gt;$B101,0,INDEX(Decrements!$G$6:$G$58,Census!$G101+Z$5-18)/INDEX(Decrements!$G$6:$G$58,Census!$G101-17)*(INDEX(Decrements!$D$6:$D$58,Census!$G101+Z$5-18)+IF(Z$5=$B101,INDEX(Decrements!$F$6:$F$58,Census!$G101+Z$5-18),0)+INDEX(Decrements!$E$6:$E$58,Census!$G101+Z$5-18)*IF((Census!$F101+Z$5)&gt;=Assumptions!$B$11,1,0))*MIN(15/26*Census!$D101*(1+Assumptions!$B$9)^Z$5*(INT((Census!$F101+Z$5))+IF((Census!$F101+Z$5)-INT((Census!$F101+Z$5))&gt;0.5,1,0)),Assumptions!$B$10))</f>
        <v>9924.3903690865664</v>
      </c>
      <c r="AA101" s="30">
        <f>IF(AA$5&gt;$B101,0,INDEX(Decrements!$G$6:$G$58,Census!$G101+AA$5-18)/INDEX(Decrements!$G$6:$G$58,Census!$G101-17)*(INDEX(Decrements!$D$6:$D$58,Census!$G101+AA$5-18)+IF(AA$5=$B101,INDEX(Decrements!$F$6:$F$58,Census!$G101+AA$5-18),0)+INDEX(Decrements!$E$6:$E$58,Census!$G101+AA$5-18)*IF((Census!$F101+AA$5)&gt;=Assumptions!$B$11,1,0))*MIN(15/26*Census!$D101*(1+Assumptions!$B$9)^AA$5*(INT((Census!$F101+AA$5))+IF((Census!$F101+AA$5)-INT((Census!$F101+AA$5))&gt;0.5,1,0)),Assumptions!$B$10))</f>
        <v>10079.42699416902</v>
      </c>
      <c r="AB101" s="30">
        <f>IF(AB$5&gt;$B101,0,INDEX(Decrements!$G$6:$G$58,Census!$G101+AB$5-18)/INDEX(Decrements!$G$6:$G$58,Census!$G101-17)*(INDEX(Decrements!$D$6:$D$58,Census!$G101+AB$5-18)+IF(AB$5=$B101,INDEX(Decrements!$F$6:$F$58,Census!$G101+AB$5-18),0)+INDEX(Decrements!$E$6:$E$58,Census!$G101+AB$5-18)*IF((Census!$F101+AB$5)&gt;=Assumptions!$B$11,1,0))*MIN(15/26*Census!$D101*(1+Assumptions!$B$9)^AB$5*(INT((Census!$F101+AB$5))+IF((Census!$F101+AB$5)-INT((Census!$F101+AB$5))&gt;0.5,1,0)),Assumptions!$B$10))</f>
        <v>635721.01573537174</v>
      </c>
      <c r="AC101" s="30">
        <f>IF(AC$5&gt;$B101,0,INDEX(Decrements!$G$6:$G$58,Census!$G101+AC$5-18)/INDEX(Decrements!$G$6:$G$58,Census!$G101-17)*(INDEX(Decrements!$D$6:$D$58,Census!$G101+AC$5-18)+IF(AC$5=$B101,INDEX(Decrements!$F$6:$F$58,Census!$G101+AC$5-18),0)+INDEX(Decrements!$E$6:$E$58,Census!$G101+AC$5-18)*IF((Census!$F101+AC$5)&gt;=Assumptions!$B$11,1,0))*MIN(15/26*Census!$D101*(1+Assumptions!$B$9)^AC$5*(INT((Census!$F101+AC$5))+IF((Census!$F101+AC$5)-INT((Census!$F101+AC$5))&gt;0.5,1,0)),Assumptions!$B$10))</f>
        <v>0</v>
      </c>
      <c r="AD101" s="30">
        <f>IF(AD$5&gt;$B101,0,INDEX(Decrements!$G$6:$G$58,Census!$G101+AD$5-18)/INDEX(Decrements!$G$6:$G$58,Census!$G101-17)*(INDEX(Decrements!$D$6:$D$58,Census!$G101+AD$5-18)+IF(AD$5=$B101,INDEX(Decrements!$F$6:$F$58,Census!$G101+AD$5-18),0)+INDEX(Decrements!$E$6:$E$58,Census!$G101+AD$5-18)*IF((Census!$F101+AD$5)&gt;=Assumptions!$B$11,1,0))*MIN(15/26*Census!$D101*(1+Assumptions!$B$9)^AD$5*(INT((Census!$F101+AD$5))+IF((Census!$F101+AD$5)-INT((Census!$F101+AD$5))&gt;0.5,1,0)),Assumptions!$B$10))</f>
        <v>0</v>
      </c>
      <c r="AE101" s="30">
        <f>IF(AE$5&gt;$B101,0,INDEX(Decrements!$G$6:$G$58,Census!$G101+AE$5-18)/INDEX(Decrements!$G$6:$G$58,Census!$G101-17)*(INDEX(Decrements!$D$6:$D$58,Census!$G101+AE$5-18)+IF(AE$5=$B101,INDEX(Decrements!$F$6:$F$58,Census!$G101+AE$5-18),0)+INDEX(Decrements!$E$6:$E$58,Census!$G101+AE$5-18)*IF((Census!$F101+AE$5)&gt;=Assumptions!$B$11,1,0))*MIN(15/26*Census!$D101*(1+Assumptions!$B$9)^AE$5*(INT((Census!$F101+AE$5))+IF((Census!$F101+AE$5)-INT((Census!$F101+AE$5))&gt;0.5,1,0)),Assumptions!$B$10))</f>
        <v>0</v>
      </c>
      <c r="AF101" s="30">
        <f>IF(AF$5&gt;$B101,0,INDEX(Decrements!$G$6:$G$58,Census!$G101+AF$5-18)/INDEX(Decrements!$G$6:$G$58,Census!$G101-17)*(INDEX(Decrements!$D$6:$D$58,Census!$G101+AF$5-18)+IF(AF$5=$B101,INDEX(Decrements!$F$6:$F$58,Census!$G101+AF$5-18),0)+INDEX(Decrements!$E$6:$E$58,Census!$G101+AF$5-18)*IF((Census!$F101+AF$5)&gt;=Assumptions!$B$11,1,0))*MIN(15/26*Census!$D101*(1+Assumptions!$B$9)^AF$5*(INT((Census!$F101+AF$5))+IF((Census!$F101+AF$5)-INT((Census!$F101+AF$5))&gt;0.5,1,0)),Assumptions!$B$10))</f>
        <v>0</v>
      </c>
      <c r="AG101" s="30">
        <f>IF(AG$5&gt;$B101,0,INDEX(Decrements!$G$6:$G$58,Census!$G101+AG$5-18)/INDEX(Decrements!$G$6:$G$58,Census!$G101-17)*(INDEX(Decrements!$D$6:$D$58,Census!$G101+AG$5-18)+IF(AG$5=$B101,INDEX(Decrements!$F$6:$F$58,Census!$G101+AG$5-18),0)+INDEX(Decrements!$E$6:$E$58,Census!$G101+AG$5-18)*IF((Census!$F101+AG$5)&gt;=Assumptions!$B$11,1,0))*MIN(15/26*Census!$D101*(1+Assumptions!$B$9)^AG$5*(INT((Census!$F101+AG$5))+IF((Census!$F101+AG$5)-INT((Census!$F101+AG$5))&gt;0.5,1,0)),Assumptions!$B$10))</f>
        <v>0</v>
      </c>
      <c r="AH101" s="30">
        <f>IF(AH$5&gt;$B101,0,INDEX(Decrements!$G$6:$G$58,Census!$G101+AH$5-18)/INDEX(Decrements!$G$6:$G$58,Census!$G101-17)*(INDEX(Decrements!$D$6:$D$58,Census!$G101+AH$5-18)+IF(AH$5=$B101,INDEX(Decrements!$F$6:$F$58,Census!$G101+AH$5-18),0)+INDEX(Decrements!$E$6:$E$58,Census!$G101+AH$5-18)*IF((Census!$F101+AH$5)&gt;=Assumptions!$B$11,1,0))*MIN(15/26*Census!$D101*(1+Assumptions!$B$9)^AH$5*(INT((Census!$F101+AH$5))+IF((Census!$F101+AH$5)-INT((Census!$F101+AH$5))&gt;0.5,1,0)),Assumptions!$B$10))</f>
        <v>0</v>
      </c>
      <c r="AI101" s="30">
        <f>IF(AI$5&gt;$B101,0,INDEX(Decrements!$G$6:$G$58,Census!$G101+AI$5-18)/INDEX(Decrements!$G$6:$G$58,Census!$G101-17)*(INDEX(Decrements!$D$6:$D$58,Census!$G101+AI$5-18)+IF(AI$5=$B101,INDEX(Decrements!$F$6:$F$58,Census!$G101+AI$5-18),0)+INDEX(Decrements!$E$6:$E$58,Census!$G101+AI$5-18)*IF((Census!$F101+AI$5)&gt;=Assumptions!$B$11,1,0))*MIN(15/26*Census!$D101*(1+Assumptions!$B$9)^AI$5*(INT((Census!$F101+AI$5))+IF((Census!$F101+AI$5)-INT((Census!$F101+AI$5))&gt;0.5,1,0)),Assumptions!$B$10))</f>
        <v>0</v>
      </c>
      <c r="AJ101" s="30">
        <f>IF(AJ$5&gt;$B101,0,INDEX(Decrements!$G$6:$G$58,Census!$G101+AJ$5-18)/INDEX(Decrements!$G$6:$G$58,Census!$G101-17)*(INDEX(Decrements!$D$6:$D$58,Census!$G101+AJ$5-18)+IF(AJ$5=$B101,INDEX(Decrements!$F$6:$F$58,Census!$G101+AJ$5-18),0)+INDEX(Decrements!$E$6:$E$58,Census!$G101+AJ$5-18)*IF((Census!$F101+AJ$5)&gt;=Assumptions!$B$11,1,0))*MIN(15/26*Census!$D101*(1+Assumptions!$B$9)^AJ$5*(INT((Census!$F101+AJ$5))+IF((Census!$F101+AJ$5)-INT((Census!$F101+AJ$5))&gt;0.5,1,0)),Assumptions!$B$10))</f>
        <v>0</v>
      </c>
      <c r="AK101" s="30">
        <f>IF(AK$5&gt;$B101,0,INDEX(Decrements!$G$6:$G$58,Census!$G101+AK$5-18)/INDEX(Decrements!$G$6:$G$58,Census!$G101-17)*(INDEX(Decrements!$D$6:$D$58,Census!$G101+AK$5-18)+IF(AK$5=$B101,INDEX(Decrements!$F$6:$F$58,Census!$G101+AK$5-18),0)+INDEX(Decrements!$E$6:$E$58,Census!$G101+AK$5-18)*IF((Census!$F101+AK$5)&gt;=Assumptions!$B$11,1,0))*MIN(15/26*Census!$D101*(1+Assumptions!$B$9)^AK$5*(INT((Census!$F101+AK$5))+IF((Census!$F101+AK$5)-INT((Census!$F101+AK$5))&gt;0.5,1,0)),Assumptions!$B$10))</f>
        <v>0</v>
      </c>
      <c r="AL101" s="30">
        <f>IF(AL$5&gt;$B101,0,INDEX(Decrements!$G$6:$G$58,Census!$G101+AL$5-18)/INDEX(Decrements!$G$6:$G$58,Census!$G101-17)*(INDEX(Decrements!$D$6:$D$58,Census!$G101+AL$5-18)+IF(AL$5=$B101,INDEX(Decrements!$F$6:$F$58,Census!$G101+AL$5-18),0)+INDEX(Decrements!$E$6:$E$58,Census!$G101+AL$5-18)*IF((Census!$F101+AL$5)&gt;=Assumptions!$B$11,1,0))*MIN(15/26*Census!$D101*(1+Assumptions!$B$9)^AL$5*(INT((Census!$F101+AL$5))+IF((Census!$F101+AL$5)-INT((Census!$F101+AL$5))&gt;0.5,1,0)),Assumptions!$B$10))</f>
        <v>0</v>
      </c>
      <c r="AM101" s="30">
        <f>IF(AM$5&gt;$B101,0,INDEX(Decrements!$G$6:$G$58,Census!$G101+AM$5-18)/INDEX(Decrements!$G$6:$G$58,Census!$G101-17)*(INDEX(Decrements!$D$6:$D$58,Census!$G101+AM$5-18)+IF(AM$5=$B101,INDEX(Decrements!$F$6:$F$58,Census!$G101+AM$5-18),0)+INDEX(Decrements!$E$6:$E$58,Census!$G101+AM$5-18)*IF((Census!$F101+AM$5)&gt;=Assumptions!$B$11,1,0))*MIN(15/26*Census!$D101*(1+Assumptions!$B$9)^AM$5*(INT((Census!$F101+AM$5))+IF((Census!$F101+AM$5)-INT((Census!$F101+AM$5))&gt;0.5,1,0)),Assumptions!$B$10))</f>
        <v>0</v>
      </c>
      <c r="AN101" s="30">
        <f>IF(AN$5&gt;$B101,0,INDEX(Decrements!$G$6:$G$58,Census!$G101+AN$5-18)/INDEX(Decrements!$G$6:$G$58,Census!$G101-17)*(INDEX(Decrements!$D$6:$D$58,Census!$G101+AN$5-18)+IF(AN$5=$B101,INDEX(Decrements!$F$6:$F$58,Census!$G101+AN$5-18),0)+INDEX(Decrements!$E$6:$E$58,Census!$G101+AN$5-18)*IF((Census!$F101+AN$5)&gt;=Assumptions!$B$11,1,0))*MIN(15/26*Census!$D101*(1+Assumptions!$B$9)^AN$5*(INT((Census!$F101+AN$5))+IF((Census!$F101+AN$5)-INT((Census!$F101+AN$5))&gt;0.5,1,0)),Assumptions!$B$10))</f>
        <v>0</v>
      </c>
      <c r="AO101" s="30">
        <f>IF(AO$5&gt;$B101,0,INDEX(Decrements!$G$6:$G$58,Census!$G101+AO$5-18)/INDEX(Decrements!$G$6:$G$58,Census!$G101-17)*(INDEX(Decrements!$D$6:$D$58,Census!$G101+AO$5-18)+IF(AO$5=$B101,INDEX(Decrements!$F$6:$F$58,Census!$G101+AO$5-18),0)+INDEX(Decrements!$E$6:$E$58,Census!$G101+AO$5-18)*IF((Census!$F101+AO$5)&gt;=Assumptions!$B$11,1,0))*MIN(15/26*Census!$D101*(1+Assumptions!$B$9)^AO$5*(INT((Census!$F101+AO$5))+IF((Census!$F101+AO$5)-INT((Census!$F101+AO$5))&gt;0.5,1,0)),Assumptions!$B$10))</f>
        <v>0</v>
      </c>
      <c r="AP101" s="30">
        <f>IF(AP$5&gt;$B101,0,INDEX(Decrements!$G$6:$G$58,Census!$G101+AP$5-18)/INDEX(Decrements!$G$6:$G$58,Census!$G101-17)*(INDEX(Decrements!$D$6:$D$58,Census!$G101+AP$5-18)+IF(AP$5=$B101,INDEX(Decrements!$F$6:$F$58,Census!$G101+AP$5-18),0)+INDEX(Decrements!$E$6:$E$58,Census!$G101+AP$5-18)*IF((Census!$F101+AP$5)&gt;=Assumptions!$B$11,1,0))*MIN(15/26*Census!$D101*(1+Assumptions!$B$9)^AP$5*(INT((Census!$F101+AP$5))+IF((Census!$F101+AP$5)-INT((Census!$F101+AP$5))&gt;0.5,1,0)),Assumptions!$B$10))</f>
        <v>0</v>
      </c>
      <c r="AQ101" s="30">
        <f>IF(AQ$5&gt;$B101,0,INDEX(Decrements!$G$6:$G$58,Census!$G101+AQ$5-18)/INDEX(Decrements!$G$6:$G$58,Census!$G101-17)*(INDEX(Decrements!$D$6:$D$58,Census!$G101+AQ$5-18)+IF(AQ$5=$B101,INDEX(Decrements!$F$6:$F$58,Census!$G101+AQ$5-18),0)+INDEX(Decrements!$E$6:$E$58,Census!$G101+AQ$5-18)*IF((Census!$F101+AQ$5)&gt;=Assumptions!$B$11,1,0))*MIN(15/26*Census!$D101*(1+Assumptions!$B$9)^AQ$5*(INT((Census!$F101+AQ$5))+IF((Census!$F101+AQ$5)-INT((Census!$F101+AQ$5))&gt;0.5,1,0)),Assumptions!$B$10))</f>
        <v>0</v>
      </c>
      <c r="AR101" s="30">
        <f>IF(AR$5&gt;$B101,0,INDEX(Decrements!$G$6:$G$58,Census!$G101+AR$5-18)/INDEX(Decrements!$G$6:$G$58,Census!$G101-17)*(INDEX(Decrements!$D$6:$D$58,Census!$G101+AR$5-18)+IF(AR$5=$B101,INDEX(Decrements!$F$6:$F$58,Census!$G101+AR$5-18),0)+INDEX(Decrements!$E$6:$E$58,Census!$G101+AR$5-18)*IF((Census!$F101+AR$5)&gt;=Assumptions!$B$11,1,0))*MIN(15/26*Census!$D101*(1+Assumptions!$B$9)^AR$5*(INT((Census!$F101+AR$5))+IF((Census!$F101+AR$5)-INT((Census!$F101+AR$5))&gt;0.5,1,0)),Assumptions!$B$10))</f>
        <v>0</v>
      </c>
      <c r="AS101" s="30">
        <f>IF(AS$5&gt;$B101,0,INDEX(Decrements!$G$6:$G$58,Census!$G101+AS$5-18)/INDEX(Decrements!$G$6:$G$58,Census!$G101-17)*(INDEX(Decrements!$D$6:$D$58,Census!$G101+AS$5-18)+IF(AS$5=$B101,INDEX(Decrements!$F$6:$F$58,Census!$G101+AS$5-18),0)+INDEX(Decrements!$E$6:$E$58,Census!$G101+AS$5-18)*IF((Census!$F101+AS$5)&gt;=Assumptions!$B$11,1,0))*MIN(15/26*Census!$D101*(1+Assumptions!$B$9)^AS$5*(INT((Census!$F101+AS$5))+IF((Census!$F101+AS$5)-INT((Census!$F101+AS$5))&gt;0.5,1,0)),Assumptions!$B$10))</f>
        <v>0</v>
      </c>
      <c r="AT101" s="30">
        <f>IF(AT$5&gt;$B101,0,INDEX(Decrements!$G$6:$G$58,Census!$G101+AT$5-18)/INDEX(Decrements!$G$6:$G$58,Census!$G101-17)*(INDEX(Decrements!$D$6:$D$58,Census!$G101+AT$5-18)+IF(AT$5=$B101,INDEX(Decrements!$F$6:$F$58,Census!$G101+AT$5-18),0)+INDEX(Decrements!$E$6:$E$58,Census!$G101+AT$5-18)*IF((Census!$F101+AT$5)&gt;=Assumptions!$B$11,1,0))*MIN(15/26*Census!$D101*(1+Assumptions!$B$9)^AT$5*(INT((Census!$F101+AT$5))+IF((Census!$F101+AT$5)-INT((Census!$F101+AT$5))&gt;0.5,1,0)),Assumptions!$B$10))</f>
        <v>0</v>
      </c>
      <c r="AU101" s="30">
        <f>IF(AU$5&gt;$B101,0,INDEX(Decrements!$G$6:$G$58,Census!$G101+AU$5-18)/INDEX(Decrements!$G$6:$G$58,Census!$G101-17)*(INDEX(Decrements!$D$6:$D$58,Census!$G101+AU$5-18)+IF(AU$5=$B101,INDEX(Decrements!$F$6:$F$58,Census!$G101+AU$5-18),0)+INDEX(Decrements!$E$6:$E$58,Census!$G101+AU$5-18)*IF((Census!$F101+AU$5)&gt;=Assumptions!$B$11,1,0))*MIN(15/26*Census!$D101*(1+Assumptions!$B$9)^AU$5*(INT((Census!$F101+AU$5))+IF((Census!$F101+AU$5)-INT((Census!$F101+AU$5))&gt;0.5,1,0)),Assumptions!$B$10))</f>
        <v>0</v>
      </c>
    </row>
    <row r="102" spans="1:47" x14ac:dyDescent="0.3">
      <c r="A102" s="10" t="str">
        <f>Census!A102</f>
        <v>E097</v>
      </c>
      <c r="B102" s="29">
        <f>Census!H102</f>
        <v>22</v>
      </c>
      <c r="C102" s="30">
        <f>IF(C$5&gt;$B102,0,INDEX(Decrements!$G$6:$G$58,Census!$G102+C$5-18)/INDEX(Decrements!$G$6:$G$58,Census!$G102-17)*(INDEX(Decrements!$D$6:$D$58,Census!$G102+C$5-18)+IF(C$5=$B102,INDEX(Decrements!$F$6:$F$58,Census!$G102+C$5-18),0)+INDEX(Decrements!$E$6:$E$58,Census!$G102+C$5-18)*IF((Census!$F102+C$5)&gt;=Assumptions!$B$11,1,0))*MIN(15/26*Census!$D102*(1+Assumptions!$B$9)^C$5*(INT((Census!$F102+C$5))+IF((Census!$F102+C$5)-INT((Census!$F102+C$5))&gt;0.5,1,0)),Assumptions!$B$10))</f>
        <v>74291.917501804302</v>
      </c>
      <c r="D102" s="30">
        <f>IF(D$5&gt;$B102,0,INDEX(Decrements!$G$6:$G$58,Census!$G102+D$5-18)/INDEX(Decrements!$G$6:$G$58,Census!$G102-17)*(INDEX(Decrements!$D$6:$D$58,Census!$G102+D$5-18)+IF(D$5=$B102,INDEX(Decrements!$F$6:$F$58,Census!$G102+D$5-18),0)+INDEX(Decrements!$E$6:$E$58,Census!$G102+D$5-18)*IF((Census!$F102+D$5)&gt;=Assumptions!$B$11,1,0))*MIN(15/26*Census!$D102*(1+Assumptions!$B$9)^D$5*(INT((Census!$F102+D$5))+IF((Census!$F102+D$5)-INT((Census!$F102+D$5))&gt;0.5,1,0)),Assumptions!$B$10))</f>
        <v>78406.775091445073</v>
      </c>
      <c r="E102" s="30">
        <f>IF(E$5&gt;$B102,0,INDEX(Decrements!$G$6:$G$58,Census!$G102+E$5-18)/INDEX(Decrements!$G$6:$G$58,Census!$G102-17)*(INDEX(Decrements!$D$6:$D$58,Census!$G102+E$5-18)+IF(E$5=$B102,INDEX(Decrements!$F$6:$F$58,Census!$G102+E$5-18),0)+INDEX(Decrements!$E$6:$E$58,Census!$G102+E$5-18)*IF((Census!$F102+E$5)&gt;=Assumptions!$B$11,1,0))*MIN(15/26*Census!$D102*(1+Assumptions!$B$9)^E$5*(INT((Census!$F102+E$5))+IF((Census!$F102+E$5)-INT((Census!$F102+E$5))&gt;0.5,1,0)),Assumptions!$B$10))</f>
        <v>52053.415121997918</v>
      </c>
      <c r="F102" s="30">
        <f>IF(F$5&gt;$B102,0,INDEX(Decrements!$G$6:$G$58,Census!$G102+F$5-18)/INDEX(Decrements!$G$6:$G$58,Census!$G102-17)*(INDEX(Decrements!$D$6:$D$58,Census!$G102+F$5-18)+IF(F$5=$B102,INDEX(Decrements!$F$6:$F$58,Census!$G102+F$5-18),0)+INDEX(Decrements!$E$6:$E$58,Census!$G102+F$5-18)*IF((Census!$F102+F$5)&gt;=Assumptions!$B$11,1,0))*MIN(15/26*Census!$D102*(1+Assumptions!$B$9)^F$5*(INT((Census!$F102+F$5))+IF((Census!$F102+F$5)-INT((Census!$F102+F$5))&gt;0.5,1,0)),Assumptions!$B$10))</f>
        <v>56396.72217653878</v>
      </c>
      <c r="G102" s="30">
        <f>IF(G$5&gt;$B102,0,INDEX(Decrements!$G$6:$G$58,Census!$G102+G$5-18)/INDEX(Decrements!$G$6:$G$58,Census!$G102-17)*(INDEX(Decrements!$D$6:$D$58,Census!$G102+G$5-18)+IF(G$5=$B102,INDEX(Decrements!$F$6:$F$58,Census!$G102+G$5-18),0)+INDEX(Decrements!$E$6:$E$58,Census!$G102+G$5-18)*IF((Census!$F102+G$5)&gt;=Assumptions!$B$11,1,0))*MIN(15/26*Census!$D102*(1+Assumptions!$B$9)^G$5*(INT((Census!$F102+G$5))+IF((Census!$F102+G$5)-INT((Census!$F102+G$5))&gt;0.5,1,0)),Assumptions!$B$10))</f>
        <v>60937.85466408886</v>
      </c>
      <c r="H102" s="30">
        <f>IF(H$5&gt;$B102,0,INDEX(Decrements!$G$6:$G$58,Census!$G102+H$5-18)/INDEX(Decrements!$G$6:$G$58,Census!$G102-17)*(INDEX(Decrements!$D$6:$D$58,Census!$G102+H$5-18)+IF(H$5=$B102,INDEX(Decrements!$F$6:$F$58,Census!$G102+H$5-18),0)+INDEX(Decrements!$E$6:$E$58,Census!$G102+H$5-18)*IF((Census!$F102+H$5)&gt;=Assumptions!$B$11,1,0))*MIN(15/26*Census!$D102*(1+Assumptions!$B$9)^H$5*(INT((Census!$F102+H$5))+IF((Census!$F102+H$5)-INT((Census!$F102+H$5))&gt;0.5,1,0)),Assumptions!$B$10))</f>
        <v>65685.533056935092</v>
      </c>
      <c r="I102" s="30">
        <f>IF(I$5&gt;$B102,0,INDEX(Decrements!$G$6:$G$58,Census!$G102+I$5-18)/INDEX(Decrements!$G$6:$G$58,Census!$G102-17)*(INDEX(Decrements!$D$6:$D$58,Census!$G102+I$5-18)+IF(I$5=$B102,INDEX(Decrements!$F$6:$F$58,Census!$G102+I$5-18),0)+INDEX(Decrements!$E$6:$E$58,Census!$G102+I$5-18)*IF((Census!$F102+I$5)&gt;=Assumptions!$B$11,1,0))*MIN(15/26*Census!$D102*(1+Assumptions!$B$9)^I$5*(INT((Census!$F102+I$5))+IF((Census!$F102+I$5)-INT((Census!$F102+I$5))&gt;0.5,1,0)),Assumptions!$B$10))</f>
        <v>70648.994496940781</v>
      </c>
      <c r="J102" s="30">
        <f>IF(J$5&gt;$B102,0,INDEX(Decrements!$G$6:$G$58,Census!$G102+J$5-18)/INDEX(Decrements!$G$6:$G$58,Census!$G102-17)*(INDEX(Decrements!$D$6:$D$58,Census!$G102+J$5-18)+IF(J$5=$B102,INDEX(Decrements!$F$6:$F$58,Census!$G102+J$5-18),0)+INDEX(Decrements!$E$6:$E$58,Census!$G102+J$5-18)*IF((Census!$F102+J$5)&gt;=Assumptions!$B$11,1,0))*MIN(15/26*Census!$D102*(1+Assumptions!$B$9)^J$5*(INT((Census!$F102+J$5))+IF((Census!$F102+J$5)-INT((Census!$F102+J$5))&gt;0.5,1,0)),Assumptions!$B$10))</f>
        <v>41319.374675202409</v>
      </c>
      <c r="K102" s="30">
        <f>IF(K$5&gt;$B102,0,INDEX(Decrements!$G$6:$G$58,Census!$G102+K$5-18)/INDEX(Decrements!$G$6:$G$58,Census!$G102-17)*(INDEX(Decrements!$D$6:$D$58,Census!$G102+K$5-18)+IF(K$5=$B102,INDEX(Decrements!$F$6:$F$58,Census!$G102+K$5-18),0)+INDEX(Decrements!$E$6:$E$58,Census!$G102+K$5-18)*IF((Census!$F102+K$5)&gt;=Assumptions!$B$11,1,0))*MIN(15/26*Census!$D102*(1+Assumptions!$B$9)^K$5*(INT((Census!$F102+K$5))+IF((Census!$F102+K$5)-INT((Census!$F102+K$5))&gt;0.5,1,0)),Assumptions!$B$10))</f>
        <v>40188.385308198332</v>
      </c>
      <c r="L102" s="30">
        <f>IF(L$5&gt;$B102,0,INDEX(Decrements!$G$6:$G$58,Census!$G102+L$5-18)/INDEX(Decrements!$G$6:$G$58,Census!$G102-17)*(INDEX(Decrements!$D$6:$D$58,Census!$G102+L$5-18)+IF(L$5=$B102,INDEX(Decrements!$F$6:$F$58,Census!$G102+L$5-18),0)+INDEX(Decrements!$E$6:$E$58,Census!$G102+L$5-18)*IF((Census!$F102+L$5)&gt;=Assumptions!$B$11,1,0))*MIN(15/26*Census!$D102*(1+Assumptions!$B$9)^L$5*(INT((Census!$F102+L$5))+IF((Census!$F102+L$5)-INT((Census!$F102+L$5))&gt;0.5,1,0)),Assumptions!$B$10))</f>
        <v>39099.49760871246</v>
      </c>
      <c r="M102" s="30">
        <f>IF(M$5&gt;$B102,0,INDEX(Decrements!$G$6:$G$58,Census!$G102+M$5-18)/INDEX(Decrements!$G$6:$G$58,Census!$G102-17)*(INDEX(Decrements!$D$6:$D$58,Census!$G102+M$5-18)+IF(M$5=$B102,INDEX(Decrements!$F$6:$F$58,Census!$G102+M$5-18),0)+INDEX(Decrements!$E$6:$E$58,Census!$G102+M$5-18)*IF((Census!$F102+M$5)&gt;=Assumptions!$B$11,1,0))*MIN(15/26*Census!$D102*(1+Assumptions!$B$9)^M$5*(INT((Census!$F102+M$5))+IF((Census!$F102+M$5)-INT((Census!$F102+M$5))&gt;0.5,1,0)),Assumptions!$B$10))</f>
        <v>38051.851342599381</v>
      </c>
      <c r="N102" s="30">
        <f>IF(N$5&gt;$B102,0,INDEX(Decrements!$G$6:$G$58,Census!$G102+N$5-18)/INDEX(Decrements!$G$6:$G$58,Census!$G102-17)*(INDEX(Decrements!$D$6:$D$58,Census!$G102+N$5-18)+IF(N$5=$B102,INDEX(Decrements!$F$6:$F$58,Census!$G102+N$5-18),0)+INDEX(Decrements!$E$6:$E$58,Census!$G102+N$5-18)*IF((Census!$F102+N$5)&gt;=Assumptions!$B$11,1,0))*MIN(15/26*Census!$D102*(1+Assumptions!$B$9)^N$5*(INT((Census!$F102+N$5))+IF((Census!$F102+N$5)-INT((Census!$F102+N$5))&gt;0.5,1,0)),Assumptions!$B$10))</f>
        <v>37044.624284479985</v>
      </c>
      <c r="O102" s="30">
        <f>IF(O$5&gt;$B102,0,INDEX(Decrements!$G$6:$G$58,Census!$G102+O$5-18)/INDEX(Decrements!$G$6:$G$58,Census!$G102-17)*(INDEX(Decrements!$D$6:$D$58,Census!$G102+O$5-18)+IF(O$5=$B102,INDEX(Decrements!$F$6:$F$58,Census!$G102+O$5-18),0)+INDEX(Decrements!$E$6:$E$58,Census!$G102+O$5-18)*IF((Census!$F102+O$5)&gt;=Assumptions!$B$11,1,0))*MIN(15/26*Census!$D102*(1+Assumptions!$B$9)^O$5*(INT((Census!$F102+O$5))+IF((Census!$F102+O$5)-INT((Census!$F102+O$5))&gt;0.5,1,0)),Assumptions!$B$10))</f>
        <v>25100.506002812483</v>
      </c>
      <c r="P102" s="30">
        <f>IF(P$5&gt;$B102,0,INDEX(Decrements!$G$6:$G$58,Census!$G102+P$5-18)/INDEX(Decrements!$G$6:$G$58,Census!$G102-17)*(INDEX(Decrements!$D$6:$D$58,Census!$G102+P$5-18)+IF(P$5=$B102,INDEX(Decrements!$F$6:$F$58,Census!$G102+P$5-18),0)+INDEX(Decrements!$E$6:$E$58,Census!$G102+P$5-18)*IF((Census!$F102+P$5)&gt;=Assumptions!$B$11,1,0))*MIN(15/26*Census!$D102*(1+Assumptions!$B$9)^P$5*(INT((Census!$F102+P$5))+IF((Census!$F102+P$5)-INT((Census!$F102+P$5))&gt;0.5,1,0)),Assumptions!$B$10))</f>
        <v>24787.070339116537</v>
      </c>
      <c r="Q102" s="30">
        <f>IF(Q$5&gt;$B102,0,INDEX(Decrements!$G$6:$G$58,Census!$G102+Q$5-18)/INDEX(Decrements!$G$6:$G$58,Census!$G102-17)*(INDEX(Decrements!$D$6:$D$58,Census!$G102+Q$5-18)+IF(Q$5=$B102,INDEX(Decrements!$F$6:$F$58,Census!$G102+Q$5-18),0)+INDEX(Decrements!$E$6:$E$58,Census!$G102+Q$5-18)*IF((Census!$F102+Q$5)&gt;=Assumptions!$B$11,1,0))*MIN(15/26*Census!$D102*(1+Assumptions!$B$9)^Q$5*(INT((Census!$F102+Q$5))+IF((Census!$F102+Q$5)-INT((Census!$F102+Q$5))&gt;0.5,1,0)),Assumptions!$B$10))</f>
        <v>24494.071980576187</v>
      </c>
      <c r="R102" s="30">
        <f>IF(R$5&gt;$B102,0,INDEX(Decrements!$G$6:$G$58,Census!$G102+R$5-18)/INDEX(Decrements!$G$6:$G$58,Census!$G102-17)*(INDEX(Decrements!$D$6:$D$58,Census!$G102+R$5-18)+IF(R$5=$B102,INDEX(Decrements!$F$6:$F$58,Census!$G102+R$5-18),0)+INDEX(Decrements!$E$6:$E$58,Census!$G102+R$5-18)*IF((Census!$F102+R$5)&gt;=Assumptions!$B$11,1,0))*MIN(15/26*Census!$D102*(1+Assumptions!$B$9)^R$5*(INT((Census!$F102+R$5))+IF((Census!$F102+R$5)-INT((Census!$F102+R$5))&gt;0.5,1,0)),Assumptions!$B$10))</f>
        <v>24221.941581524996</v>
      </c>
      <c r="S102" s="30">
        <f>IF(S$5&gt;$B102,0,INDEX(Decrements!$G$6:$G$58,Census!$G102+S$5-18)/INDEX(Decrements!$G$6:$G$58,Census!$G102-17)*(INDEX(Decrements!$D$6:$D$58,Census!$G102+S$5-18)+IF(S$5=$B102,INDEX(Decrements!$F$6:$F$58,Census!$G102+S$5-18),0)+INDEX(Decrements!$E$6:$E$58,Census!$G102+S$5-18)*IF((Census!$F102+S$5)&gt;=Assumptions!$B$11,1,0))*MIN(15/26*Census!$D102*(1+Assumptions!$B$9)^S$5*(INT((Census!$F102+S$5))+IF((Census!$F102+S$5)-INT((Census!$F102+S$5))&gt;0.5,1,0)),Assumptions!$B$10))</f>
        <v>23971.124007846913</v>
      </c>
      <c r="T102" s="30">
        <f>IF(T$5&gt;$B102,0,INDEX(Decrements!$G$6:$G$58,Census!$G102+T$5-18)/INDEX(Decrements!$G$6:$G$58,Census!$G102-17)*(INDEX(Decrements!$D$6:$D$58,Census!$G102+T$5-18)+IF(T$5=$B102,INDEX(Decrements!$F$6:$F$58,Census!$G102+T$5-18),0)+INDEX(Decrements!$E$6:$E$58,Census!$G102+T$5-18)*IF((Census!$F102+T$5)&gt;=Assumptions!$B$11,1,0))*MIN(15/26*Census!$D102*(1+Assumptions!$B$9)^T$5*(INT((Census!$F102+T$5))+IF((Census!$F102+T$5)-INT((Census!$F102+T$5))&gt;0.5,1,0)),Assumptions!$B$10))</f>
        <v>14002.450135495274</v>
      </c>
      <c r="U102" s="30">
        <f>IF(U$5&gt;$B102,0,INDEX(Decrements!$G$6:$G$58,Census!$G102+U$5-18)/INDEX(Decrements!$G$6:$G$58,Census!$G102-17)*(INDEX(Decrements!$D$6:$D$58,Census!$G102+U$5-18)+IF(U$5=$B102,INDEX(Decrements!$F$6:$F$58,Census!$G102+U$5-18),0)+INDEX(Decrements!$E$6:$E$58,Census!$G102+U$5-18)*IF((Census!$F102+U$5)&gt;=Assumptions!$B$11,1,0))*MIN(15/26*Census!$D102*(1+Assumptions!$B$9)^U$5*(INT((Census!$F102+U$5))+IF((Census!$F102+U$5)-INT((Census!$F102+U$5))&gt;0.5,1,0)),Assumptions!$B$10))</f>
        <v>14178.996916781822</v>
      </c>
      <c r="V102" s="30">
        <f>IF(V$5&gt;$B102,0,INDEX(Decrements!$G$6:$G$58,Census!$G102+V$5-18)/INDEX(Decrements!$G$6:$G$58,Census!$G102-17)*(INDEX(Decrements!$D$6:$D$58,Census!$G102+V$5-18)+IF(V$5=$B102,INDEX(Decrements!$F$6:$F$58,Census!$G102+V$5-18),0)+INDEX(Decrements!$E$6:$E$58,Census!$G102+V$5-18)*IF((Census!$F102+V$5)&gt;=Assumptions!$B$11,1,0))*MIN(15/26*Census!$D102*(1+Assumptions!$B$9)^V$5*(INT((Census!$F102+V$5))+IF((Census!$F102+V$5)-INT((Census!$F102+V$5))&gt;0.5,1,0)),Assumptions!$B$10))</f>
        <v>14378.902991626848</v>
      </c>
      <c r="W102" s="30">
        <f>IF(W$5&gt;$B102,0,INDEX(Decrements!$G$6:$G$58,Census!$G102+W$5-18)/INDEX(Decrements!$G$6:$G$58,Census!$G102-17)*(INDEX(Decrements!$D$6:$D$58,Census!$G102+W$5-18)+IF(W$5=$B102,INDEX(Decrements!$F$6:$F$58,Census!$G102+W$5-18),0)+INDEX(Decrements!$E$6:$E$58,Census!$G102+W$5-18)*IF((Census!$F102+W$5)&gt;=Assumptions!$B$11,1,0))*MIN(15/26*Census!$D102*(1+Assumptions!$B$9)^W$5*(INT((Census!$F102+W$5))+IF((Census!$F102+W$5)-INT((Census!$F102+W$5))&gt;0.5,1,0)),Assumptions!$B$10))</f>
        <v>14603.527024872632</v>
      </c>
      <c r="X102" s="30">
        <f>IF(X$5&gt;$B102,0,INDEX(Decrements!$G$6:$G$58,Census!$G102+X$5-18)/INDEX(Decrements!$G$6:$G$58,Census!$G102-17)*(INDEX(Decrements!$D$6:$D$58,Census!$G102+X$5-18)+IF(X$5=$B102,INDEX(Decrements!$F$6:$F$58,Census!$G102+X$5-18),0)+INDEX(Decrements!$E$6:$E$58,Census!$G102+X$5-18)*IF((Census!$F102+X$5)&gt;=Assumptions!$B$11,1,0))*MIN(15/26*Census!$D102*(1+Assumptions!$B$9)^X$5*(INT((Census!$F102+X$5))+IF((Census!$F102+X$5)-INT((Census!$F102+X$5))&gt;0.5,1,0)),Assumptions!$B$10))</f>
        <v>921061.19117105263</v>
      </c>
      <c r="Y102" s="30">
        <f>IF(Y$5&gt;$B102,0,INDEX(Decrements!$G$6:$G$58,Census!$G102+Y$5-18)/INDEX(Decrements!$G$6:$G$58,Census!$G102-17)*(INDEX(Decrements!$D$6:$D$58,Census!$G102+Y$5-18)+IF(Y$5=$B102,INDEX(Decrements!$F$6:$F$58,Census!$G102+Y$5-18),0)+INDEX(Decrements!$E$6:$E$58,Census!$G102+Y$5-18)*IF((Census!$F102+Y$5)&gt;=Assumptions!$B$11,1,0))*MIN(15/26*Census!$D102*(1+Assumptions!$B$9)^Y$5*(INT((Census!$F102+Y$5))+IF((Census!$F102+Y$5)-INT((Census!$F102+Y$5))&gt;0.5,1,0)),Assumptions!$B$10))</f>
        <v>0</v>
      </c>
      <c r="Z102" s="30">
        <f>IF(Z$5&gt;$B102,0,INDEX(Decrements!$G$6:$G$58,Census!$G102+Z$5-18)/INDEX(Decrements!$G$6:$G$58,Census!$G102-17)*(INDEX(Decrements!$D$6:$D$58,Census!$G102+Z$5-18)+IF(Z$5=$B102,INDEX(Decrements!$F$6:$F$58,Census!$G102+Z$5-18),0)+INDEX(Decrements!$E$6:$E$58,Census!$G102+Z$5-18)*IF((Census!$F102+Z$5)&gt;=Assumptions!$B$11,1,0))*MIN(15/26*Census!$D102*(1+Assumptions!$B$9)^Z$5*(INT((Census!$F102+Z$5))+IF((Census!$F102+Z$5)-INT((Census!$F102+Z$5))&gt;0.5,1,0)),Assumptions!$B$10))</f>
        <v>0</v>
      </c>
      <c r="AA102" s="30">
        <f>IF(AA$5&gt;$B102,0,INDEX(Decrements!$G$6:$G$58,Census!$G102+AA$5-18)/INDEX(Decrements!$G$6:$G$58,Census!$G102-17)*(INDEX(Decrements!$D$6:$D$58,Census!$G102+AA$5-18)+IF(AA$5=$B102,INDEX(Decrements!$F$6:$F$58,Census!$G102+AA$5-18),0)+INDEX(Decrements!$E$6:$E$58,Census!$G102+AA$5-18)*IF((Census!$F102+AA$5)&gt;=Assumptions!$B$11,1,0))*MIN(15/26*Census!$D102*(1+Assumptions!$B$9)^AA$5*(INT((Census!$F102+AA$5))+IF((Census!$F102+AA$5)-INT((Census!$F102+AA$5))&gt;0.5,1,0)),Assumptions!$B$10))</f>
        <v>0</v>
      </c>
      <c r="AB102" s="30">
        <f>IF(AB$5&gt;$B102,0,INDEX(Decrements!$G$6:$G$58,Census!$G102+AB$5-18)/INDEX(Decrements!$G$6:$G$58,Census!$G102-17)*(INDEX(Decrements!$D$6:$D$58,Census!$G102+AB$5-18)+IF(AB$5=$B102,INDEX(Decrements!$F$6:$F$58,Census!$G102+AB$5-18),0)+INDEX(Decrements!$E$6:$E$58,Census!$G102+AB$5-18)*IF((Census!$F102+AB$5)&gt;=Assumptions!$B$11,1,0))*MIN(15/26*Census!$D102*(1+Assumptions!$B$9)^AB$5*(INT((Census!$F102+AB$5))+IF((Census!$F102+AB$5)-INT((Census!$F102+AB$5))&gt;0.5,1,0)),Assumptions!$B$10))</f>
        <v>0</v>
      </c>
      <c r="AC102" s="30">
        <f>IF(AC$5&gt;$B102,0,INDEX(Decrements!$G$6:$G$58,Census!$G102+AC$5-18)/INDEX(Decrements!$G$6:$G$58,Census!$G102-17)*(INDEX(Decrements!$D$6:$D$58,Census!$G102+AC$5-18)+IF(AC$5=$B102,INDEX(Decrements!$F$6:$F$58,Census!$G102+AC$5-18),0)+INDEX(Decrements!$E$6:$E$58,Census!$G102+AC$5-18)*IF((Census!$F102+AC$5)&gt;=Assumptions!$B$11,1,0))*MIN(15/26*Census!$D102*(1+Assumptions!$B$9)^AC$5*(INT((Census!$F102+AC$5))+IF((Census!$F102+AC$5)-INT((Census!$F102+AC$5))&gt;0.5,1,0)),Assumptions!$B$10))</f>
        <v>0</v>
      </c>
      <c r="AD102" s="30">
        <f>IF(AD$5&gt;$B102,0,INDEX(Decrements!$G$6:$G$58,Census!$G102+AD$5-18)/INDEX(Decrements!$G$6:$G$58,Census!$G102-17)*(INDEX(Decrements!$D$6:$D$58,Census!$G102+AD$5-18)+IF(AD$5=$B102,INDEX(Decrements!$F$6:$F$58,Census!$G102+AD$5-18),0)+INDEX(Decrements!$E$6:$E$58,Census!$G102+AD$5-18)*IF((Census!$F102+AD$5)&gt;=Assumptions!$B$11,1,0))*MIN(15/26*Census!$D102*(1+Assumptions!$B$9)^AD$5*(INT((Census!$F102+AD$5))+IF((Census!$F102+AD$5)-INT((Census!$F102+AD$5))&gt;0.5,1,0)),Assumptions!$B$10))</f>
        <v>0</v>
      </c>
      <c r="AE102" s="30">
        <f>IF(AE$5&gt;$B102,0,INDEX(Decrements!$G$6:$G$58,Census!$G102+AE$5-18)/INDEX(Decrements!$G$6:$G$58,Census!$G102-17)*(INDEX(Decrements!$D$6:$D$58,Census!$G102+AE$5-18)+IF(AE$5=$B102,INDEX(Decrements!$F$6:$F$58,Census!$G102+AE$5-18),0)+INDEX(Decrements!$E$6:$E$58,Census!$G102+AE$5-18)*IF((Census!$F102+AE$5)&gt;=Assumptions!$B$11,1,0))*MIN(15/26*Census!$D102*(1+Assumptions!$B$9)^AE$5*(INT((Census!$F102+AE$5))+IF((Census!$F102+AE$5)-INT((Census!$F102+AE$5))&gt;0.5,1,0)),Assumptions!$B$10))</f>
        <v>0</v>
      </c>
      <c r="AF102" s="30">
        <f>IF(AF$5&gt;$B102,0,INDEX(Decrements!$G$6:$G$58,Census!$G102+AF$5-18)/INDEX(Decrements!$G$6:$G$58,Census!$G102-17)*(INDEX(Decrements!$D$6:$D$58,Census!$G102+AF$5-18)+IF(AF$5=$B102,INDEX(Decrements!$F$6:$F$58,Census!$G102+AF$5-18),0)+INDEX(Decrements!$E$6:$E$58,Census!$G102+AF$5-18)*IF((Census!$F102+AF$5)&gt;=Assumptions!$B$11,1,0))*MIN(15/26*Census!$D102*(1+Assumptions!$B$9)^AF$5*(INT((Census!$F102+AF$5))+IF((Census!$F102+AF$5)-INT((Census!$F102+AF$5))&gt;0.5,1,0)),Assumptions!$B$10))</f>
        <v>0</v>
      </c>
      <c r="AG102" s="30">
        <f>IF(AG$5&gt;$B102,0,INDEX(Decrements!$G$6:$G$58,Census!$G102+AG$5-18)/INDEX(Decrements!$G$6:$G$58,Census!$G102-17)*(INDEX(Decrements!$D$6:$D$58,Census!$G102+AG$5-18)+IF(AG$5=$B102,INDEX(Decrements!$F$6:$F$58,Census!$G102+AG$5-18),0)+INDEX(Decrements!$E$6:$E$58,Census!$G102+AG$5-18)*IF((Census!$F102+AG$5)&gt;=Assumptions!$B$11,1,0))*MIN(15/26*Census!$D102*(1+Assumptions!$B$9)^AG$5*(INT((Census!$F102+AG$5))+IF((Census!$F102+AG$5)-INT((Census!$F102+AG$5))&gt;0.5,1,0)),Assumptions!$B$10))</f>
        <v>0</v>
      </c>
      <c r="AH102" s="30">
        <f>IF(AH$5&gt;$B102,0,INDEX(Decrements!$G$6:$G$58,Census!$G102+AH$5-18)/INDEX(Decrements!$G$6:$G$58,Census!$G102-17)*(INDEX(Decrements!$D$6:$D$58,Census!$G102+AH$5-18)+IF(AH$5=$B102,INDEX(Decrements!$F$6:$F$58,Census!$G102+AH$5-18),0)+INDEX(Decrements!$E$6:$E$58,Census!$G102+AH$5-18)*IF((Census!$F102+AH$5)&gt;=Assumptions!$B$11,1,0))*MIN(15/26*Census!$D102*(1+Assumptions!$B$9)^AH$5*(INT((Census!$F102+AH$5))+IF((Census!$F102+AH$5)-INT((Census!$F102+AH$5))&gt;0.5,1,0)),Assumptions!$B$10))</f>
        <v>0</v>
      </c>
      <c r="AI102" s="30">
        <f>IF(AI$5&gt;$B102,0,INDEX(Decrements!$G$6:$G$58,Census!$G102+AI$5-18)/INDEX(Decrements!$G$6:$G$58,Census!$G102-17)*(INDEX(Decrements!$D$6:$D$58,Census!$G102+AI$5-18)+IF(AI$5=$B102,INDEX(Decrements!$F$6:$F$58,Census!$G102+AI$5-18),0)+INDEX(Decrements!$E$6:$E$58,Census!$G102+AI$5-18)*IF((Census!$F102+AI$5)&gt;=Assumptions!$B$11,1,0))*MIN(15/26*Census!$D102*(1+Assumptions!$B$9)^AI$5*(INT((Census!$F102+AI$5))+IF((Census!$F102+AI$5)-INT((Census!$F102+AI$5))&gt;0.5,1,0)),Assumptions!$B$10))</f>
        <v>0</v>
      </c>
      <c r="AJ102" s="30">
        <f>IF(AJ$5&gt;$B102,0,INDEX(Decrements!$G$6:$G$58,Census!$G102+AJ$5-18)/INDEX(Decrements!$G$6:$G$58,Census!$G102-17)*(INDEX(Decrements!$D$6:$D$58,Census!$G102+AJ$5-18)+IF(AJ$5=$B102,INDEX(Decrements!$F$6:$F$58,Census!$G102+AJ$5-18),0)+INDEX(Decrements!$E$6:$E$58,Census!$G102+AJ$5-18)*IF((Census!$F102+AJ$5)&gt;=Assumptions!$B$11,1,0))*MIN(15/26*Census!$D102*(1+Assumptions!$B$9)^AJ$5*(INT((Census!$F102+AJ$5))+IF((Census!$F102+AJ$5)-INT((Census!$F102+AJ$5))&gt;0.5,1,0)),Assumptions!$B$10))</f>
        <v>0</v>
      </c>
      <c r="AK102" s="30">
        <f>IF(AK$5&gt;$B102,0,INDEX(Decrements!$G$6:$G$58,Census!$G102+AK$5-18)/INDEX(Decrements!$G$6:$G$58,Census!$G102-17)*(INDEX(Decrements!$D$6:$D$58,Census!$G102+AK$5-18)+IF(AK$5=$B102,INDEX(Decrements!$F$6:$F$58,Census!$G102+AK$5-18),0)+INDEX(Decrements!$E$6:$E$58,Census!$G102+AK$5-18)*IF((Census!$F102+AK$5)&gt;=Assumptions!$B$11,1,0))*MIN(15/26*Census!$D102*(1+Assumptions!$B$9)^AK$5*(INT((Census!$F102+AK$5))+IF((Census!$F102+AK$5)-INT((Census!$F102+AK$5))&gt;0.5,1,0)),Assumptions!$B$10))</f>
        <v>0</v>
      </c>
      <c r="AL102" s="30">
        <f>IF(AL$5&gt;$B102,0,INDEX(Decrements!$G$6:$G$58,Census!$G102+AL$5-18)/INDEX(Decrements!$G$6:$G$58,Census!$G102-17)*(INDEX(Decrements!$D$6:$D$58,Census!$G102+AL$5-18)+IF(AL$5=$B102,INDEX(Decrements!$F$6:$F$58,Census!$G102+AL$5-18),0)+INDEX(Decrements!$E$6:$E$58,Census!$G102+AL$5-18)*IF((Census!$F102+AL$5)&gt;=Assumptions!$B$11,1,0))*MIN(15/26*Census!$D102*(1+Assumptions!$B$9)^AL$5*(INT((Census!$F102+AL$5))+IF((Census!$F102+AL$5)-INT((Census!$F102+AL$5))&gt;0.5,1,0)),Assumptions!$B$10))</f>
        <v>0</v>
      </c>
      <c r="AM102" s="30">
        <f>IF(AM$5&gt;$B102,0,INDEX(Decrements!$G$6:$G$58,Census!$G102+AM$5-18)/INDEX(Decrements!$G$6:$G$58,Census!$G102-17)*(INDEX(Decrements!$D$6:$D$58,Census!$G102+AM$5-18)+IF(AM$5=$B102,INDEX(Decrements!$F$6:$F$58,Census!$G102+AM$5-18),0)+INDEX(Decrements!$E$6:$E$58,Census!$G102+AM$5-18)*IF((Census!$F102+AM$5)&gt;=Assumptions!$B$11,1,0))*MIN(15/26*Census!$D102*(1+Assumptions!$B$9)^AM$5*(INT((Census!$F102+AM$5))+IF((Census!$F102+AM$5)-INT((Census!$F102+AM$5))&gt;0.5,1,0)),Assumptions!$B$10))</f>
        <v>0</v>
      </c>
      <c r="AN102" s="30">
        <f>IF(AN$5&gt;$B102,0,INDEX(Decrements!$G$6:$G$58,Census!$G102+AN$5-18)/INDEX(Decrements!$G$6:$G$58,Census!$G102-17)*(INDEX(Decrements!$D$6:$D$58,Census!$G102+AN$5-18)+IF(AN$5=$B102,INDEX(Decrements!$F$6:$F$58,Census!$G102+AN$5-18),0)+INDEX(Decrements!$E$6:$E$58,Census!$G102+AN$5-18)*IF((Census!$F102+AN$5)&gt;=Assumptions!$B$11,1,0))*MIN(15/26*Census!$D102*(1+Assumptions!$B$9)^AN$5*(INT((Census!$F102+AN$5))+IF((Census!$F102+AN$5)-INT((Census!$F102+AN$5))&gt;0.5,1,0)),Assumptions!$B$10))</f>
        <v>0</v>
      </c>
      <c r="AO102" s="30">
        <f>IF(AO$5&gt;$B102,0,INDEX(Decrements!$G$6:$G$58,Census!$G102+AO$5-18)/INDEX(Decrements!$G$6:$G$58,Census!$G102-17)*(INDEX(Decrements!$D$6:$D$58,Census!$G102+AO$5-18)+IF(AO$5=$B102,INDEX(Decrements!$F$6:$F$58,Census!$G102+AO$5-18),0)+INDEX(Decrements!$E$6:$E$58,Census!$G102+AO$5-18)*IF((Census!$F102+AO$5)&gt;=Assumptions!$B$11,1,0))*MIN(15/26*Census!$D102*(1+Assumptions!$B$9)^AO$5*(INT((Census!$F102+AO$5))+IF((Census!$F102+AO$5)-INT((Census!$F102+AO$5))&gt;0.5,1,0)),Assumptions!$B$10))</f>
        <v>0</v>
      </c>
      <c r="AP102" s="30">
        <f>IF(AP$5&gt;$B102,0,INDEX(Decrements!$G$6:$G$58,Census!$G102+AP$5-18)/INDEX(Decrements!$G$6:$G$58,Census!$G102-17)*(INDEX(Decrements!$D$6:$D$58,Census!$G102+AP$5-18)+IF(AP$5=$B102,INDEX(Decrements!$F$6:$F$58,Census!$G102+AP$5-18),0)+INDEX(Decrements!$E$6:$E$58,Census!$G102+AP$5-18)*IF((Census!$F102+AP$5)&gt;=Assumptions!$B$11,1,0))*MIN(15/26*Census!$D102*(1+Assumptions!$B$9)^AP$5*(INT((Census!$F102+AP$5))+IF((Census!$F102+AP$5)-INT((Census!$F102+AP$5))&gt;0.5,1,0)),Assumptions!$B$10))</f>
        <v>0</v>
      </c>
      <c r="AQ102" s="30">
        <f>IF(AQ$5&gt;$B102,0,INDEX(Decrements!$G$6:$G$58,Census!$G102+AQ$5-18)/INDEX(Decrements!$G$6:$G$58,Census!$G102-17)*(INDEX(Decrements!$D$6:$D$58,Census!$G102+AQ$5-18)+IF(AQ$5=$B102,INDEX(Decrements!$F$6:$F$58,Census!$G102+AQ$5-18),0)+INDEX(Decrements!$E$6:$E$58,Census!$G102+AQ$5-18)*IF((Census!$F102+AQ$5)&gt;=Assumptions!$B$11,1,0))*MIN(15/26*Census!$D102*(1+Assumptions!$B$9)^AQ$5*(INT((Census!$F102+AQ$5))+IF((Census!$F102+AQ$5)-INT((Census!$F102+AQ$5))&gt;0.5,1,0)),Assumptions!$B$10))</f>
        <v>0</v>
      </c>
      <c r="AR102" s="30">
        <f>IF(AR$5&gt;$B102,0,INDEX(Decrements!$G$6:$G$58,Census!$G102+AR$5-18)/INDEX(Decrements!$G$6:$G$58,Census!$G102-17)*(INDEX(Decrements!$D$6:$D$58,Census!$G102+AR$5-18)+IF(AR$5=$B102,INDEX(Decrements!$F$6:$F$58,Census!$G102+AR$5-18),0)+INDEX(Decrements!$E$6:$E$58,Census!$G102+AR$5-18)*IF((Census!$F102+AR$5)&gt;=Assumptions!$B$11,1,0))*MIN(15/26*Census!$D102*(1+Assumptions!$B$9)^AR$5*(INT((Census!$F102+AR$5))+IF((Census!$F102+AR$5)-INT((Census!$F102+AR$5))&gt;0.5,1,0)),Assumptions!$B$10))</f>
        <v>0</v>
      </c>
      <c r="AS102" s="30">
        <f>IF(AS$5&gt;$B102,0,INDEX(Decrements!$G$6:$G$58,Census!$G102+AS$5-18)/INDEX(Decrements!$G$6:$G$58,Census!$G102-17)*(INDEX(Decrements!$D$6:$D$58,Census!$G102+AS$5-18)+IF(AS$5=$B102,INDEX(Decrements!$F$6:$F$58,Census!$G102+AS$5-18),0)+INDEX(Decrements!$E$6:$E$58,Census!$G102+AS$5-18)*IF((Census!$F102+AS$5)&gt;=Assumptions!$B$11,1,0))*MIN(15/26*Census!$D102*(1+Assumptions!$B$9)^AS$5*(INT((Census!$F102+AS$5))+IF((Census!$F102+AS$5)-INT((Census!$F102+AS$5))&gt;0.5,1,0)),Assumptions!$B$10))</f>
        <v>0</v>
      </c>
      <c r="AT102" s="30">
        <f>IF(AT$5&gt;$B102,0,INDEX(Decrements!$G$6:$G$58,Census!$G102+AT$5-18)/INDEX(Decrements!$G$6:$G$58,Census!$G102-17)*(INDEX(Decrements!$D$6:$D$58,Census!$G102+AT$5-18)+IF(AT$5=$B102,INDEX(Decrements!$F$6:$F$58,Census!$G102+AT$5-18),0)+INDEX(Decrements!$E$6:$E$58,Census!$G102+AT$5-18)*IF((Census!$F102+AT$5)&gt;=Assumptions!$B$11,1,0))*MIN(15/26*Census!$D102*(1+Assumptions!$B$9)^AT$5*(INT((Census!$F102+AT$5))+IF((Census!$F102+AT$5)-INT((Census!$F102+AT$5))&gt;0.5,1,0)),Assumptions!$B$10))</f>
        <v>0</v>
      </c>
      <c r="AU102" s="30">
        <f>IF(AU$5&gt;$B102,0,INDEX(Decrements!$G$6:$G$58,Census!$G102+AU$5-18)/INDEX(Decrements!$G$6:$G$58,Census!$G102-17)*(INDEX(Decrements!$D$6:$D$58,Census!$G102+AU$5-18)+IF(AU$5=$B102,INDEX(Decrements!$F$6:$F$58,Census!$G102+AU$5-18),0)+INDEX(Decrements!$E$6:$E$58,Census!$G102+AU$5-18)*IF((Census!$F102+AU$5)&gt;=Assumptions!$B$11,1,0))*MIN(15/26*Census!$D102*(1+Assumptions!$B$9)^AU$5*(INT((Census!$F102+AU$5))+IF((Census!$F102+AU$5)-INT((Census!$F102+AU$5))&gt;0.5,1,0)),Assumptions!$B$10))</f>
        <v>0</v>
      </c>
    </row>
    <row r="103" spans="1:47" x14ac:dyDescent="0.3">
      <c r="A103" s="10" t="str">
        <f>Census!A103</f>
        <v>E098</v>
      </c>
      <c r="B103" s="29">
        <f>Census!H103</f>
        <v>22</v>
      </c>
      <c r="C103" s="30">
        <f>IF(C$5&gt;$B103,0,INDEX(Decrements!$G$6:$G$58,Census!$G103+C$5-18)/INDEX(Decrements!$G$6:$G$58,Census!$G103-17)*(INDEX(Decrements!$D$6:$D$58,Census!$G103+C$5-18)+IF(C$5=$B103,INDEX(Decrements!$F$6:$F$58,Census!$G103+C$5-18),0)+INDEX(Decrements!$E$6:$E$58,Census!$G103+C$5-18)*IF((Census!$F103+C$5)&gt;=Assumptions!$B$11,1,0))*MIN(15/26*Census!$D103*(1+Assumptions!$B$9)^C$5*(INT((Census!$F103+C$5))+IF((Census!$F103+C$5)-INT((Census!$F103+C$5))&gt;0.5,1,0)),Assumptions!$B$10))</f>
        <v>38803.177802901053</v>
      </c>
      <c r="D103" s="30">
        <f>IF(D$5&gt;$B103,0,INDEX(Decrements!$G$6:$G$58,Census!$G103+D$5-18)/INDEX(Decrements!$G$6:$G$58,Census!$G103-17)*(INDEX(Decrements!$D$6:$D$58,Census!$G103+D$5-18)+IF(D$5=$B103,INDEX(Decrements!$F$6:$F$58,Census!$G103+D$5-18),0)+INDEX(Decrements!$E$6:$E$58,Census!$G103+D$5-18)*IF((Census!$F103+D$5)&gt;=Assumptions!$B$11,1,0))*MIN(15/26*Census!$D103*(1+Assumptions!$B$9)^D$5*(INT((Census!$F103+D$5))+IF((Census!$F103+D$5)-INT((Census!$F103+D$5))&gt;0.5,1,0)),Assumptions!$B$10))</f>
        <v>41755.384289881775</v>
      </c>
      <c r="E103" s="30">
        <f>IF(E$5&gt;$B103,0,INDEX(Decrements!$G$6:$G$58,Census!$G103+E$5-18)/INDEX(Decrements!$G$6:$G$58,Census!$G103-17)*(INDEX(Decrements!$D$6:$D$58,Census!$G103+E$5-18)+IF(E$5=$B103,INDEX(Decrements!$F$6:$F$58,Census!$G103+E$5-18),0)+INDEX(Decrements!$E$6:$E$58,Census!$G103+E$5-18)*IF((Census!$F103+E$5)&gt;=Assumptions!$B$11,1,0))*MIN(15/26*Census!$D103*(1+Assumptions!$B$9)^E$5*(INT((Census!$F103+E$5))+IF((Census!$F103+E$5)-INT((Census!$F103+E$5))&gt;0.5,1,0)),Assumptions!$B$10))</f>
        <v>28194.813172113492</v>
      </c>
      <c r="F103" s="30">
        <f>IF(F$5&gt;$B103,0,INDEX(Decrements!$G$6:$G$58,Census!$G103+F$5-18)/INDEX(Decrements!$G$6:$G$58,Census!$G103-17)*(INDEX(Decrements!$D$6:$D$58,Census!$G103+F$5-18)+IF(F$5=$B103,INDEX(Decrements!$F$6:$F$58,Census!$G103+F$5-18),0)+INDEX(Decrements!$E$6:$E$58,Census!$G103+F$5-18)*IF((Census!$F103+F$5)&gt;=Assumptions!$B$11,1,0))*MIN(15/26*Census!$D103*(1+Assumptions!$B$9)^F$5*(INT((Census!$F103+F$5))+IF((Census!$F103+F$5)-INT((Census!$F103+F$5))&gt;0.5,1,0)),Assumptions!$B$10))</f>
        <v>31006.731166300458</v>
      </c>
      <c r="G103" s="30">
        <f>IF(G$5&gt;$B103,0,INDEX(Decrements!$G$6:$G$58,Census!$G103+G$5-18)/INDEX(Decrements!$G$6:$G$58,Census!$G103-17)*(INDEX(Decrements!$D$6:$D$58,Census!$G103+G$5-18)+IF(G$5=$B103,INDEX(Decrements!$F$6:$F$58,Census!$G103+G$5-18),0)+INDEX(Decrements!$E$6:$E$58,Census!$G103+G$5-18)*IF((Census!$F103+G$5)&gt;=Assumptions!$B$11,1,0))*MIN(15/26*Census!$D103*(1+Assumptions!$B$9)^G$5*(INT((Census!$F103+G$5))+IF((Census!$F103+G$5)-INT((Census!$F103+G$5))&gt;0.5,1,0)),Assumptions!$B$10))</f>
        <v>33950.143186086505</v>
      </c>
      <c r="H103" s="30">
        <f>IF(H$5&gt;$B103,0,INDEX(Decrements!$G$6:$G$58,Census!$G103+H$5-18)/INDEX(Decrements!$G$6:$G$58,Census!$G103-17)*(INDEX(Decrements!$D$6:$D$58,Census!$G103+H$5-18)+IF(H$5=$B103,INDEX(Decrements!$F$6:$F$58,Census!$G103+H$5-18),0)+INDEX(Decrements!$E$6:$E$58,Census!$G103+H$5-18)*IF((Census!$F103+H$5)&gt;=Assumptions!$B$11,1,0))*MIN(15/26*Census!$D103*(1+Assumptions!$B$9)^H$5*(INT((Census!$F103+H$5))+IF((Census!$F103+H$5)-INT((Census!$F103+H$5))&gt;0.5,1,0)),Assumptions!$B$10))</f>
        <v>37030.861685033102</v>
      </c>
      <c r="I103" s="30">
        <f>IF(I$5&gt;$B103,0,INDEX(Decrements!$G$6:$G$58,Census!$G103+I$5-18)/INDEX(Decrements!$G$6:$G$58,Census!$G103-17)*(INDEX(Decrements!$D$6:$D$58,Census!$G103+I$5-18)+IF(I$5=$B103,INDEX(Decrements!$F$6:$F$58,Census!$G103+I$5-18),0)+INDEX(Decrements!$E$6:$E$58,Census!$G103+I$5-18)*IF((Census!$F103+I$5)&gt;=Assumptions!$B$11,1,0))*MIN(15/26*Census!$D103*(1+Assumptions!$B$9)^I$5*(INT((Census!$F103+I$5))+IF((Census!$F103+I$5)-INT((Census!$F103+I$5))&gt;0.5,1,0)),Assumptions!$B$10))</f>
        <v>40255.040884595794</v>
      </c>
      <c r="J103" s="30">
        <f>IF(J$5&gt;$B103,0,INDEX(Decrements!$G$6:$G$58,Census!$G103+J$5-18)/INDEX(Decrements!$G$6:$G$58,Census!$G103-17)*(INDEX(Decrements!$D$6:$D$58,Census!$G103+J$5-18)+IF(J$5=$B103,INDEX(Decrements!$F$6:$F$58,Census!$G103+J$5-18),0)+INDEX(Decrements!$E$6:$E$58,Census!$G103+J$5-18)*IF((Census!$F103+J$5)&gt;=Assumptions!$B$11,1,0))*MIN(15/26*Census!$D103*(1+Assumptions!$B$9)^J$5*(INT((Census!$F103+J$5))+IF((Census!$F103+J$5)-INT((Census!$F103+J$5))&gt;0.5,1,0)),Assumptions!$B$10))</f>
        <v>26826.577814205732</v>
      </c>
      <c r="K103" s="30">
        <f>IF(K$5&gt;$B103,0,INDEX(Decrements!$G$6:$G$58,Census!$G103+K$5-18)/INDEX(Decrements!$G$6:$G$58,Census!$G103-17)*(INDEX(Decrements!$D$6:$D$58,Census!$G103+K$5-18)+IF(K$5=$B103,INDEX(Decrements!$F$6:$F$58,Census!$G103+K$5-18),0)+INDEX(Decrements!$E$6:$E$58,Census!$G103+K$5-18)*IF((Census!$F103+K$5)&gt;=Assumptions!$B$11,1,0))*MIN(15/26*Census!$D103*(1+Assumptions!$B$9)^K$5*(INT((Census!$F103+K$5))+IF((Census!$F103+K$5)-INT((Census!$F103+K$5))&gt;0.5,1,0)),Assumptions!$B$10))</f>
        <v>29662.806715179428</v>
      </c>
      <c r="L103" s="30">
        <f>IF(L$5&gt;$B103,0,INDEX(Decrements!$G$6:$G$58,Census!$G103+L$5-18)/INDEX(Decrements!$G$6:$G$58,Census!$G103-17)*(INDEX(Decrements!$D$6:$D$58,Census!$G103+L$5-18)+IF(L$5=$B103,INDEX(Decrements!$F$6:$F$58,Census!$G103+L$5-18),0)+INDEX(Decrements!$E$6:$E$58,Census!$G103+L$5-18)*IF((Census!$F103+L$5)&gt;=Assumptions!$B$11,1,0))*MIN(15/26*Census!$D103*(1+Assumptions!$B$9)^L$5*(INT((Census!$F103+L$5))+IF((Census!$F103+L$5)-INT((Census!$F103+L$5))&gt;0.5,1,0)),Assumptions!$B$10))</f>
        <v>32726.225319385758</v>
      </c>
      <c r="M103" s="30">
        <f>IF(M$5&gt;$B103,0,INDEX(Decrements!$G$6:$G$58,Census!$G103+M$5-18)/INDEX(Decrements!$G$6:$G$58,Census!$G103-17)*(INDEX(Decrements!$D$6:$D$58,Census!$G103+M$5-18)+IF(M$5=$B103,INDEX(Decrements!$F$6:$F$58,Census!$G103+M$5-18),0)+INDEX(Decrements!$E$6:$E$58,Census!$G103+M$5-18)*IF((Census!$F103+M$5)&gt;=Assumptions!$B$11,1,0))*MIN(15/26*Census!$D103*(1+Assumptions!$B$9)^M$5*(INT((Census!$F103+M$5))+IF((Census!$F103+M$5)-INT((Census!$F103+M$5))&gt;0.5,1,0)),Assumptions!$B$10))</f>
        <v>36035.261003292006</v>
      </c>
      <c r="N103" s="30">
        <f>IF(N$5&gt;$B103,0,INDEX(Decrements!$G$6:$G$58,Census!$G103+N$5-18)/INDEX(Decrements!$G$6:$G$58,Census!$G103-17)*(INDEX(Decrements!$D$6:$D$58,Census!$G103+N$5-18)+IF(N$5=$B103,INDEX(Decrements!$F$6:$F$58,Census!$G103+N$5-18),0)+INDEX(Decrements!$E$6:$E$58,Census!$G103+N$5-18)*IF((Census!$F103+N$5)&gt;=Assumptions!$B$11,1,0))*MIN(15/26*Census!$D103*(1+Assumptions!$B$9)^N$5*(INT((Census!$F103+N$5))+IF((Census!$F103+N$5)-INT((Census!$F103+N$5))&gt;0.5,1,0)),Assumptions!$B$10))</f>
        <v>37044.624284479985</v>
      </c>
      <c r="O103" s="30">
        <f>IF(O$5&gt;$B103,0,INDEX(Decrements!$G$6:$G$58,Census!$G103+O$5-18)/INDEX(Decrements!$G$6:$G$58,Census!$G103-17)*(INDEX(Decrements!$D$6:$D$58,Census!$G103+O$5-18)+IF(O$5=$B103,INDEX(Decrements!$F$6:$F$58,Census!$G103+O$5-18),0)+INDEX(Decrements!$E$6:$E$58,Census!$G103+O$5-18)*IF((Census!$F103+O$5)&gt;=Assumptions!$B$11,1,0))*MIN(15/26*Census!$D103*(1+Assumptions!$B$9)^O$5*(INT((Census!$F103+O$5))+IF((Census!$F103+O$5)-INT((Census!$F103+O$5))&gt;0.5,1,0)),Assumptions!$B$10))</f>
        <v>25100.506002812483</v>
      </c>
      <c r="P103" s="30">
        <f>IF(P$5&gt;$B103,0,INDEX(Decrements!$G$6:$G$58,Census!$G103+P$5-18)/INDEX(Decrements!$G$6:$G$58,Census!$G103-17)*(INDEX(Decrements!$D$6:$D$58,Census!$G103+P$5-18)+IF(P$5=$B103,INDEX(Decrements!$F$6:$F$58,Census!$G103+P$5-18),0)+INDEX(Decrements!$E$6:$E$58,Census!$G103+P$5-18)*IF((Census!$F103+P$5)&gt;=Assumptions!$B$11,1,0))*MIN(15/26*Census!$D103*(1+Assumptions!$B$9)^P$5*(INT((Census!$F103+P$5))+IF((Census!$F103+P$5)-INT((Census!$F103+P$5))&gt;0.5,1,0)),Assumptions!$B$10))</f>
        <v>24787.070339116537</v>
      </c>
      <c r="Q103" s="30">
        <f>IF(Q$5&gt;$B103,0,INDEX(Decrements!$G$6:$G$58,Census!$G103+Q$5-18)/INDEX(Decrements!$G$6:$G$58,Census!$G103-17)*(INDEX(Decrements!$D$6:$D$58,Census!$G103+Q$5-18)+IF(Q$5=$B103,INDEX(Decrements!$F$6:$F$58,Census!$G103+Q$5-18),0)+INDEX(Decrements!$E$6:$E$58,Census!$G103+Q$5-18)*IF((Census!$F103+Q$5)&gt;=Assumptions!$B$11,1,0))*MIN(15/26*Census!$D103*(1+Assumptions!$B$9)^Q$5*(INT((Census!$F103+Q$5))+IF((Census!$F103+Q$5)-INT((Census!$F103+Q$5))&gt;0.5,1,0)),Assumptions!$B$10))</f>
        <v>24494.071980576187</v>
      </c>
      <c r="R103" s="30">
        <f>IF(R$5&gt;$B103,0,INDEX(Decrements!$G$6:$G$58,Census!$G103+R$5-18)/INDEX(Decrements!$G$6:$G$58,Census!$G103-17)*(INDEX(Decrements!$D$6:$D$58,Census!$G103+R$5-18)+IF(R$5=$B103,INDEX(Decrements!$F$6:$F$58,Census!$G103+R$5-18),0)+INDEX(Decrements!$E$6:$E$58,Census!$G103+R$5-18)*IF((Census!$F103+R$5)&gt;=Assumptions!$B$11,1,0))*MIN(15/26*Census!$D103*(1+Assumptions!$B$9)^R$5*(INT((Census!$F103+R$5))+IF((Census!$F103+R$5)-INT((Census!$F103+R$5))&gt;0.5,1,0)),Assumptions!$B$10))</f>
        <v>24221.941581524996</v>
      </c>
      <c r="S103" s="30">
        <f>IF(S$5&gt;$B103,0,INDEX(Decrements!$G$6:$G$58,Census!$G103+S$5-18)/INDEX(Decrements!$G$6:$G$58,Census!$G103-17)*(INDEX(Decrements!$D$6:$D$58,Census!$G103+S$5-18)+IF(S$5=$B103,INDEX(Decrements!$F$6:$F$58,Census!$G103+S$5-18),0)+INDEX(Decrements!$E$6:$E$58,Census!$G103+S$5-18)*IF((Census!$F103+S$5)&gt;=Assumptions!$B$11,1,0))*MIN(15/26*Census!$D103*(1+Assumptions!$B$9)^S$5*(INT((Census!$F103+S$5))+IF((Census!$F103+S$5)-INT((Census!$F103+S$5))&gt;0.5,1,0)),Assumptions!$B$10))</f>
        <v>23971.124007846913</v>
      </c>
      <c r="T103" s="30">
        <f>IF(T$5&gt;$B103,0,INDEX(Decrements!$G$6:$G$58,Census!$G103+T$5-18)/INDEX(Decrements!$G$6:$G$58,Census!$G103-17)*(INDEX(Decrements!$D$6:$D$58,Census!$G103+T$5-18)+IF(T$5=$B103,INDEX(Decrements!$F$6:$F$58,Census!$G103+T$5-18),0)+INDEX(Decrements!$E$6:$E$58,Census!$G103+T$5-18)*IF((Census!$F103+T$5)&gt;=Assumptions!$B$11,1,0))*MIN(15/26*Census!$D103*(1+Assumptions!$B$9)^T$5*(INT((Census!$F103+T$5))+IF((Census!$F103+T$5)-INT((Census!$F103+T$5))&gt;0.5,1,0)),Assumptions!$B$10))</f>
        <v>14002.450135495274</v>
      </c>
      <c r="U103" s="30">
        <f>IF(U$5&gt;$B103,0,INDEX(Decrements!$G$6:$G$58,Census!$G103+U$5-18)/INDEX(Decrements!$G$6:$G$58,Census!$G103-17)*(INDEX(Decrements!$D$6:$D$58,Census!$G103+U$5-18)+IF(U$5=$B103,INDEX(Decrements!$F$6:$F$58,Census!$G103+U$5-18),0)+INDEX(Decrements!$E$6:$E$58,Census!$G103+U$5-18)*IF((Census!$F103+U$5)&gt;=Assumptions!$B$11,1,0))*MIN(15/26*Census!$D103*(1+Assumptions!$B$9)^U$5*(INT((Census!$F103+U$5))+IF((Census!$F103+U$5)-INT((Census!$F103+U$5))&gt;0.5,1,0)),Assumptions!$B$10))</f>
        <v>14178.996916781822</v>
      </c>
      <c r="V103" s="30">
        <f>IF(V$5&gt;$B103,0,INDEX(Decrements!$G$6:$G$58,Census!$G103+V$5-18)/INDEX(Decrements!$G$6:$G$58,Census!$G103-17)*(INDEX(Decrements!$D$6:$D$58,Census!$G103+V$5-18)+IF(V$5=$B103,INDEX(Decrements!$F$6:$F$58,Census!$G103+V$5-18),0)+INDEX(Decrements!$E$6:$E$58,Census!$G103+V$5-18)*IF((Census!$F103+V$5)&gt;=Assumptions!$B$11,1,0))*MIN(15/26*Census!$D103*(1+Assumptions!$B$9)^V$5*(INT((Census!$F103+V$5))+IF((Census!$F103+V$5)-INT((Census!$F103+V$5))&gt;0.5,1,0)),Assumptions!$B$10))</f>
        <v>14378.902991626848</v>
      </c>
      <c r="W103" s="30">
        <f>IF(W$5&gt;$B103,0,INDEX(Decrements!$G$6:$G$58,Census!$G103+W$5-18)/INDEX(Decrements!$G$6:$G$58,Census!$G103-17)*(INDEX(Decrements!$D$6:$D$58,Census!$G103+W$5-18)+IF(W$5=$B103,INDEX(Decrements!$F$6:$F$58,Census!$G103+W$5-18),0)+INDEX(Decrements!$E$6:$E$58,Census!$G103+W$5-18)*IF((Census!$F103+W$5)&gt;=Assumptions!$B$11,1,0))*MIN(15/26*Census!$D103*(1+Assumptions!$B$9)^W$5*(INT((Census!$F103+W$5))+IF((Census!$F103+W$5)-INT((Census!$F103+W$5))&gt;0.5,1,0)),Assumptions!$B$10))</f>
        <v>14603.527024872632</v>
      </c>
      <c r="X103" s="30">
        <f>IF(X$5&gt;$B103,0,INDEX(Decrements!$G$6:$G$58,Census!$G103+X$5-18)/INDEX(Decrements!$G$6:$G$58,Census!$G103-17)*(INDEX(Decrements!$D$6:$D$58,Census!$G103+X$5-18)+IF(X$5=$B103,INDEX(Decrements!$F$6:$F$58,Census!$G103+X$5-18),0)+INDEX(Decrements!$E$6:$E$58,Census!$G103+X$5-18)*IF((Census!$F103+X$5)&gt;=Assumptions!$B$11,1,0))*MIN(15/26*Census!$D103*(1+Assumptions!$B$9)^X$5*(INT((Census!$F103+X$5))+IF((Census!$F103+X$5)-INT((Census!$F103+X$5))&gt;0.5,1,0)),Assumptions!$B$10))</f>
        <v>921061.19117105263</v>
      </c>
      <c r="Y103" s="30">
        <f>IF(Y$5&gt;$B103,0,INDEX(Decrements!$G$6:$G$58,Census!$G103+Y$5-18)/INDEX(Decrements!$G$6:$G$58,Census!$G103-17)*(INDEX(Decrements!$D$6:$D$58,Census!$G103+Y$5-18)+IF(Y$5=$B103,INDEX(Decrements!$F$6:$F$58,Census!$G103+Y$5-18),0)+INDEX(Decrements!$E$6:$E$58,Census!$G103+Y$5-18)*IF((Census!$F103+Y$5)&gt;=Assumptions!$B$11,1,0))*MIN(15/26*Census!$D103*(1+Assumptions!$B$9)^Y$5*(INT((Census!$F103+Y$5))+IF((Census!$F103+Y$5)-INT((Census!$F103+Y$5))&gt;0.5,1,0)),Assumptions!$B$10))</f>
        <v>0</v>
      </c>
      <c r="Z103" s="30">
        <f>IF(Z$5&gt;$B103,0,INDEX(Decrements!$G$6:$G$58,Census!$G103+Z$5-18)/INDEX(Decrements!$G$6:$G$58,Census!$G103-17)*(INDEX(Decrements!$D$6:$D$58,Census!$G103+Z$5-18)+IF(Z$5=$B103,INDEX(Decrements!$F$6:$F$58,Census!$G103+Z$5-18),0)+INDEX(Decrements!$E$6:$E$58,Census!$G103+Z$5-18)*IF((Census!$F103+Z$5)&gt;=Assumptions!$B$11,1,0))*MIN(15/26*Census!$D103*(1+Assumptions!$B$9)^Z$5*(INT((Census!$F103+Z$5))+IF((Census!$F103+Z$5)-INT((Census!$F103+Z$5))&gt;0.5,1,0)),Assumptions!$B$10))</f>
        <v>0</v>
      </c>
      <c r="AA103" s="30">
        <f>IF(AA$5&gt;$B103,0,INDEX(Decrements!$G$6:$G$58,Census!$G103+AA$5-18)/INDEX(Decrements!$G$6:$G$58,Census!$G103-17)*(INDEX(Decrements!$D$6:$D$58,Census!$G103+AA$5-18)+IF(AA$5=$B103,INDEX(Decrements!$F$6:$F$58,Census!$G103+AA$5-18),0)+INDEX(Decrements!$E$6:$E$58,Census!$G103+AA$5-18)*IF((Census!$F103+AA$5)&gt;=Assumptions!$B$11,1,0))*MIN(15/26*Census!$D103*(1+Assumptions!$B$9)^AA$5*(INT((Census!$F103+AA$5))+IF((Census!$F103+AA$5)-INT((Census!$F103+AA$5))&gt;0.5,1,0)),Assumptions!$B$10))</f>
        <v>0</v>
      </c>
      <c r="AB103" s="30">
        <f>IF(AB$5&gt;$B103,0,INDEX(Decrements!$G$6:$G$58,Census!$G103+AB$5-18)/INDEX(Decrements!$G$6:$G$58,Census!$G103-17)*(INDEX(Decrements!$D$6:$D$58,Census!$G103+AB$5-18)+IF(AB$5=$B103,INDEX(Decrements!$F$6:$F$58,Census!$G103+AB$5-18),0)+INDEX(Decrements!$E$6:$E$58,Census!$G103+AB$5-18)*IF((Census!$F103+AB$5)&gt;=Assumptions!$B$11,1,0))*MIN(15/26*Census!$D103*(1+Assumptions!$B$9)^AB$5*(INT((Census!$F103+AB$5))+IF((Census!$F103+AB$5)-INT((Census!$F103+AB$5))&gt;0.5,1,0)),Assumptions!$B$10))</f>
        <v>0</v>
      </c>
      <c r="AC103" s="30">
        <f>IF(AC$5&gt;$B103,0,INDEX(Decrements!$G$6:$G$58,Census!$G103+AC$5-18)/INDEX(Decrements!$G$6:$G$58,Census!$G103-17)*(INDEX(Decrements!$D$6:$D$58,Census!$G103+AC$5-18)+IF(AC$5=$B103,INDEX(Decrements!$F$6:$F$58,Census!$G103+AC$5-18),0)+INDEX(Decrements!$E$6:$E$58,Census!$G103+AC$5-18)*IF((Census!$F103+AC$5)&gt;=Assumptions!$B$11,1,0))*MIN(15/26*Census!$D103*(1+Assumptions!$B$9)^AC$5*(INT((Census!$F103+AC$5))+IF((Census!$F103+AC$5)-INT((Census!$F103+AC$5))&gt;0.5,1,0)),Assumptions!$B$10))</f>
        <v>0</v>
      </c>
      <c r="AD103" s="30">
        <f>IF(AD$5&gt;$B103,0,INDEX(Decrements!$G$6:$G$58,Census!$G103+AD$5-18)/INDEX(Decrements!$G$6:$G$58,Census!$G103-17)*(INDEX(Decrements!$D$6:$D$58,Census!$G103+AD$5-18)+IF(AD$5=$B103,INDEX(Decrements!$F$6:$F$58,Census!$G103+AD$5-18),0)+INDEX(Decrements!$E$6:$E$58,Census!$G103+AD$5-18)*IF((Census!$F103+AD$5)&gt;=Assumptions!$B$11,1,0))*MIN(15/26*Census!$D103*(1+Assumptions!$B$9)^AD$5*(INT((Census!$F103+AD$5))+IF((Census!$F103+AD$5)-INT((Census!$F103+AD$5))&gt;0.5,1,0)),Assumptions!$B$10))</f>
        <v>0</v>
      </c>
      <c r="AE103" s="30">
        <f>IF(AE$5&gt;$B103,0,INDEX(Decrements!$G$6:$G$58,Census!$G103+AE$5-18)/INDEX(Decrements!$G$6:$G$58,Census!$G103-17)*(INDEX(Decrements!$D$6:$D$58,Census!$G103+AE$5-18)+IF(AE$5=$B103,INDEX(Decrements!$F$6:$F$58,Census!$G103+AE$5-18),0)+INDEX(Decrements!$E$6:$E$58,Census!$G103+AE$5-18)*IF((Census!$F103+AE$5)&gt;=Assumptions!$B$11,1,0))*MIN(15/26*Census!$D103*(1+Assumptions!$B$9)^AE$5*(INT((Census!$F103+AE$5))+IF((Census!$F103+AE$5)-INT((Census!$F103+AE$5))&gt;0.5,1,0)),Assumptions!$B$10))</f>
        <v>0</v>
      </c>
      <c r="AF103" s="30">
        <f>IF(AF$5&gt;$B103,0,INDEX(Decrements!$G$6:$G$58,Census!$G103+AF$5-18)/INDEX(Decrements!$G$6:$G$58,Census!$G103-17)*(INDEX(Decrements!$D$6:$D$58,Census!$G103+AF$5-18)+IF(AF$5=$B103,INDEX(Decrements!$F$6:$F$58,Census!$G103+AF$5-18),0)+INDEX(Decrements!$E$6:$E$58,Census!$G103+AF$5-18)*IF((Census!$F103+AF$5)&gt;=Assumptions!$B$11,1,0))*MIN(15/26*Census!$D103*(1+Assumptions!$B$9)^AF$5*(INT((Census!$F103+AF$5))+IF((Census!$F103+AF$5)-INT((Census!$F103+AF$5))&gt;0.5,1,0)),Assumptions!$B$10))</f>
        <v>0</v>
      </c>
      <c r="AG103" s="30">
        <f>IF(AG$5&gt;$B103,0,INDEX(Decrements!$G$6:$G$58,Census!$G103+AG$5-18)/INDEX(Decrements!$G$6:$G$58,Census!$G103-17)*(INDEX(Decrements!$D$6:$D$58,Census!$G103+AG$5-18)+IF(AG$5=$B103,INDEX(Decrements!$F$6:$F$58,Census!$G103+AG$5-18),0)+INDEX(Decrements!$E$6:$E$58,Census!$G103+AG$5-18)*IF((Census!$F103+AG$5)&gt;=Assumptions!$B$11,1,0))*MIN(15/26*Census!$D103*(1+Assumptions!$B$9)^AG$5*(INT((Census!$F103+AG$5))+IF((Census!$F103+AG$5)-INT((Census!$F103+AG$5))&gt;0.5,1,0)),Assumptions!$B$10))</f>
        <v>0</v>
      </c>
      <c r="AH103" s="30">
        <f>IF(AH$5&gt;$B103,0,INDEX(Decrements!$G$6:$G$58,Census!$G103+AH$5-18)/INDEX(Decrements!$G$6:$G$58,Census!$G103-17)*(INDEX(Decrements!$D$6:$D$58,Census!$G103+AH$5-18)+IF(AH$5=$B103,INDEX(Decrements!$F$6:$F$58,Census!$G103+AH$5-18),0)+INDEX(Decrements!$E$6:$E$58,Census!$G103+AH$5-18)*IF((Census!$F103+AH$5)&gt;=Assumptions!$B$11,1,0))*MIN(15/26*Census!$D103*(1+Assumptions!$B$9)^AH$5*(INT((Census!$F103+AH$5))+IF((Census!$F103+AH$5)-INT((Census!$F103+AH$5))&gt;0.5,1,0)),Assumptions!$B$10))</f>
        <v>0</v>
      </c>
      <c r="AI103" s="30">
        <f>IF(AI$5&gt;$B103,0,INDEX(Decrements!$G$6:$G$58,Census!$G103+AI$5-18)/INDEX(Decrements!$G$6:$G$58,Census!$G103-17)*(INDEX(Decrements!$D$6:$D$58,Census!$G103+AI$5-18)+IF(AI$5=$B103,INDEX(Decrements!$F$6:$F$58,Census!$G103+AI$5-18),0)+INDEX(Decrements!$E$6:$E$58,Census!$G103+AI$5-18)*IF((Census!$F103+AI$5)&gt;=Assumptions!$B$11,1,0))*MIN(15/26*Census!$D103*(1+Assumptions!$B$9)^AI$5*(INT((Census!$F103+AI$5))+IF((Census!$F103+AI$5)-INT((Census!$F103+AI$5))&gt;0.5,1,0)),Assumptions!$B$10))</f>
        <v>0</v>
      </c>
      <c r="AJ103" s="30">
        <f>IF(AJ$5&gt;$B103,0,INDEX(Decrements!$G$6:$G$58,Census!$G103+AJ$5-18)/INDEX(Decrements!$G$6:$G$58,Census!$G103-17)*(INDEX(Decrements!$D$6:$D$58,Census!$G103+AJ$5-18)+IF(AJ$5=$B103,INDEX(Decrements!$F$6:$F$58,Census!$G103+AJ$5-18),0)+INDEX(Decrements!$E$6:$E$58,Census!$G103+AJ$5-18)*IF((Census!$F103+AJ$5)&gt;=Assumptions!$B$11,1,0))*MIN(15/26*Census!$D103*(1+Assumptions!$B$9)^AJ$5*(INT((Census!$F103+AJ$5))+IF((Census!$F103+AJ$5)-INT((Census!$F103+AJ$5))&gt;0.5,1,0)),Assumptions!$B$10))</f>
        <v>0</v>
      </c>
      <c r="AK103" s="30">
        <f>IF(AK$5&gt;$B103,0,INDEX(Decrements!$G$6:$G$58,Census!$G103+AK$5-18)/INDEX(Decrements!$G$6:$G$58,Census!$G103-17)*(INDEX(Decrements!$D$6:$D$58,Census!$G103+AK$5-18)+IF(AK$5=$B103,INDEX(Decrements!$F$6:$F$58,Census!$G103+AK$5-18),0)+INDEX(Decrements!$E$6:$E$58,Census!$G103+AK$5-18)*IF((Census!$F103+AK$5)&gt;=Assumptions!$B$11,1,0))*MIN(15/26*Census!$D103*(1+Assumptions!$B$9)^AK$5*(INT((Census!$F103+AK$5))+IF((Census!$F103+AK$5)-INT((Census!$F103+AK$5))&gt;0.5,1,0)),Assumptions!$B$10))</f>
        <v>0</v>
      </c>
      <c r="AL103" s="30">
        <f>IF(AL$5&gt;$B103,0,INDEX(Decrements!$G$6:$G$58,Census!$G103+AL$5-18)/INDEX(Decrements!$G$6:$G$58,Census!$G103-17)*(INDEX(Decrements!$D$6:$D$58,Census!$G103+AL$5-18)+IF(AL$5=$B103,INDEX(Decrements!$F$6:$F$58,Census!$G103+AL$5-18),0)+INDEX(Decrements!$E$6:$E$58,Census!$G103+AL$5-18)*IF((Census!$F103+AL$5)&gt;=Assumptions!$B$11,1,0))*MIN(15/26*Census!$D103*(1+Assumptions!$B$9)^AL$5*(INT((Census!$F103+AL$5))+IF((Census!$F103+AL$5)-INT((Census!$F103+AL$5))&gt;0.5,1,0)),Assumptions!$B$10))</f>
        <v>0</v>
      </c>
      <c r="AM103" s="30">
        <f>IF(AM$5&gt;$B103,0,INDEX(Decrements!$G$6:$G$58,Census!$G103+AM$5-18)/INDEX(Decrements!$G$6:$G$58,Census!$G103-17)*(INDEX(Decrements!$D$6:$D$58,Census!$G103+AM$5-18)+IF(AM$5=$B103,INDEX(Decrements!$F$6:$F$58,Census!$G103+AM$5-18),0)+INDEX(Decrements!$E$6:$E$58,Census!$G103+AM$5-18)*IF((Census!$F103+AM$5)&gt;=Assumptions!$B$11,1,0))*MIN(15/26*Census!$D103*(1+Assumptions!$B$9)^AM$5*(INT((Census!$F103+AM$5))+IF((Census!$F103+AM$5)-INT((Census!$F103+AM$5))&gt;0.5,1,0)),Assumptions!$B$10))</f>
        <v>0</v>
      </c>
      <c r="AN103" s="30">
        <f>IF(AN$5&gt;$B103,0,INDEX(Decrements!$G$6:$G$58,Census!$G103+AN$5-18)/INDEX(Decrements!$G$6:$G$58,Census!$G103-17)*(INDEX(Decrements!$D$6:$D$58,Census!$G103+AN$5-18)+IF(AN$5=$B103,INDEX(Decrements!$F$6:$F$58,Census!$G103+AN$5-18),0)+INDEX(Decrements!$E$6:$E$58,Census!$G103+AN$5-18)*IF((Census!$F103+AN$5)&gt;=Assumptions!$B$11,1,0))*MIN(15/26*Census!$D103*(1+Assumptions!$B$9)^AN$5*(INT((Census!$F103+AN$5))+IF((Census!$F103+AN$5)-INT((Census!$F103+AN$5))&gt;0.5,1,0)),Assumptions!$B$10))</f>
        <v>0</v>
      </c>
      <c r="AO103" s="30">
        <f>IF(AO$5&gt;$B103,0,INDEX(Decrements!$G$6:$G$58,Census!$G103+AO$5-18)/INDEX(Decrements!$G$6:$G$58,Census!$G103-17)*(INDEX(Decrements!$D$6:$D$58,Census!$G103+AO$5-18)+IF(AO$5=$B103,INDEX(Decrements!$F$6:$F$58,Census!$G103+AO$5-18),0)+INDEX(Decrements!$E$6:$E$58,Census!$G103+AO$5-18)*IF((Census!$F103+AO$5)&gt;=Assumptions!$B$11,1,0))*MIN(15/26*Census!$D103*(1+Assumptions!$B$9)^AO$5*(INT((Census!$F103+AO$5))+IF((Census!$F103+AO$5)-INT((Census!$F103+AO$5))&gt;0.5,1,0)),Assumptions!$B$10))</f>
        <v>0</v>
      </c>
      <c r="AP103" s="30">
        <f>IF(AP$5&gt;$B103,0,INDEX(Decrements!$G$6:$G$58,Census!$G103+AP$5-18)/INDEX(Decrements!$G$6:$G$58,Census!$G103-17)*(INDEX(Decrements!$D$6:$D$58,Census!$G103+AP$5-18)+IF(AP$5=$B103,INDEX(Decrements!$F$6:$F$58,Census!$G103+AP$5-18),0)+INDEX(Decrements!$E$6:$E$58,Census!$G103+AP$5-18)*IF((Census!$F103+AP$5)&gt;=Assumptions!$B$11,1,0))*MIN(15/26*Census!$D103*(1+Assumptions!$B$9)^AP$5*(INT((Census!$F103+AP$5))+IF((Census!$F103+AP$5)-INT((Census!$F103+AP$5))&gt;0.5,1,0)),Assumptions!$B$10))</f>
        <v>0</v>
      </c>
      <c r="AQ103" s="30">
        <f>IF(AQ$5&gt;$B103,0,INDEX(Decrements!$G$6:$G$58,Census!$G103+AQ$5-18)/INDEX(Decrements!$G$6:$G$58,Census!$G103-17)*(INDEX(Decrements!$D$6:$D$58,Census!$G103+AQ$5-18)+IF(AQ$5=$B103,INDEX(Decrements!$F$6:$F$58,Census!$G103+AQ$5-18),0)+INDEX(Decrements!$E$6:$E$58,Census!$G103+AQ$5-18)*IF((Census!$F103+AQ$5)&gt;=Assumptions!$B$11,1,0))*MIN(15/26*Census!$D103*(1+Assumptions!$B$9)^AQ$5*(INT((Census!$F103+AQ$5))+IF((Census!$F103+AQ$5)-INT((Census!$F103+AQ$5))&gt;0.5,1,0)),Assumptions!$B$10))</f>
        <v>0</v>
      </c>
      <c r="AR103" s="30">
        <f>IF(AR$5&gt;$B103,0,INDEX(Decrements!$G$6:$G$58,Census!$G103+AR$5-18)/INDEX(Decrements!$G$6:$G$58,Census!$G103-17)*(INDEX(Decrements!$D$6:$D$58,Census!$G103+AR$5-18)+IF(AR$5=$B103,INDEX(Decrements!$F$6:$F$58,Census!$G103+AR$5-18),0)+INDEX(Decrements!$E$6:$E$58,Census!$G103+AR$5-18)*IF((Census!$F103+AR$5)&gt;=Assumptions!$B$11,1,0))*MIN(15/26*Census!$D103*(1+Assumptions!$B$9)^AR$5*(INT((Census!$F103+AR$5))+IF((Census!$F103+AR$5)-INT((Census!$F103+AR$5))&gt;0.5,1,0)),Assumptions!$B$10))</f>
        <v>0</v>
      </c>
      <c r="AS103" s="30">
        <f>IF(AS$5&gt;$B103,0,INDEX(Decrements!$G$6:$G$58,Census!$G103+AS$5-18)/INDEX(Decrements!$G$6:$G$58,Census!$G103-17)*(INDEX(Decrements!$D$6:$D$58,Census!$G103+AS$5-18)+IF(AS$5=$B103,INDEX(Decrements!$F$6:$F$58,Census!$G103+AS$5-18),0)+INDEX(Decrements!$E$6:$E$58,Census!$G103+AS$5-18)*IF((Census!$F103+AS$5)&gt;=Assumptions!$B$11,1,0))*MIN(15/26*Census!$D103*(1+Assumptions!$B$9)^AS$5*(INT((Census!$F103+AS$5))+IF((Census!$F103+AS$5)-INT((Census!$F103+AS$5))&gt;0.5,1,0)),Assumptions!$B$10))</f>
        <v>0</v>
      </c>
      <c r="AT103" s="30">
        <f>IF(AT$5&gt;$B103,0,INDEX(Decrements!$G$6:$G$58,Census!$G103+AT$5-18)/INDEX(Decrements!$G$6:$G$58,Census!$G103-17)*(INDEX(Decrements!$D$6:$D$58,Census!$G103+AT$5-18)+IF(AT$5=$B103,INDEX(Decrements!$F$6:$F$58,Census!$G103+AT$5-18),0)+INDEX(Decrements!$E$6:$E$58,Census!$G103+AT$5-18)*IF((Census!$F103+AT$5)&gt;=Assumptions!$B$11,1,0))*MIN(15/26*Census!$D103*(1+Assumptions!$B$9)^AT$5*(INT((Census!$F103+AT$5))+IF((Census!$F103+AT$5)-INT((Census!$F103+AT$5))&gt;0.5,1,0)),Assumptions!$B$10))</f>
        <v>0</v>
      </c>
      <c r="AU103" s="30">
        <f>IF(AU$5&gt;$B103,0,INDEX(Decrements!$G$6:$G$58,Census!$G103+AU$5-18)/INDEX(Decrements!$G$6:$G$58,Census!$G103-17)*(INDEX(Decrements!$D$6:$D$58,Census!$G103+AU$5-18)+IF(AU$5=$B103,INDEX(Decrements!$F$6:$F$58,Census!$G103+AU$5-18),0)+INDEX(Decrements!$E$6:$E$58,Census!$G103+AU$5-18)*IF((Census!$F103+AU$5)&gt;=Assumptions!$B$11,1,0))*MIN(15/26*Census!$D103*(1+Assumptions!$B$9)^AU$5*(INT((Census!$F103+AU$5))+IF((Census!$F103+AU$5)-INT((Census!$F103+AU$5))&gt;0.5,1,0)),Assumptions!$B$10))</f>
        <v>0</v>
      </c>
    </row>
    <row r="104" spans="1:47" x14ac:dyDescent="0.3">
      <c r="A104" s="10" t="str">
        <f>Census!A104</f>
        <v>E099</v>
      </c>
      <c r="B104" s="29">
        <f>Census!H104</f>
        <v>28</v>
      </c>
      <c r="C104" s="30">
        <f>IF(C$5&gt;$B104,0,INDEX(Decrements!$G$6:$G$58,Census!$G104+C$5-18)/INDEX(Decrements!$G$6:$G$58,Census!$G104-17)*(INDEX(Decrements!$D$6:$D$58,Census!$G104+C$5-18)+IF(C$5=$B104,INDEX(Decrements!$F$6:$F$58,Census!$G104+C$5-18),0)+INDEX(Decrements!$E$6:$E$58,Census!$G104+C$5-18)*IF((Census!$F104+C$5)&gt;=Assumptions!$B$11,1,0))*MIN(15/26*Census!$D104*(1+Assumptions!$B$9)^C$5*(INT((Census!$F104+C$5))+IF((Census!$F104+C$5)-INT((Census!$F104+C$5))&gt;0.5,1,0)),Assumptions!$B$10))</f>
        <v>71.004427878548867</v>
      </c>
      <c r="D104" s="30">
        <f>IF(D$5&gt;$B104,0,INDEX(Decrements!$G$6:$G$58,Census!$G104+D$5-18)/INDEX(Decrements!$G$6:$G$58,Census!$G104-17)*(INDEX(Decrements!$D$6:$D$58,Census!$G104+D$5-18)+IF(D$5=$B104,INDEX(Decrements!$F$6:$F$58,Census!$G104+D$5-18),0)+INDEX(Decrements!$E$6:$E$58,Census!$G104+D$5-18)*IF((Census!$F104+D$5)&gt;=Assumptions!$B$11,1,0))*MIN(15/26*Census!$D104*(1+Assumptions!$B$9)^D$5*(INT((Census!$F104+D$5))+IF((Census!$F104+D$5)-INT((Census!$F104+D$5))&gt;0.5,1,0)),Assumptions!$B$10))</f>
        <v>95.698766121386839</v>
      </c>
      <c r="E104" s="30">
        <f>IF(E$5&gt;$B104,0,INDEX(Decrements!$G$6:$G$58,Census!$G104+E$5-18)/INDEX(Decrements!$G$6:$G$58,Census!$G104-17)*(INDEX(Decrements!$D$6:$D$58,Census!$G104+E$5-18)+IF(E$5=$B104,INDEX(Decrements!$F$6:$F$58,Census!$G104+E$5-18),0)+INDEX(Decrements!$E$6:$E$58,Census!$G104+E$5-18)*IF((Census!$F104+E$5)&gt;=Assumptions!$B$11,1,0))*MIN(15/26*Census!$D104*(1+Assumptions!$B$9)^E$5*(INT((Census!$F104+E$5))+IF((Census!$F104+E$5)-INT((Census!$F104+E$5))&gt;0.5,1,0)),Assumptions!$B$10))</f>
        <v>121.18662346899978</v>
      </c>
      <c r="F104" s="30">
        <f>IF(F$5&gt;$B104,0,INDEX(Decrements!$G$6:$G$58,Census!$G104+F$5-18)/INDEX(Decrements!$G$6:$G$58,Census!$G104-17)*(INDEX(Decrements!$D$6:$D$58,Census!$G104+F$5-18)+IF(F$5=$B104,INDEX(Decrements!$F$6:$F$58,Census!$G104+F$5-18),0)+INDEX(Decrements!$E$6:$E$58,Census!$G104+F$5-18)*IF((Census!$F104+F$5)&gt;=Assumptions!$B$11,1,0))*MIN(15/26*Census!$D104*(1+Assumptions!$B$9)^F$5*(INT((Census!$F104+F$5))+IF((Census!$F104+F$5)-INT((Census!$F104+F$5))&gt;0.5,1,0)),Assumptions!$B$10))</f>
        <v>12779.008303910752</v>
      </c>
      <c r="G104" s="30">
        <f>IF(G$5&gt;$B104,0,INDEX(Decrements!$G$6:$G$58,Census!$G104+G$5-18)/INDEX(Decrements!$G$6:$G$58,Census!$G104-17)*(INDEX(Decrements!$D$6:$D$58,Census!$G104+G$5-18)+IF(G$5=$B104,INDEX(Decrements!$F$6:$F$58,Census!$G104+G$5-18),0)+INDEX(Decrements!$E$6:$E$58,Census!$G104+G$5-18)*IF((Census!$F104+G$5)&gt;=Assumptions!$B$11,1,0))*MIN(15/26*Census!$D104*(1+Assumptions!$B$9)^G$5*(INT((Census!$F104+G$5))+IF((Census!$F104+G$5)-INT((Census!$F104+G$5))&gt;0.5,1,0)),Assumptions!$B$10))</f>
        <v>14808.685709947318</v>
      </c>
      <c r="H104" s="30">
        <f>IF(H$5&gt;$B104,0,INDEX(Decrements!$G$6:$G$58,Census!$G104+H$5-18)/INDEX(Decrements!$G$6:$G$58,Census!$G104-17)*(INDEX(Decrements!$D$6:$D$58,Census!$G104+H$5-18)+IF(H$5=$B104,INDEX(Decrements!$F$6:$F$58,Census!$G104+H$5-18),0)+INDEX(Decrements!$E$6:$E$58,Census!$G104+H$5-18)*IF((Census!$F104+H$5)&gt;=Assumptions!$B$11,1,0))*MIN(15/26*Census!$D104*(1+Assumptions!$B$9)^H$5*(INT((Census!$F104+H$5))+IF((Census!$F104+H$5)-INT((Census!$F104+H$5))&gt;0.5,1,0)),Assumptions!$B$10))</f>
        <v>16810.640603349275</v>
      </c>
      <c r="I104" s="30">
        <f>IF(I$5&gt;$B104,0,INDEX(Decrements!$G$6:$G$58,Census!$G104+I$5-18)/INDEX(Decrements!$G$6:$G$58,Census!$G104-17)*(INDEX(Decrements!$D$6:$D$58,Census!$G104+I$5-18)+IF(I$5=$B104,INDEX(Decrements!$F$6:$F$58,Census!$G104+I$5-18),0)+INDEX(Decrements!$E$6:$E$58,Census!$G104+I$5-18)*IF((Census!$F104+I$5)&gt;=Assumptions!$B$11,1,0))*MIN(15/26*Census!$D104*(1+Assumptions!$B$9)^I$5*(INT((Census!$F104+I$5))+IF((Census!$F104+I$5)-INT((Census!$F104+I$5))&gt;0.5,1,0)),Assumptions!$B$10))</f>
        <v>18785.211296062098</v>
      </c>
      <c r="J104" s="30">
        <f>IF(J$5&gt;$B104,0,INDEX(Decrements!$G$6:$G$58,Census!$G104+J$5-18)/INDEX(Decrements!$G$6:$G$58,Census!$G104-17)*(INDEX(Decrements!$D$6:$D$58,Census!$G104+J$5-18)+IF(J$5=$B104,INDEX(Decrements!$F$6:$F$58,Census!$G104+J$5-18),0)+INDEX(Decrements!$E$6:$E$58,Census!$G104+J$5-18)*IF((Census!$F104+J$5)&gt;=Assumptions!$B$11,1,0))*MIN(15/26*Census!$D104*(1+Assumptions!$B$9)^J$5*(INT((Census!$F104+J$5))+IF((Census!$F104+J$5)-INT((Census!$F104+J$5))&gt;0.5,1,0)),Assumptions!$B$10))</f>
        <v>20732.738017249761</v>
      </c>
      <c r="K104" s="30">
        <f>IF(K$5&gt;$B104,0,INDEX(Decrements!$G$6:$G$58,Census!$G104+K$5-18)/INDEX(Decrements!$G$6:$G$58,Census!$G104-17)*(INDEX(Decrements!$D$6:$D$58,Census!$G104+K$5-18)+IF(K$5=$B104,INDEX(Decrements!$F$6:$F$58,Census!$G104+K$5-18),0)+INDEX(Decrements!$E$6:$E$58,Census!$G104+K$5-18)*IF((Census!$F104+K$5)&gt;=Assumptions!$B$11,1,0))*MIN(15/26*Census!$D104*(1+Assumptions!$B$9)^K$5*(INT((Census!$F104+K$5))+IF((Census!$F104+K$5)-INT((Census!$F104+K$5))&gt;0.5,1,0)),Assumptions!$B$10))</f>
        <v>14299.517969516197</v>
      </c>
      <c r="L104" s="30">
        <f>IF(L$5&gt;$B104,0,INDEX(Decrements!$G$6:$G$58,Census!$G104+L$5-18)/INDEX(Decrements!$G$6:$G$58,Census!$G104-17)*(INDEX(Decrements!$D$6:$D$58,Census!$G104+L$5-18)+IF(L$5=$B104,INDEX(Decrements!$F$6:$F$58,Census!$G104+L$5-18),0)+INDEX(Decrements!$E$6:$E$58,Census!$G104+L$5-18)*IF((Census!$F104+L$5)&gt;=Assumptions!$B$11,1,0))*MIN(15/26*Census!$D104*(1+Assumptions!$B$9)^L$5*(INT((Census!$F104+L$5))+IF((Census!$F104+L$5)-INT((Census!$F104+L$5))&gt;0.5,1,0)),Assumptions!$B$10))</f>
        <v>16011.554504262986</v>
      </c>
      <c r="M104" s="30">
        <f>IF(M$5&gt;$B104,0,INDEX(Decrements!$G$6:$G$58,Census!$G104+M$5-18)/INDEX(Decrements!$G$6:$G$58,Census!$G104-17)*(INDEX(Decrements!$D$6:$D$58,Census!$G104+M$5-18)+IF(M$5=$B104,INDEX(Decrements!$F$6:$F$58,Census!$G104+M$5-18),0)+INDEX(Decrements!$E$6:$E$58,Census!$G104+M$5-18)*IF((Census!$F104+M$5)&gt;=Assumptions!$B$11,1,0))*MIN(15/26*Census!$D104*(1+Assumptions!$B$9)^M$5*(INT((Census!$F104+M$5))+IF((Census!$F104+M$5)-INT((Census!$F104+M$5))&gt;0.5,1,0)),Assumptions!$B$10))</f>
        <v>17805.431672765204</v>
      </c>
      <c r="N104" s="30">
        <f>IF(N$5&gt;$B104,0,INDEX(Decrements!$G$6:$G$58,Census!$G104+N$5-18)/INDEX(Decrements!$G$6:$G$58,Census!$G104-17)*(INDEX(Decrements!$D$6:$D$58,Census!$G104+N$5-18)+IF(N$5=$B104,INDEX(Decrements!$F$6:$F$58,Census!$G104+N$5-18),0)+INDEX(Decrements!$E$6:$E$58,Census!$G104+N$5-18)*IF((Census!$F104+N$5)&gt;=Assumptions!$B$11,1,0))*MIN(15/26*Census!$D104*(1+Assumptions!$B$9)^N$5*(INT((Census!$F104+N$5))+IF((Census!$F104+N$5)-INT((Census!$F104+N$5))&gt;0.5,1,0)),Assumptions!$B$10))</f>
        <v>19684.77519591646</v>
      </c>
      <c r="O104" s="30">
        <f>IF(O$5&gt;$B104,0,INDEX(Decrements!$G$6:$G$58,Census!$G104+O$5-18)/INDEX(Decrements!$G$6:$G$58,Census!$G104-17)*(INDEX(Decrements!$D$6:$D$58,Census!$G104+O$5-18)+IF(O$5=$B104,INDEX(Decrements!$F$6:$F$58,Census!$G104+O$5-18),0)+INDEX(Decrements!$E$6:$E$58,Census!$G104+O$5-18)*IF((Census!$F104+O$5)&gt;=Assumptions!$B$11,1,0))*MIN(15/26*Census!$D104*(1+Assumptions!$B$9)^O$5*(INT((Census!$F104+O$5))+IF((Census!$F104+O$5)-INT((Census!$F104+O$5))&gt;0.5,1,0)),Assumptions!$B$10))</f>
        <v>21653.422665244074</v>
      </c>
      <c r="P104" s="30">
        <f>IF(P$5&gt;$B104,0,INDEX(Decrements!$G$6:$G$58,Census!$G104+P$5-18)/INDEX(Decrements!$G$6:$G$58,Census!$G104-17)*(INDEX(Decrements!$D$6:$D$58,Census!$G104+P$5-18)+IF(P$5=$B104,INDEX(Decrements!$F$6:$F$58,Census!$G104+P$5-18),0)+INDEX(Decrements!$E$6:$E$58,Census!$G104+P$5-18)*IF((Census!$F104+P$5)&gt;=Assumptions!$B$11,1,0))*MIN(15/26*Census!$D104*(1+Assumptions!$B$9)^P$5*(INT((Census!$F104+P$5))+IF((Census!$F104+P$5)-INT((Census!$F104+P$5))&gt;0.5,1,0)),Assumptions!$B$10))</f>
        <v>14582.070160024374</v>
      </c>
      <c r="Q104" s="30">
        <f>IF(Q$5&gt;$B104,0,INDEX(Decrements!$G$6:$G$58,Census!$G104+Q$5-18)/INDEX(Decrements!$G$6:$G$58,Census!$G104-17)*(INDEX(Decrements!$D$6:$D$58,Census!$G104+Q$5-18)+IF(Q$5=$B104,INDEX(Decrements!$F$6:$F$58,Census!$G104+Q$5-18),0)+INDEX(Decrements!$E$6:$E$58,Census!$G104+Q$5-18)*IF((Census!$F104+Q$5)&gt;=Assumptions!$B$11,1,0))*MIN(15/26*Census!$D104*(1+Assumptions!$B$9)^Q$5*(INT((Census!$F104+Q$5))+IF((Census!$F104+Q$5)-INT((Census!$F104+Q$5))&gt;0.5,1,0)),Assumptions!$B$10))</f>
        <v>16274.913716874333</v>
      </c>
      <c r="R104" s="30">
        <f>IF(R$5&gt;$B104,0,INDEX(Decrements!$G$6:$G$58,Census!$G104+R$5-18)/INDEX(Decrements!$G$6:$G$58,Census!$G104-17)*(INDEX(Decrements!$D$6:$D$58,Census!$G104+R$5-18)+IF(R$5=$B104,INDEX(Decrements!$F$6:$F$58,Census!$G104+R$5-18),0)+INDEX(Decrements!$E$6:$E$58,Census!$G104+R$5-18)*IF((Census!$F104+R$5)&gt;=Assumptions!$B$11,1,0))*MIN(15/26*Census!$D104*(1+Assumptions!$B$9)^R$5*(INT((Census!$F104+R$5))+IF((Census!$F104+R$5)-INT((Census!$F104+R$5))&gt;0.5,1,0)),Assumptions!$B$10))</f>
        <v>18106.589418891406</v>
      </c>
      <c r="S104" s="30">
        <f>IF(S$5&gt;$B104,0,INDEX(Decrements!$G$6:$G$58,Census!$G104+S$5-18)/INDEX(Decrements!$G$6:$G$58,Census!$G104-17)*(INDEX(Decrements!$D$6:$D$58,Census!$G104+S$5-18)+IF(S$5=$B104,INDEX(Decrements!$F$6:$F$58,Census!$G104+S$5-18),0)+INDEX(Decrements!$E$6:$E$58,Census!$G104+S$5-18)*IF((Census!$F104+S$5)&gt;=Assumptions!$B$11,1,0))*MIN(15/26*Census!$D104*(1+Assumptions!$B$9)^S$5*(INT((Census!$F104+S$5))+IF((Census!$F104+S$5)-INT((Census!$F104+S$5))&gt;0.5,1,0)),Assumptions!$B$10))</f>
        <v>20088.435703035691</v>
      </c>
      <c r="T104" s="30">
        <f>IF(T$5&gt;$B104,0,INDEX(Decrements!$G$6:$G$58,Census!$G104+T$5-18)/INDEX(Decrements!$G$6:$G$58,Census!$G104-17)*(INDEX(Decrements!$D$6:$D$58,Census!$G104+T$5-18)+IF(T$5=$B104,INDEX(Decrements!$F$6:$F$58,Census!$G104+T$5-18),0)+INDEX(Decrements!$E$6:$E$58,Census!$G104+T$5-18)*IF((Census!$F104+T$5)&gt;=Assumptions!$B$11,1,0))*MIN(15/26*Census!$D104*(1+Assumptions!$B$9)^T$5*(INT((Census!$F104+T$5))+IF((Census!$F104+T$5)-INT((Census!$F104+T$5))&gt;0.5,1,0)),Assumptions!$B$10))</f>
        <v>20217.701659826253</v>
      </c>
      <c r="U104" s="30">
        <f>IF(U$5&gt;$B104,0,INDEX(Decrements!$G$6:$G$58,Census!$G104+U$5-18)/INDEX(Decrements!$G$6:$G$58,Census!$G104-17)*(INDEX(Decrements!$D$6:$D$58,Census!$G104+U$5-18)+IF(U$5=$B104,INDEX(Decrements!$F$6:$F$58,Census!$G104+U$5-18),0)+INDEX(Decrements!$E$6:$E$58,Census!$G104+U$5-18)*IF((Census!$F104+U$5)&gt;=Assumptions!$B$11,1,0))*MIN(15/26*Census!$D104*(1+Assumptions!$B$9)^U$5*(INT((Census!$F104+U$5))+IF((Census!$F104+U$5)-INT((Census!$F104+U$5))&gt;0.5,1,0)),Assumptions!$B$10))</f>
        <v>13699.006311373214</v>
      </c>
      <c r="V104" s="30">
        <f>IF(V$5&gt;$B104,0,INDEX(Decrements!$G$6:$G$58,Census!$G104+V$5-18)/INDEX(Decrements!$G$6:$G$58,Census!$G104-17)*(INDEX(Decrements!$D$6:$D$58,Census!$G104+V$5-18)+IF(V$5=$B104,INDEX(Decrements!$F$6:$F$58,Census!$G104+V$5-18),0)+INDEX(Decrements!$E$6:$E$58,Census!$G104+V$5-18)*IF((Census!$F104+V$5)&gt;=Assumptions!$B$11,1,0))*MIN(15/26*Census!$D104*(1+Assumptions!$B$9)^V$5*(INT((Census!$F104+V$5))+IF((Census!$F104+V$5)-INT((Census!$F104+V$5))&gt;0.5,1,0)),Assumptions!$B$10))</f>
        <v>13527.943738582888</v>
      </c>
      <c r="W104" s="30">
        <f>IF(W$5&gt;$B104,0,INDEX(Decrements!$G$6:$G$58,Census!$G104+W$5-18)/INDEX(Decrements!$G$6:$G$58,Census!$G104-17)*(INDEX(Decrements!$D$6:$D$58,Census!$G104+W$5-18)+IF(W$5=$B104,INDEX(Decrements!$F$6:$F$58,Census!$G104+W$5-18),0)+INDEX(Decrements!$E$6:$E$58,Census!$G104+W$5-18)*IF((Census!$F104+W$5)&gt;=Assumptions!$B$11,1,0))*MIN(15/26*Census!$D104*(1+Assumptions!$B$9)^W$5*(INT((Census!$F104+W$5))+IF((Census!$F104+W$5)-INT((Census!$F104+W$5))&gt;0.5,1,0)),Assumptions!$B$10))</f>
        <v>13368.035154970408</v>
      </c>
      <c r="X104" s="30">
        <f>IF(X$5&gt;$B104,0,INDEX(Decrements!$G$6:$G$58,Census!$G104+X$5-18)/INDEX(Decrements!$G$6:$G$58,Census!$G104-17)*(INDEX(Decrements!$D$6:$D$58,Census!$G104+X$5-18)+IF(X$5=$B104,INDEX(Decrements!$F$6:$F$58,Census!$G104+X$5-18),0)+INDEX(Decrements!$E$6:$E$58,Census!$G104+X$5-18)*IF((Census!$F104+X$5)&gt;=Assumptions!$B$11,1,0))*MIN(15/26*Census!$D104*(1+Assumptions!$B$9)^X$5*(INT((Census!$F104+X$5))+IF((Census!$F104+X$5)-INT((Census!$F104+X$5))&gt;0.5,1,0)),Assumptions!$B$10))</f>
        <v>13219.515597089739</v>
      </c>
      <c r="Y104" s="30">
        <f>IF(Y$5&gt;$B104,0,INDEX(Decrements!$G$6:$G$58,Census!$G104+Y$5-18)/INDEX(Decrements!$G$6:$G$58,Census!$G104-17)*(INDEX(Decrements!$D$6:$D$58,Census!$G104+Y$5-18)+IF(Y$5=$B104,INDEX(Decrements!$F$6:$F$58,Census!$G104+Y$5-18),0)+INDEX(Decrements!$E$6:$E$58,Census!$G104+Y$5-18)*IF((Census!$F104+Y$5)&gt;=Assumptions!$B$11,1,0))*MIN(15/26*Census!$D104*(1+Assumptions!$B$9)^Y$5*(INT((Census!$F104+Y$5))+IF((Census!$F104+Y$5)-INT((Census!$F104+Y$5))&gt;0.5,1,0)),Assumptions!$B$10))</f>
        <v>13082.627857677857</v>
      </c>
      <c r="Z104" s="30">
        <f>IF(Z$5&gt;$B104,0,INDEX(Decrements!$G$6:$G$58,Census!$G104+Z$5-18)/INDEX(Decrements!$G$6:$G$58,Census!$G104-17)*(INDEX(Decrements!$D$6:$D$58,Census!$G104+Z$5-18)+IF(Z$5=$B104,INDEX(Decrements!$F$6:$F$58,Census!$G104+Z$5-18),0)+INDEX(Decrements!$E$6:$E$58,Census!$G104+Z$5-18)*IF((Census!$F104+Z$5)&gt;=Assumptions!$B$11,1,0))*MIN(15/26*Census!$D104*(1+Assumptions!$B$9)^Z$5*(INT((Census!$F104+Z$5))+IF((Census!$F104+Z$5)-INT((Census!$F104+Z$5))&gt;0.5,1,0)),Assumptions!$B$10))</f>
        <v>7642.0631822858595</v>
      </c>
      <c r="AA104" s="30">
        <f>IF(AA$5&gt;$B104,0,INDEX(Decrements!$G$6:$G$58,Census!$G104+AA$5-18)/INDEX(Decrements!$G$6:$G$58,Census!$G104-17)*(INDEX(Decrements!$D$6:$D$58,Census!$G104+AA$5-18)+IF(AA$5=$B104,INDEX(Decrements!$F$6:$F$58,Census!$G104+AA$5-18),0)+INDEX(Decrements!$E$6:$E$58,Census!$G104+AA$5-18)*IF((Census!$F104+AA$5)&gt;=Assumptions!$B$11,1,0))*MIN(15/26*Census!$D104*(1+Assumptions!$B$9)^AA$5*(INT((Census!$F104+AA$5))+IF((Census!$F104+AA$5)-INT((Census!$F104+AA$5))&gt;0.5,1,0)),Assumptions!$B$10))</f>
        <v>7738.416437906526</v>
      </c>
      <c r="AB104" s="30">
        <f>IF(AB$5&gt;$B104,0,INDEX(Decrements!$G$6:$G$58,Census!$G104+AB$5-18)/INDEX(Decrements!$G$6:$G$58,Census!$G104-17)*(INDEX(Decrements!$D$6:$D$58,Census!$G104+AB$5-18)+IF(AB$5=$B104,INDEX(Decrements!$F$6:$F$58,Census!$G104+AB$5-18),0)+INDEX(Decrements!$E$6:$E$58,Census!$G104+AB$5-18)*IF((Census!$F104+AB$5)&gt;=Assumptions!$B$11,1,0))*MIN(15/26*Census!$D104*(1+Assumptions!$B$9)^AB$5*(INT((Census!$F104+AB$5))+IF((Census!$F104+AB$5)-INT((Census!$F104+AB$5))&gt;0.5,1,0)),Assumptions!$B$10))</f>
        <v>7847.5184050412518</v>
      </c>
      <c r="AC104" s="30">
        <f>IF(AC$5&gt;$B104,0,INDEX(Decrements!$G$6:$G$58,Census!$G104+AC$5-18)/INDEX(Decrements!$G$6:$G$58,Census!$G104-17)*(INDEX(Decrements!$D$6:$D$58,Census!$G104+AC$5-18)+IF(AC$5=$B104,INDEX(Decrements!$F$6:$F$58,Census!$G104+AC$5-18),0)+INDEX(Decrements!$E$6:$E$58,Census!$G104+AC$5-18)*IF((Census!$F104+AC$5)&gt;=Assumptions!$B$11,1,0))*MIN(15/26*Census!$D104*(1+Assumptions!$B$9)^AC$5*(INT((Census!$F104+AC$5))+IF((Census!$F104+AC$5)-INT((Census!$F104+AC$5))&gt;0.5,1,0)),Assumptions!$B$10))</f>
        <v>7970.1105969586306</v>
      </c>
      <c r="AD104" s="30">
        <f>IF(AD$5&gt;$B104,0,INDEX(Decrements!$G$6:$G$58,Census!$G104+AD$5-18)/INDEX(Decrements!$G$6:$G$58,Census!$G104-17)*(INDEX(Decrements!$D$6:$D$58,Census!$G104+AD$5-18)+IF(AD$5=$B104,INDEX(Decrements!$F$6:$F$58,Census!$G104+AD$5-18),0)+INDEX(Decrements!$E$6:$E$58,Census!$G104+AD$5-18)*IF((Census!$F104+AD$5)&gt;=Assumptions!$B$11,1,0))*MIN(15/26*Census!$D104*(1+Assumptions!$B$9)^AD$5*(INT((Census!$F104+AD$5))+IF((Census!$F104+AD$5)-INT((Census!$F104+AD$5))&gt;0.5,1,0)),Assumptions!$B$10))</f>
        <v>502684.01240992476</v>
      </c>
      <c r="AE104" s="30">
        <f>IF(AE$5&gt;$B104,0,INDEX(Decrements!$G$6:$G$58,Census!$G104+AE$5-18)/INDEX(Decrements!$G$6:$G$58,Census!$G104-17)*(INDEX(Decrements!$D$6:$D$58,Census!$G104+AE$5-18)+IF(AE$5=$B104,INDEX(Decrements!$F$6:$F$58,Census!$G104+AE$5-18),0)+INDEX(Decrements!$E$6:$E$58,Census!$G104+AE$5-18)*IF((Census!$F104+AE$5)&gt;=Assumptions!$B$11,1,0))*MIN(15/26*Census!$D104*(1+Assumptions!$B$9)^AE$5*(INT((Census!$F104+AE$5))+IF((Census!$F104+AE$5)-INT((Census!$F104+AE$5))&gt;0.5,1,0)),Assumptions!$B$10))</f>
        <v>0</v>
      </c>
      <c r="AF104" s="30">
        <f>IF(AF$5&gt;$B104,0,INDEX(Decrements!$G$6:$G$58,Census!$G104+AF$5-18)/INDEX(Decrements!$G$6:$G$58,Census!$G104-17)*(INDEX(Decrements!$D$6:$D$58,Census!$G104+AF$5-18)+IF(AF$5=$B104,INDEX(Decrements!$F$6:$F$58,Census!$G104+AF$5-18),0)+INDEX(Decrements!$E$6:$E$58,Census!$G104+AF$5-18)*IF((Census!$F104+AF$5)&gt;=Assumptions!$B$11,1,0))*MIN(15/26*Census!$D104*(1+Assumptions!$B$9)^AF$5*(INT((Census!$F104+AF$5))+IF((Census!$F104+AF$5)-INT((Census!$F104+AF$5))&gt;0.5,1,0)),Assumptions!$B$10))</f>
        <v>0</v>
      </c>
      <c r="AG104" s="30">
        <f>IF(AG$5&gt;$B104,0,INDEX(Decrements!$G$6:$G$58,Census!$G104+AG$5-18)/INDEX(Decrements!$G$6:$G$58,Census!$G104-17)*(INDEX(Decrements!$D$6:$D$58,Census!$G104+AG$5-18)+IF(AG$5=$B104,INDEX(Decrements!$F$6:$F$58,Census!$G104+AG$5-18),0)+INDEX(Decrements!$E$6:$E$58,Census!$G104+AG$5-18)*IF((Census!$F104+AG$5)&gt;=Assumptions!$B$11,1,0))*MIN(15/26*Census!$D104*(1+Assumptions!$B$9)^AG$5*(INT((Census!$F104+AG$5))+IF((Census!$F104+AG$5)-INT((Census!$F104+AG$5))&gt;0.5,1,0)),Assumptions!$B$10))</f>
        <v>0</v>
      </c>
      <c r="AH104" s="30">
        <f>IF(AH$5&gt;$B104,0,INDEX(Decrements!$G$6:$G$58,Census!$G104+AH$5-18)/INDEX(Decrements!$G$6:$G$58,Census!$G104-17)*(INDEX(Decrements!$D$6:$D$58,Census!$G104+AH$5-18)+IF(AH$5=$B104,INDEX(Decrements!$F$6:$F$58,Census!$G104+AH$5-18),0)+INDEX(Decrements!$E$6:$E$58,Census!$G104+AH$5-18)*IF((Census!$F104+AH$5)&gt;=Assumptions!$B$11,1,0))*MIN(15/26*Census!$D104*(1+Assumptions!$B$9)^AH$5*(INT((Census!$F104+AH$5))+IF((Census!$F104+AH$5)-INT((Census!$F104+AH$5))&gt;0.5,1,0)),Assumptions!$B$10))</f>
        <v>0</v>
      </c>
      <c r="AI104" s="30">
        <f>IF(AI$5&gt;$B104,0,INDEX(Decrements!$G$6:$G$58,Census!$G104+AI$5-18)/INDEX(Decrements!$G$6:$G$58,Census!$G104-17)*(INDEX(Decrements!$D$6:$D$58,Census!$G104+AI$5-18)+IF(AI$5=$B104,INDEX(Decrements!$F$6:$F$58,Census!$G104+AI$5-18),0)+INDEX(Decrements!$E$6:$E$58,Census!$G104+AI$5-18)*IF((Census!$F104+AI$5)&gt;=Assumptions!$B$11,1,0))*MIN(15/26*Census!$D104*(1+Assumptions!$B$9)^AI$5*(INT((Census!$F104+AI$5))+IF((Census!$F104+AI$5)-INT((Census!$F104+AI$5))&gt;0.5,1,0)),Assumptions!$B$10))</f>
        <v>0</v>
      </c>
      <c r="AJ104" s="30">
        <f>IF(AJ$5&gt;$B104,0,INDEX(Decrements!$G$6:$G$58,Census!$G104+AJ$5-18)/INDEX(Decrements!$G$6:$G$58,Census!$G104-17)*(INDEX(Decrements!$D$6:$D$58,Census!$G104+AJ$5-18)+IF(AJ$5=$B104,INDEX(Decrements!$F$6:$F$58,Census!$G104+AJ$5-18),0)+INDEX(Decrements!$E$6:$E$58,Census!$G104+AJ$5-18)*IF((Census!$F104+AJ$5)&gt;=Assumptions!$B$11,1,0))*MIN(15/26*Census!$D104*(1+Assumptions!$B$9)^AJ$5*(INT((Census!$F104+AJ$5))+IF((Census!$F104+AJ$5)-INT((Census!$F104+AJ$5))&gt;0.5,1,0)),Assumptions!$B$10))</f>
        <v>0</v>
      </c>
      <c r="AK104" s="30">
        <f>IF(AK$5&gt;$B104,0,INDEX(Decrements!$G$6:$G$58,Census!$G104+AK$5-18)/INDEX(Decrements!$G$6:$G$58,Census!$G104-17)*(INDEX(Decrements!$D$6:$D$58,Census!$G104+AK$5-18)+IF(AK$5=$B104,INDEX(Decrements!$F$6:$F$58,Census!$G104+AK$5-18),0)+INDEX(Decrements!$E$6:$E$58,Census!$G104+AK$5-18)*IF((Census!$F104+AK$5)&gt;=Assumptions!$B$11,1,0))*MIN(15/26*Census!$D104*(1+Assumptions!$B$9)^AK$5*(INT((Census!$F104+AK$5))+IF((Census!$F104+AK$5)-INT((Census!$F104+AK$5))&gt;0.5,1,0)),Assumptions!$B$10))</f>
        <v>0</v>
      </c>
      <c r="AL104" s="30">
        <f>IF(AL$5&gt;$B104,0,INDEX(Decrements!$G$6:$G$58,Census!$G104+AL$5-18)/INDEX(Decrements!$G$6:$G$58,Census!$G104-17)*(INDEX(Decrements!$D$6:$D$58,Census!$G104+AL$5-18)+IF(AL$5=$B104,INDEX(Decrements!$F$6:$F$58,Census!$G104+AL$5-18),0)+INDEX(Decrements!$E$6:$E$58,Census!$G104+AL$5-18)*IF((Census!$F104+AL$5)&gt;=Assumptions!$B$11,1,0))*MIN(15/26*Census!$D104*(1+Assumptions!$B$9)^AL$5*(INT((Census!$F104+AL$5))+IF((Census!$F104+AL$5)-INT((Census!$F104+AL$5))&gt;0.5,1,0)),Assumptions!$B$10))</f>
        <v>0</v>
      </c>
      <c r="AM104" s="30">
        <f>IF(AM$5&gt;$B104,0,INDEX(Decrements!$G$6:$G$58,Census!$G104+AM$5-18)/INDEX(Decrements!$G$6:$G$58,Census!$G104-17)*(INDEX(Decrements!$D$6:$D$58,Census!$G104+AM$5-18)+IF(AM$5=$B104,INDEX(Decrements!$F$6:$F$58,Census!$G104+AM$5-18),0)+INDEX(Decrements!$E$6:$E$58,Census!$G104+AM$5-18)*IF((Census!$F104+AM$5)&gt;=Assumptions!$B$11,1,0))*MIN(15/26*Census!$D104*(1+Assumptions!$B$9)^AM$5*(INT((Census!$F104+AM$5))+IF((Census!$F104+AM$5)-INT((Census!$F104+AM$5))&gt;0.5,1,0)),Assumptions!$B$10))</f>
        <v>0</v>
      </c>
      <c r="AN104" s="30">
        <f>IF(AN$5&gt;$B104,0,INDEX(Decrements!$G$6:$G$58,Census!$G104+AN$5-18)/INDEX(Decrements!$G$6:$G$58,Census!$G104-17)*(INDEX(Decrements!$D$6:$D$58,Census!$G104+AN$5-18)+IF(AN$5=$B104,INDEX(Decrements!$F$6:$F$58,Census!$G104+AN$5-18),0)+INDEX(Decrements!$E$6:$E$58,Census!$G104+AN$5-18)*IF((Census!$F104+AN$5)&gt;=Assumptions!$B$11,1,0))*MIN(15/26*Census!$D104*(1+Assumptions!$B$9)^AN$5*(INT((Census!$F104+AN$5))+IF((Census!$F104+AN$5)-INT((Census!$F104+AN$5))&gt;0.5,1,0)),Assumptions!$B$10))</f>
        <v>0</v>
      </c>
      <c r="AO104" s="30">
        <f>IF(AO$5&gt;$B104,0,INDEX(Decrements!$G$6:$G$58,Census!$G104+AO$5-18)/INDEX(Decrements!$G$6:$G$58,Census!$G104-17)*(INDEX(Decrements!$D$6:$D$58,Census!$G104+AO$5-18)+IF(AO$5=$B104,INDEX(Decrements!$F$6:$F$58,Census!$G104+AO$5-18),0)+INDEX(Decrements!$E$6:$E$58,Census!$G104+AO$5-18)*IF((Census!$F104+AO$5)&gt;=Assumptions!$B$11,1,0))*MIN(15/26*Census!$D104*(1+Assumptions!$B$9)^AO$5*(INT((Census!$F104+AO$5))+IF((Census!$F104+AO$5)-INT((Census!$F104+AO$5))&gt;0.5,1,0)),Assumptions!$B$10))</f>
        <v>0</v>
      </c>
      <c r="AP104" s="30">
        <f>IF(AP$5&gt;$B104,0,INDEX(Decrements!$G$6:$G$58,Census!$G104+AP$5-18)/INDEX(Decrements!$G$6:$G$58,Census!$G104-17)*(INDEX(Decrements!$D$6:$D$58,Census!$G104+AP$5-18)+IF(AP$5=$B104,INDEX(Decrements!$F$6:$F$58,Census!$G104+AP$5-18),0)+INDEX(Decrements!$E$6:$E$58,Census!$G104+AP$5-18)*IF((Census!$F104+AP$5)&gt;=Assumptions!$B$11,1,0))*MIN(15/26*Census!$D104*(1+Assumptions!$B$9)^AP$5*(INT((Census!$F104+AP$5))+IF((Census!$F104+AP$5)-INT((Census!$F104+AP$5))&gt;0.5,1,0)),Assumptions!$B$10))</f>
        <v>0</v>
      </c>
      <c r="AQ104" s="30">
        <f>IF(AQ$5&gt;$B104,0,INDEX(Decrements!$G$6:$G$58,Census!$G104+AQ$5-18)/INDEX(Decrements!$G$6:$G$58,Census!$G104-17)*(INDEX(Decrements!$D$6:$D$58,Census!$G104+AQ$5-18)+IF(AQ$5=$B104,INDEX(Decrements!$F$6:$F$58,Census!$G104+AQ$5-18),0)+INDEX(Decrements!$E$6:$E$58,Census!$G104+AQ$5-18)*IF((Census!$F104+AQ$5)&gt;=Assumptions!$B$11,1,0))*MIN(15/26*Census!$D104*(1+Assumptions!$B$9)^AQ$5*(INT((Census!$F104+AQ$5))+IF((Census!$F104+AQ$5)-INT((Census!$F104+AQ$5))&gt;0.5,1,0)),Assumptions!$B$10))</f>
        <v>0</v>
      </c>
      <c r="AR104" s="30">
        <f>IF(AR$5&gt;$B104,0,INDEX(Decrements!$G$6:$G$58,Census!$G104+AR$5-18)/INDEX(Decrements!$G$6:$G$58,Census!$G104-17)*(INDEX(Decrements!$D$6:$D$58,Census!$G104+AR$5-18)+IF(AR$5=$B104,INDEX(Decrements!$F$6:$F$58,Census!$G104+AR$5-18),0)+INDEX(Decrements!$E$6:$E$58,Census!$G104+AR$5-18)*IF((Census!$F104+AR$5)&gt;=Assumptions!$B$11,1,0))*MIN(15/26*Census!$D104*(1+Assumptions!$B$9)^AR$5*(INT((Census!$F104+AR$5))+IF((Census!$F104+AR$5)-INT((Census!$F104+AR$5))&gt;0.5,1,0)),Assumptions!$B$10))</f>
        <v>0</v>
      </c>
      <c r="AS104" s="30">
        <f>IF(AS$5&gt;$B104,0,INDEX(Decrements!$G$6:$G$58,Census!$G104+AS$5-18)/INDEX(Decrements!$G$6:$G$58,Census!$G104-17)*(INDEX(Decrements!$D$6:$D$58,Census!$G104+AS$5-18)+IF(AS$5=$B104,INDEX(Decrements!$F$6:$F$58,Census!$G104+AS$5-18),0)+INDEX(Decrements!$E$6:$E$58,Census!$G104+AS$5-18)*IF((Census!$F104+AS$5)&gt;=Assumptions!$B$11,1,0))*MIN(15/26*Census!$D104*(1+Assumptions!$B$9)^AS$5*(INT((Census!$F104+AS$5))+IF((Census!$F104+AS$5)-INT((Census!$F104+AS$5))&gt;0.5,1,0)),Assumptions!$B$10))</f>
        <v>0</v>
      </c>
      <c r="AT104" s="30">
        <f>IF(AT$5&gt;$B104,0,INDEX(Decrements!$G$6:$G$58,Census!$G104+AT$5-18)/INDEX(Decrements!$G$6:$G$58,Census!$G104-17)*(INDEX(Decrements!$D$6:$D$58,Census!$G104+AT$5-18)+IF(AT$5=$B104,INDEX(Decrements!$F$6:$F$58,Census!$G104+AT$5-18),0)+INDEX(Decrements!$E$6:$E$58,Census!$G104+AT$5-18)*IF((Census!$F104+AT$5)&gt;=Assumptions!$B$11,1,0))*MIN(15/26*Census!$D104*(1+Assumptions!$B$9)^AT$5*(INT((Census!$F104+AT$5))+IF((Census!$F104+AT$5)-INT((Census!$F104+AT$5))&gt;0.5,1,0)),Assumptions!$B$10))</f>
        <v>0</v>
      </c>
      <c r="AU104" s="30">
        <f>IF(AU$5&gt;$B104,0,INDEX(Decrements!$G$6:$G$58,Census!$G104+AU$5-18)/INDEX(Decrements!$G$6:$G$58,Census!$G104-17)*(INDEX(Decrements!$D$6:$D$58,Census!$G104+AU$5-18)+IF(AU$5=$B104,INDEX(Decrements!$F$6:$F$58,Census!$G104+AU$5-18),0)+INDEX(Decrements!$E$6:$E$58,Census!$G104+AU$5-18)*IF((Census!$F104+AU$5)&gt;=Assumptions!$B$11,1,0))*MIN(15/26*Census!$D104*(1+Assumptions!$B$9)^AU$5*(INT((Census!$F104+AU$5))+IF((Census!$F104+AU$5)-INT((Census!$F104+AU$5))&gt;0.5,1,0)),Assumptions!$B$10))</f>
        <v>0</v>
      </c>
    </row>
    <row r="105" spans="1:47" x14ac:dyDescent="0.3">
      <c r="A105" s="10" t="str">
        <f>Census!A105</f>
        <v>E100</v>
      </c>
      <c r="B105" s="29">
        <f>Census!H105</f>
        <v>30</v>
      </c>
      <c r="C105" s="30">
        <f>IF(C$5&gt;$B105,0,INDEX(Decrements!$G$6:$G$58,Census!$G105+C$5-18)/INDEX(Decrements!$G$6:$G$58,Census!$G105-17)*(INDEX(Decrements!$D$6:$D$58,Census!$G105+C$5-18)+IF(C$5=$B105,INDEX(Decrements!$F$6:$F$58,Census!$G105+C$5-18),0)+INDEX(Decrements!$E$6:$E$58,Census!$G105+C$5-18)*IF((Census!$F105+C$5)&gt;=Assumptions!$B$11,1,0))*MIN(15/26*Census!$D105*(1+Assumptions!$B$9)^C$5*(INT((Census!$F105+C$5))+IF((Census!$F105+C$5)-INT((Census!$F105+C$5))&gt;0.5,1,0)),Assumptions!$B$10))</f>
        <v>28578.335236001731</v>
      </c>
      <c r="D105" s="30">
        <f>IF(D$5&gt;$B105,0,INDEX(Decrements!$G$6:$G$58,Census!$G105+D$5-18)/INDEX(Decrements!$G$6:$G$58,Census!$G105-17)*(INDEX(Decrements!$D$6:$D$58,Census!$G105+D$5-18)+IF(D$5=$B105,INDEX(Decrements!$F$6:$F$58,Census!$G105+D$5-18),0)+INDEX(Decrements!$E$6:$E$58,Census!$G105+D$5-18)*IF((Census!$F105+D$5)&gt;=Assumptions!$B$11,1,0))*MIN(15/26*Census!$D105*(1+Assumptions!$B$9)^D$5*(INT((Census!$F105+D$5))+IF((Census!$F105+D$5)-INT((Census!$F105+D$5))&gt;0.5,1,0)),Assumptions!$B$10))</f>
        <v>30888.599886736927</v>
      </c>
      <c r="E105" s="30">
        <f>IF(E$5&gt;$B105,0,INDEX(Decrements!$G$6:$G$58,Census!$G105+E$5-18)/INDEX(Decrements!$G$6:$G$58,Census!$G105-17)*(INDEX(Decrements!$D$6:$D$58,Census!$G105+E$5-18)+IF(E$5=$B105,INDEX(Decrements!$F$6:$F$58,Census!$G105+E$5-18),0)+INDEX(Decrements!$E$6:$E$58,Census!$G105+E$5-18)*IF((Census!$F105+E$5)&gt;=Assumptions!$B$11,1,0))*MIN(15/26*Census!$D105*(1+Assumptions!$B$9)^E$5*(INT((Census!$F105+E$5))+IF((Census!$F105+E$5)-INT((Census!$F105+E$5))&gt;0.5,1,0)),Assumptions!$B$10))</f>
        <v>32973.21635038263</v>
      </c>
      <c r="F105" s="30">
        <f>IF(F$5&gt;$B105,0,INDEX(Decrements!$G$6:$G$58,Census!$G105+F$5-18)/INDEX(Decrements!$G$6:$G$58,Census!$G105-17)*(INDEX(Decrements!$D$6:$D$58,Census!$G105+F$5-18)+IF(F$5=$B105,INDEX(Decrements!$F$6:$F$58,Census!$G105+F$5-18),0)+INDEX(Decrements!$E$6:$E$58,Census!$G105+F$5-18)*IF((Census!$F105+F$5)&gt;=Assumptions!$B$11,1,0))*MIN(15/26*Census!$D105*(1+Assumptions!$B$9)^F$5*(INT((Census!$F105+F$5))+IF((Census!$F105+F$5)-INT((Census!$F105+F$5))&gt;0.5,1,0)),Assumptions!$B$10))</f>
        <v>34846.253543073937</v>
      </c>
      <c r="G105" s="30">
        <f>IF(G$5&gt;$B105,0,INDEX(Decrements!$G$6:$G$58,Census!$G105+G$5-18)/INDEX(Decrements!$G$6:$G$58,Census!$G105-17)*(INDEX(Decrements!$D$6:$D$58,Census!$G105+G$5-18)+IF(G$5=$B105,INDEX(Decrements!$F$6:$F$58,Census!$G105+G$5-18),0)+INDEX(Decrements!$E$6:$E$58,Census!$G105+G$5-18)*IF((Census!$F105+G$5)&gt;=Assumptions!$B$11,1,0))*MIN(15/26*Census!$D105*(1+Assumptions!$B$9)^G$5*(INT((Census!$F105+G$5))+IF((Census!$F105+G$5)-INT((Census!$F105+G$5))&gt;0.5,1,0)),Assumptions!$B$10))</f>
        <v>36521.018594075169</v>
      </c>
      <c r="H105" s="30">
        <f>IF(H$5&gt;$B105,0,INDEX(Decrements!$G$6:$G$58,Census!$G105+H$5-18)/INDEX(Decrements!$G$6:$G$58,Census!$G105-17)*(INDEX(Decrements!$D$6:$D$58,Census!$G105+H$5-18)+IF(H$5=$B105,INDEX(Decrements!$F$6:$F$58,Census!$G105+H$5-18),0)+INDEX(Decrements!$E$6:$E$58,Census!$G105+H$5-18)*IF((Census!$F105+H$5)&gt;=Assumptions!$B$11,1,0))*MIN(15/26*Census!$D105*(1+Assumptions!$B$9)^H$5*(INT((Census!$F105+H$5))+IF((Census!$F105+H$5)-INT((Census!$F105+H$5))&gt;0.5,1,0)),Assumptions!$B$10))</f>
        <v>27736.188405090215</v>
      </c>
      <c r="I105" s="30">
        <f>IF(I$5&gt;$B105,0,INDEX(Decrements!$G$6:$G$58,Census!$G105+I$5-18)/INDEX(Decrements!$G$6:$G$58,Census!$G105-17)*(INDEX(Decrements!$D$6:$D$58,Census!$G105+I$5-18)+IF(I$5=$B105,INDEX(Decrements!$F$6:$F$58,Census!$G105+I$5-18),0)+INDEX(Decrements!$E$6:$E$58,Census!$G105+I$5-18)*IF((Census!$F105+I$5)&gt;=Assumptions!$B$11,1,0))*MIN(15/26*Census!$D105*(1+Assumptions!$B$9)^I$5*(INT((Census!$F105+I$5))+IF((Census!$F105+I$5)-INT((Census!$F105+I$5))&gt;0.5,1,0)),Assumptions!$B$10))</f>
        <v>29669.0770301794</v>
      </c>
      <c r="J105" s="30">
        <f>IF(J$5&gt;$B105,0,INDEX(Decrements!$G$6:$G$58,Census!$G105+J$5-18)/INDEX(Decrements!$G$6:$G$58,Census!$G105-17)*(INDEX(Decrements!$D$6:$D$58,Census!$G105+J$5-18)+IF(J$5=$B105,INDEX(Decrements!$F$6:$F$58,Census!$G105+J$5-18),0)+INDEX(Decrements!$E$6:$E$58,Census!$G105+J$5-18)*IF((Census!$F105+J$5)&gt;=Assumptions!$B$11,1,0))*MIN(15/26*Census!$D105*(1+Assumptions!$B$9)^J$5*(INT((Census!$F105+J$5))+IF((Census!$F105+J$5)-INT((Census!$F105+J$5))&gt;0.5,1,0)),Assumptions!$B$10))</f>
        <v>31574.978239738735</v>
      </c>
      <c r="K105" s="30">
        <f>IF(K$5&gt;$B105,0,INDEX(Decrements!$G$6:$G$58,Census!$G105+K$5-18)/INDEX(Decrements!$G$6:$G$58,Census!$G105-17)*(INDEX(Decrements!$D$6:$D$58,Census!$G105+K$5-18)+IF(K$5=$B105,INDEX(Decrements!$F$6:$F$58,Census!$G105+K$5-18),0)+INDEX(Decrements!$E$6:$E$58,Census!$G105+K$5-18)*IF((Census!$F105+K$5)&gt;=Assumptions!$B$11,1,0))*MIN(15/26*Census!$D105*(1+Assumptions!$B$9)^K$5*(INT((Census!$F105+K$5))+IF((Census!$F105+K$5)-INT((Census!$F105+K$5))&gt;0.5,1,0)),Assumptions!$B$10))</f>
        <v>33454.233362320148</v>
      </c>
      <c r="L105" s="30">
        <f>IF(L$5&gt;$B105,0,INDEX(Decrements!$G$6:$G$58,Census!$G105+L$5-18)/INDEX(Decrements!$G$6:$G$58,Census!$G105-17)*(INDEX(Decrements!$D$6:$D$58,Census!$G105+L$5-18)+IF(L$5=$B105,INDEX(Decrements!$F$6:$F$58,Census!$G105+L$5-18),0)+INDEX(Decrements!$E$6:$E$58,Census!$G105+L$5-18)*IF((Census!$F105+L$5)&gt;=Assumptions!$B$11,1,0))*MIN(15/26*Census!$D105*(1+Assumptions!$B$9)^L$5*(INT((Census!$F105+L$5))+IF((Census!$F105+L$5)-INT((Census!$F105+L$5))&gt;0.5,1,0)),Assumptions!$B$10))</f>
        <v>35307.186021042588</v>
      </c>
      <c r="M105" s="30">
        <f>IF(M$5&gt;$B105,0,INDEX(Decrements!$G$6:$G$58,Census!$G105+M$5-18)/INDEX(Decrements!$G$6:$G$58,Census!$G105-17)*(INDEX(Decrements!$D$6:$D$58,Census!$G105+M$5-18)+IF(M$5=$B105,INDEX(Decrements!$F$6:$F$58,Census!$G105+M$5-18),0)+INDEX(Decrements!$E$6:$E$58,Census!$G105+M$5-18)*IF((Census!$F105+M$5)&gt;=Assumptions!$B$11,1,0))*MIN(15/26*Census!$D105*(1+Assumptions!$B$9)^M$5*(INT((Census!$F105+M$5))+IF((Census!$F105+M$5)-INT((Census!$F105+M$5))&gt;0.5,1,0)),Assumptions!$B$10))</f>
        <v>23440.06125235292</v>
      </c>
      <c r="N105" s="30">
        <f>IF(N$5&gt;$B105,0,INDEX(Decrements!$G$6:$G$58,Census!$G105+N$5-18)/INDEX(Decrements!$G$6:$G$58,Census!$G105-17)*(INDEX(Decrements!$D$6:$D$58,Census!$G105+N$5-18)+IF(N$5=$B105,INDEX(Decrements!$F$6:$F$58,Census!$G105+N$5-18),0)+INDEX(Decrements!$E$6:$E$58,Census!$G105+N$5-18)*IF((Census!$F105+N$5)&gt;=Assumptions!$B$11,1,0))*MIN(15/26*Census!$D105*(1+Assumptions!$B$9)^N$5*(INT((Census!$F105+N$5))+IF((Census!$F105+N$5)-INT((Census!$F105+N$5))&gt;0.5,1,0)),Assumptions!$B$10))</f>
        <v>25395.886497586256</v>
      </c>
      <c r="O105" s="30">
        <f>IF(O$5&gt;$B105,0,INDEX(Decrements!$G$6:$G$58,Census!$G105+O$5-18)/INDEX(Decrements!$G$6:$G$58,Census!$G105-17)*(INDEX(Decrements!$D$6:$D$58,Census!$G105+O$5-18)+IF(O$5=$B105,INDEX(Decrements!$F$6:$F$58,Census!$G105+O$5-18),0)+INDEX(Decrements!$E$6:$E$58,Census!$G105+O$5-18)*IF((Census!$F105+O$5)&gt;=Assumptions!$B$11,1,0))*MIN(15/26*Census!$D105*(1+Assumptions!$B$9)^O$5*(INT((Census!$F105+O$5))+IF((Census!$F105+O$5)-INT((Census!$F105+O$5))&gt;0.5,1,0)),Assumptions!$B$10))</f>
        <v>27440.794087486924</v>
      </c>
      <c r="P105" s="30">
        <f>IF(P$5&gt;$B105,0,INDEX(Decrements!$G$6:$G$58,Census!$G105+P$5-18)/INDEX(Decrements!$G$6:$G$58,Census!$G105-17)*(INDEX(Decrements!$D$6:$D$58,Census!$G105+P$5-18)+IF(P$5=$B105,INDEX(Decrements!$F$6:$F$58,Census!$G105+P$5-18),0)+INDEX(Decrements!$E$6:$E$58,Census!$G105+P$5-18)*IF((Census!$F105+P$5)&gt;=Assumptions!$B$11,1,0))*MIN(15/26*Census!$D105*(1+Assumptions!$B$9)^P$5*(INT((Census!$F105+P$5))+IF((Census!$F105+P$5)-INT((Census!$F105+P$5))&gt;0.5,1,0)),Assumptions!$B$10))</f>
        <v>29578.710919148532</v>
      </c>
      <c r="Q105" s="30">
        <f>IF(Q$5&gt;$B105,0,INDEX(Decrements!$G$6:$G$58,Census!$G105+Q$5-18)/INDEX(Decrements!$G$6:$G$58,Census!$G105-17)*(INDEX(Decrements!$D$6:$D$58,Census!$G105+Q$5-18)+IF(Q$5=$B105,INDEX(Decrements!$F$6:$F$58,Census!$G105+Q$5-18),0)+INDEX(Decrements!$E$6:$E$58,Census!$G105+Q$5-18)*IF((Census!$F105+Q$5)&gt;=Assumptions!$B$11,1,0))*MIN(15/26*Census!$D105*(1+Assumptions!$B$9)^Q$5*(INT((Census!$F105+Q$5))+IF((Census!$F105+Q$5)-INT((Census!$F105+Q$5))&gt;0.5,1,0)),Assumptions!$B$10))</f>
        <v>30508.356395530005</v>
      </c>
      <c r="R105" s="30">
        <f>IF(R$5&gt;$B105,0,INDEX(Decrements!$G$6:$G$58,Census!$G105+R$5-18)/INDEX(Decrements!$G$6:$G$58,Census!$G105-17)*(INDEX(Decrements!$D$6:$D$58,Census!$G105+R$5-18)+IF(R$5=$B105,INDEX(Decrements!$F$6:$F$58,Census!$G105+R$5-18),0)+INDEX(Decrements!$E$6:$E$58,Census!$G105+R$5-18)*IF((Census!$F105+R$5)&gt;=Assumptions!$B$11,1,0))*MIN(15/26*Census!$D105*(1+Assumptions!$B$9)^R$5*(INT((Census!$F105+R$5))+IF((Census!$F105+R$5)-INT((Census!$F105+R$5))&gt;0.5,1,0)),Assumptions!$B$10))</f>
        <v>17834.418860330734</v>
      </c>
      <c r="S105" s="30">
        <f>IF(S$5&gt;$B105,0,INDEX(Decrements!$G$6:$G$58,Census!$G105+S$5-18)/INDEX(Decrements!$G$6:$G$58,Census!$G105-17)*(INDEX(Decrements!$D$6:$D$58,Census!$G105+S$5-18)+IF(S$5=$B105,INDEX(Decrements!$F$6:$F$58,Census!$G105+S$5-18),0)+INDEX(Decrements!$E$6:$E$58,Census!$G105+S$5-18)*IF((Census!$F105+S$5)&gt;=Assumptions!$B$11,1,0))*MIN(15/26*Census!$D105*(1+Assumptions!$B$9)^S$5*(INT((Census!$F105+S$5))+IF((Census!$F105+S$5)-INT((Census!$F105+S$5))&gt;0.5,1,0)),Assumptions!$B$10))</f>
        <v>17346.257114024436</v>
      </c>
      <c r="T105" s="30">
        <f>IF(T$5&gt;$B105,0,INDEX(Decrements!$G$6:$G$58,Census!$G105+T$5-18)/INDEX(Decrements!$G$6:$G$58,Census!$G105-17)*(INDEX(Decrements!$D$6:$D$58,Census!$G105+T$5-18)+IF(T$5=$B105,INDEX(Decrements!$F$6:$F$58,Census!$G105+T$5-18),0)+INDEX(Decrements!$E$6:$E$58,Census!$G105+T$5-18)*IF((Census!$F105+T$5)&gt;=Assumptions!$B$11,1,0))*MIN(15/26*Census!$D105*(1+Assumptions!$B$9)^T$5*(INT((Census!$F105+T$5))+IF((Census!$F105+T$5)-INT((Census!$F105+T$5))&gt;0.5,1,0)),Assumptions!$B$10))</f>
        <v>16876.267442662167</v>
      </c>
      <c r="U105" s="30">
        <f>IF(U$5&gt;$B105,0,INDEX(Decrements!$G$6:$G$58,Census!$G105+U$5-18)/INDEX(Decrements!$G$6:$G$58,Census!$G105-17)*(INDEX(Decrements!$D$6:$D$58,Census!$G105+U$5-18)+IF(U$5=$B105,INDEX(Decrements!$F$6:$F$58,Census!$G105+U$5-18),0)+INDEX(Decrements!$E$6:$E$58,Census!$G105+U$5-18)*IF((Census!$F105+U$5)&gt;=Assumptions!$B$11,1,0))*MIN(15/26*Census!$D105*(1+Assumptions!$B$9)^U$5*(INT((Census!$F105+U$5))+IF((Census!$F105+U$5)-INT((Census!$F105+U$5))&gt;0.5,1,0)),Assumptions!$B$10))</f>
        <v>16424.078548851645</v>
      </c>
      <c r="V105" s="30">
        <f>IF(V$5&gt;$B105,0,INDEX(Decrements!$G$6:$G$58,Census!$G105+V$5-18)/INDEX(Decrements!$G$6:$G$58,Census!$G105-17)*(INDEX(Decrements!$D$6:$D$58,Census!$G105+V$5-18)+IF(V$5=$B105,INDEX(Decrements!$F$6:$F$58,Census!$G105+V$5-18),0)+INDEX(Decrements!$E$6:$E$58,Census!$G105+V$5-18)*IF((Census!$F105+V$5)&gt;=Assumptions!$B$11,1,0))*MIN(15/26*Census!$D105*(1+Assumptions!$B$9)^V$5*(INT((Census!$F105+V$5))+IF((Census!$F105+V$5)-INT((Census!$F105+V$5))&gt;0.5,1,0)),Assumptions!$B$10))</f>
        <v>15989.335540682634</v>
      </c>
      <c r="W105" s="30">
        <f>IF(W$5&gt;$B105,0,INDEX(Decrements!$G$6:$G$58,Census!$G105+W$5-18)/INDEX(Decrements!$G$6:$G$58,Census!$G105-17)*(INDEX(Decrements!$D$6:$D$58,Census!$G105+W$5-18)+IF(W$5=$B105,INDEX(Decrements!$F$6:$F$58,Census!$G105+W$5-18),0)+INDEX(Decrements!$E$6:$E$58,Census!$G105+W$5-18)*IF((Census!$F105+W$5)&gt;=Assumptions!$B$11,1,0))*MIN(15/26*Census!$D105*(1+Assumptions!$B$9)^W$5*(INT((Census!$F105+W$5))+IF((Census!$F105+W$5)-INT((Census!$F105+W$5))&gt;0.5,1,0)),Assumptions!$B$10))</f>
        <v>10833.971742778096</v>
      </c>
      <c r="X105" s="30">
        <f>IF(X$5&gt;$B105,0,INDEX(Decrements!$G$6:$G$58,Census!$G105+X$5-18)/INDEX(Decrements!$G$6:$G$58,Census!$G105-17)*(INDEX(Decrements!$D$6:$D$58,Census!$G105+X$5-18)+IF(X$5=$B105,INDEX(Decrements!$F$6:$F$58,Census!$G105+X$5-18),0)+INDEX(Decrements!$E$6:$E$58,Census!$G105+X$5-18)*IF((Census!$F105+X$5)&gt;=Assumptions!$B$11,1,0))*MIN(15/26*Census!$D105*(1+Assumptions!$B$9)^X$5*(INT((Census!$F105+X$5))+IF((Census!$F105+X$5)-INT((Census!$F105+X$5))&gt;0.5,1,0)),Assumptions!$B$10))</f>
        <v>10698.685501007501</v>
      </c>
      <c r="Y105" s="30">
        <f>IF(Y$5&gt;$B105,0,INDEX(Decrements!$G$6:$G$58,Census!$G105+Y$5-18)/INDEX(Decrements!$G$6:$G$58,Census!$G105-17)*(INDEX(Decrements!$D$6:$D$58,Census!$G105+Y$5-18)+IF(Y$5=$B105,INDEX(Decrements!$F$6:$F$58,Census!$G105+Y$5-18),0)+INDEX(Decrements!$E$6:$E$58,Census!$G105+Y$5-18)*IF((Census!$F105+Y$5)&gt;=Assumptions!$B$11,1,0))*MIN(15/26*Census!$D105*(1+Assumptions!$B$9)^Y$5*(INT((Census!$F105+Y$5))+IF((Census!$F105+Y$5)-INT((Census!$F105+Y$5))&gt;0.5,1,0)),Assumptions!$B$10))</f>
        <v>10572.220483260417</v>
      </c>
      <c r="Z105" s="30">
        <f>IF(Z$5&gt;$B105,0,INDEX(Decrements!$G$6:$G$58,Census!$G105+Z$5-18)/INDEX(Decrements!$G$6:$G$58,Census!$G105-17)*(INDEX(Decrements!$D$6:$D$58,Census!$G105+Z$5-18)+IF(Z$5=$B105,INDEX(Decrements!$F$6:$F$58,Census!$G105+Z$5-18),0)+INDEX(Decrements!$E$6:$E$58,Census!$G105+Z$5-18)*IF((Census!$F105+Z$5)&gt;=Assumptions!$B$11,1,0))*MIN(15/26*Census!$D105*(1+Assumptions!$B$9)^Z$5*(INT((Census!$F105+Z$5))+IF((Census!$F105+Z$5)-INT((Census!$F105+Z$5))&gt;0.5,1,0)),Assumptions!$B$10))</f>
        <v>10454.762570127461</v>
      </c>
      <c r="AA105" s="30">
        <f>IF(AA$5&gt;$B105,0,INDEX(Decrements!$G$6:$G$58,Census!$G105+AA$5-18)/INDEX(Decrements!$G$6:$G$58,Census!$G105-17)*(INDEX(Decrements!$D$6:$D$58,Census!$G105+AA$5-18)+IF(AA$5=$B105,INDEX(Decrements!$F$6:$F$58,Census!$G105+AA$5-18),0)+INDEX(Decrements!$E$6:$E$58,Census!$G105+AA$5-18)*IF((Census!$F105+AA$5)&gt;=Assumptions!$B$11,1,0))*MIN(15/26*Census!$D105*(1+Assumptions!$B$9)^AA$5*(INT((Census!$F105+AA$5))+IF((Census!$F105+AA$5)-INT((Census!$F105+AA$5))&gt;0.5,1,0)),Assumptions!$B$10))</f>
        <v>10346.503776240357</v>
      </c>
      <c r="AB105" s="30">
        <f>IF(AB$5&gt;$B105,0,INDEX(Decrements!$G$6:$G$58,Census!$G105+AB$5-18)/INDEX(Decrements!$G$6:$G$58,Census!$G105-17)*(INDEX(Decrements!$D$6:$D$58,Census!$G105+AB$5-18)+IF(AB$5=$B105,INDEX(Decrements!$F$6:$F$58,Census!$G105+AB$5-18),0)+INDEX(Decrements!$E$6:$E$58,Census!$G105+AB$5-18)*IF((Census!$F105+AB$5)&gt;=Assumptions!$B$11,1,0))*MIN(15/26*Census!$D105*(1+Assumptions!$B$9)^AB$5*(INT((Census!$F105+AB$5))+IF((Census!$F105+AB$5)-INT((Census!$F105+AB$5))&gt;0.5,1,0)),Assumptions!$B$10))</f>
        <v>6043.7884830137318</v>
      </c>
      <c r="AC105" s="30">
        <f>IF(AC$5&gt;$B105,0,INDEX(Decrements!$G$6:$G$58,Census!$G105+AC$5-18)/INDEX(Decrements!$G$6:$G$58,Census!$G105-17)*(INDEX(Decrements!$D$6:$D$58,Census!$G105+AC$5-18)+IF(AC$5=$B105,INDEX(Decrements!$F$6:$F$58,Census!$G105+AC$5-18),0)+INDEX(Decrements!$E$6:$E$58,Census!$G105+AC$5-18)*IF((Census!$F105+AC$5)&gt;=Assumptions!$B$11,1,0))*MIN(15/26*Census!$D105*(1+Assumptions!$B$9)^AC$5*(INT((Census!$F105+AC$5))+IF((Census!$F105+AC$5)-INT((Census!$F105+AC$5))&gt;0.5,1,0)),Assumptions!$B$10))</f>
        <v>6119.9902472141257</v>
      </c>
      <c r="AD105" s="30">
        <f>IF(AD$5&gt;$B105,0,INDEX(Decrements!$G$6:$G$58,Census!$G105+AD$5-18)/INDEX(Decrements!$G$6:$G$58,Census!$G105-17)*(INDEX(Decrements!$D$6:$D$58,Census!$G105+AD$5-18)+IF(AD$5=$B105,INDEX(Decrements!$F$6:$F$58,Census!$G105+AD$5-18),0)+INDEX(Decrements!$E$6:$E$58,Census!$G105+AD$5-18)*IF((Census!$F105+AD$5)&gt;=Assumptions!$B$11,1,0))*MIN(15/26*Census!$D105*(1+Assumptions!$B$9)^AD$5*(INT((Census!$F105+AD$5))+IF((Census!$F105+AD$5)-INT((Census!$F105+AD$5))&gt;0.5,1,0)),Assumptions!$B$10))</f>
        <v>6206.274434705726</v>
      </c>
      <c r="AE105" s="30">
        <f>IF(AE$5&gt;$B105,0,INDEX(Decrements!$G$6:$G$58,Census!$G105+AE$5-18)/INDEX(Decrements!$G$6:$G$58,Census!$G105-17)*(INDEX(Decrements!$D$6:$D$58,Census!$G105+AE$5-18)+IF(AE$5=$B105,INDEX(Decrements!$F$6:$F$58,Census!$G105+AE$5-18),0)+INDEX(Decrements!$E$6:$E$58,Census!$G105+AE$5-18)*IF((Census!$F105+AE$5)&gt;=Assumptions!$B$11,1,0))*MIN(15/26*Census!$D105*(1+Assumptions!$B$9)^AE$5*(INT((Census!$F105+AE$5))+IF((Census!$F105+AE$5)-INT((Census!$F105+AE$5))&gt;0.5,1,0)),Assumptions!$B$10))</f>
        <v>6303.2274773519975</v>
      </c>
      <c r="AF105" s="30">
        <f>IF(AF$5&gt;$B105,0,INDEX(Decrements!$G$6:$G$58,Census!$G105+AF$5-18)/INDEX(Decrements!$G$6:$G$58,Census!$G105-17)*(INDEX(Decrements!$D$6:$D$58,Census!$G105+AF$5-18)+IF(AF$5=$B105,INDEX(Decrements!$F$6:$F$58,Census!$G105+AF$5-18),0)+INDEX(Decrements!$E$6:$E$58,Census!$G105+AF$5-18)*IF((Census!$F105+AF$5)&gt;=Assumptions!$B$11,1,0))*MIN(15/26*Census!$D105*(1+Assumptions!$B$9)^AF$5*(INT((Census!$F105+AF$5))+IF((Census!$F105+AF$5)-INT((Census!$F105+AF$5))&gt;0.5,1,0)),Assumptions!$B$10))</f>
        <v>397551.78311539261</v>
      </c>
      <c r="AG105" s="30">
        <f>IF(AG$5&gt;$B105,0,INDEX(Decrements!$G$6:$G$58,Census!$G105+AG$5-18)/INDEX(Decrements!$G$6:$G$58,Census!$G105-17)*(INDEX(Decrements!$D$6:$D$58,Census!$G105+AG$5-18)+IF(AG$5=$B105,INDEX(Decrements!$F$6:$F$58,Census!$G105+AG$5-18),0)+INDEX(Decrements!$E$6:$E$58,Census!$G105+AG$5-18)*IF((Census!$F105+AG$5)&gt;=Assumptions!$B$11,1,0))*MIN(15/26*Census!$D105*(1+Assumptions!$B$9)^AG$5*(INT((Census!$F105+AG$5))+IF((Census!$F105+AG$5)-INT((Census!$F105+AG$5))&gt;0.5,1,0)),Assumptions!$B$10))</f>
        <v>0</v>
      </c>
      <c r="AH105" s="30">
        <f>IF(AH$5&gt;$B105,0,INDEX(Decrements!$G$6:$G$58,Census!$G105+AH$5-18)/INDEX(Decrements!$G$6:$G$58,Census!$G105-17)*(INDEX(Decrements!$D$6:$D$58,Census!$G105+AH$5-18)+IF(AH$5=$B105,INDEX(Decrements!$F$6:$F$58,Census!$G105+AH$5-18),0)+INDEX(Decrements!$E$6:$E$58,Census!$G105+AH$5-18)*IF((Census!$F105+AH$5)&gt;=Assumptions!$B$11,1,0))*MIN(15/26*Census!$D105*(1+Assumptions!$B$9)^AH$5*(INT((Census!$F105+AH$5))+IF((Census!$F105+AH$5)-INT((Census!$F105+AH$5))&gt;0.5,1,0)),Assumptions!$B$10))</f>
        <v>0</v>
      </c>
      <c r="AI105" s="30">
        <f>IF(AI$5&gt;$B105,0,INDEX(Decrements!$G$6:$G$58,Census!$G105+AI$5-18)/INDEX(Decrements!$G$6:$G$58,Census!$G105-17)*(INDEX(Decrements!$D$6:$D$58,Census!$G105+AI$5-18)+IF(AI$5=$B105,INDEX(Decrements!$F$6:$F$58,Census!$G105+AI$5-18),0)+INDEX(Decrements!$E$6:$E$58,Census!$G105+AI$5-18)*IF((Census!$F105+AI$5)&gt;=Assumptions!$B$11,1,0))*MIN(15/26*Census!$D105*(1+Assumptions!$B$9)^AI$5*(INT((Census!$F105+AI$5))+IF((Census!$F105+AI$5)-INT((Census!$F105+AI$5))&gt;0.5,1,0)),Assumptions!$B$10))</f>
        <v>0</v>
      </c>
      <c r="AJ105" s="30">
        <f>IF(AJ$5&gt;$B105,0,INDEX(Decrements!$G$6:$G$58,Census!$G105+AJ$5-18)/INDEX(Decrements!$G$6:$G$58,Census!$G105-17)*(INDEX(Decrements!$D$6:$D$58,Census!$G105+AJ$5-18)+IF(AJ$5=$B105,INDEX(Decrements!$F$6:$F$58,Census!$G105+AJ$5-18),0)+INDEX(Decrements!$E$6:$E$58,Census!$G105+AJ$5-18)*IF((Census!$F105+AJ$5)&gt;=Assumptions!$B$11,1,0))*MIN(15/26*Census!$D105*(1+Assumptions!$B$9)^AJ$5*(INT((Census!$F105+AJ$5))+IF((Census!$F105+AJ$5)-INT((Census!$F105+AJ$5))&gt;0.5,1,0)),Assumptions!$B$10))</f>
        <v>0</v>
      </c>
      <c r="AK105" s="30">
        <f>IF(AK$5&gt;$B105,0,INDEX(Decrements!$G$6:$G$58,Census!$G105+AK$5-18)/INDEX(Decrements!$G$6:$G$58,Census!$G105-17)*(INDEX(Decrements!$D$6:$D$58,Census!$G105+AK$5-18)+IF(AK$5=$B105,INDEX(Decrements!$F$6:$F$58,Census!$G105+AK$5-18),0)+INDEX(Decrements!$E$6:$E$58,Census!$G105+AK$5-18)*IF((Census!$F105+AK$5)&gt;=Assumptions!$B$11,1,0))*MIN(15/26*Census!$D105*(1+Assumptions!$B$9)^AK$5*(INT((Census!$F105+AK$5))+IF((Census!$F105+AK$5)-INT((Census!$F105+AK$5))&gt;0.5,1,0)),Assumptions!$B$10))</f>
        <v>0</v>
      </c>
      <c r="AL105" s="30">
        <f>IF(AL$5&gt;$B105,0,INDEX(Decrements!$G$6:$G$58,Census!$G105+AL$5-18)/INDEX(Decrements!$G$6:$G$58,Census!$G105-17)*(INDEX(Decrements!$D$6:$D$58,Census!$G105+AL$5-18)+IF(AL$5=$B105,INDEX(Decrements!$F$6:$F$58,Census!$G105+AL$5-18),0)+INDEX(Decrements!$E$6:$E$58,Census!$G105+AL$5-18)*IF((Census!$F105+AL$5)&gt;=Assumptions!$B$11,1,0))*MIN(15/26*Census!$D105*(1+Assumptions!$B$9)^AL$5*(INT((Census!$F105+AL$5))+IF((Census!$F105+AL$5)-INT((Census!$F105+AL$5))&gt;0.5,1,0)),Assumptions!$B$10))</f>
        <v>0</v>
      </c>
      <c r="AM105" s="30">
        <f>IF(AM$5&gt;$B105,0,INDEX(Decrements!$G$6:$G$58,Census!$G105+AM$5-18)/INDEX(Decrements!$G$6:$G$58,Census!$G105-17)*(INDEX(Decrements!$D$6:$D$58,Census!$G105+AM$5-18)+IF(AM$5=$B105,INDEX(Decrements!$F$6:$F$58,Census!$G105+AM$5-18),0)+INDEX(Decrements!$E$6:$E$58,Census!$G105+AM$5-18)*IF((Census!$F105+AM$5)&gt;=Assumptions!$B$11,1,0))*MIN(15/26*Census!$D105*(1+Assumptions!$B$9)^AM$5*(INT((Census!$F105+AM$5))+IF((Census!$F105+AM$5)-INT((Census!$F105+AM$5))&gt;0.5,1,0)),Assumptions!$B$10))</f>
        <v>0</v>
      </c>
      <c r="AN105" s="30">
        <f>IF(AN$5&gt;$B105,0,INDEX(Decrements!$G$6:$G$58,Census!$G105+AN$5-18)/INDEX(Decrements!$G$6:$G$58,Census!$G105-17)*(INDEX(Decrements!$D$6:$D$58,Census!$G105+AN$5-18)+IF(AN$5=$B105,INDEX(Decrements!$F$6:$F$58,Census!$G105+AN$5-18),0)+INDEX(Decrements!$E$6:$E$58,Census!$G105+AN$5-18)*IF((Census!$F105+AN$5)&gt;=Assumptions!$B$11,1,0))*MIN(15/26*Census!$D105*(1+Assumptions!$B$9)^AN$5*(INT((Census!$F105+AN$5))+IF((Census!$F105+AN$5)-INT((Census!$F105+AN$5))&gt;0.5,1,0)),Assumptions!$B$10))</f>
        <v>0</v>
      </c>
      <c r="AO105" s="30">
        <f>IF(AO$5&gt;$B105,0,INDEX(Decrements!$G$6:$G$58,Census!$G105+AO$5-18)/INDEX(Decrements!$G$6:$G$58,Census!$G105-17)*(INDEX(Decrements!$D$6:$D$58,Census!$G105+AO$5-18)+IF(AO$5=$B105,INDEX(Decrements!$F$6:$F$58,Census!$G105+AO$5-18),0)+INDEX(Decrements!$E$6:$E$58,Census!$G105+AO$5-18)*IF((Census!$F105+AO$5)&gt;=Assumptions!$B$11,1,0))*MIN(15/26*Census!$D105*(1+Assumptions!$B$9)^AO$5*(INT((Census!$F105+AO$5))+IF((Census!$F105+AO$5)-INT((Census!$F105+AO$5))&gt;0.5,1,0)),Assumptions!$B$10))</f>
        <v>0</v>
      </c>
      <c r="AP105" s="30">
        <f>IF(AP$5&gt;$B105,0,INDEX(Decrements!$G$6:$G$58,Census!$G105+AP$5-18)/INDEX(Decrements!$G$6:$G$58,Census!$G105-17)*(INDEX(Decrements!$D$6:$D$58,Census!$G105+AP$5-18)+IF(AP$5=$B105,INDEX(Decrements!$F$6:$F$58,Census!$G105+AP$5-18),0)+INDEX(Decrements!$E$6:$E$58,Census!$G105+AP$5-18)*IF((Census!$F105+AP$5)&gt;=Assumptions!$B$11,1,0))*MIN(15/26*Census!$D105*(1+Assumptions!$B$9)^AP$5*(INT((Census!$F105+AP$5))+IF((Census!$F105+AP$5)-INT((Census!$F105+AP$5))&gt;0.5,1,0)),Assumptions!$B$10))</f>
        <v>0</v>
      </c>
      <c r="AQ105" s="30">
        <f>IF(AQ$5&gt;$B105,0,INDEX(Decrements!$G$6:$G$58,Census!$G105+AQ$5-18)/INDEX(Decrements!$G$6:$G$58,Census!$G105-17)*(INDEX(Decrements!$D$6:$D$58,Census!$G105+AQ$5-18)+IF(AQ$5=$B105,INDEX(Decrements!$F$6:$F$58,Census!$G105+AQ$5-18),0)+INDEX(Decrements!$E$6:$E$58,Census!$G105+AQ$5-18)*IF((Census!$F105+AQ$5)&gt;=Assumptions!$B$11,1,0))*MIN(15/26*Census!$D105*(1+Assumptions!$B$9)^AQ$5*(INT((Census!$F105+AQ$5))+IF((Census!$F105+AQ$5)-INT((Census!$F105+AQ$5))&gt;0.5,1,0)),Assumptions!$B$10))</f>
        <v>0</v>
      </c>
      <c r="AR105" s="30">
        <f>IF(AR$5&gt;$B105,0,INDEX(Decrements!$G$6:$G$58,Census!$G105+AR$5-18)/INDEX(Decrements!$G$6:$G$58,Census!$G105-17)*(INDEX(Decrements!$D$6:$D$58,Census!$G105+AR$5-18)+IF(AR$5=$B105,INDEX(Decrements!$F$6:$F$58,Census!$G105+AR$5-18),0)+INDEX(Decrements!$E$6:$E$58,Census!$G105+AR$5-18)*IF((Census!$F105+AR$5)&gt;=Assumptions!$B$11,1,0))*MIN(15/26*Census!$D105*(1+Assumptions!$B$9)^AR$5*(INT((Census!$F105+AR$5))+IF((Census!$F105+AR$5)-INT((Census!$F105+AR$5))&gt;0.5,1,0)),Assumptions!$B$10))</f>
        <v>0</v>
      </c>
      <c r="AS105" s="30">
        <f>IF(AS$5&gt;$B105,0,INDEX(Decrements!$G$6:$G$58,Census!$G105+AS$5-18)/INDEX(Decrements!$G$6:$G$58,Census!$G105-17)*(INDEX(Decrements!$D$6:$D$58,Census!$G105+AS$5-18)+IF(AS$5=$B105,INDEX(Decrements!$F$6:$F$58,Census!$G105+AS$5-18),0)+INDEX(Decrements!$E$6:$E$58,Census!$G105+AS$5-18)*IF((Census!$F105+AS$5)&gt;=Assumptions!$B$11,1,0))*MIN(15/26*Census!$D105*(1+Assumptions!$B$9)^AS$5*(INT((Census!$F105+AS$5))+IF((Census!$F105+AS$5)-INT((Census!$F105+AS$5))&gt;0.5,1,0)),Assumptions!$B$10))</f>
        <v>0</v>
      </c>
      <c r="AT105" s="30">
        <f>IF(AT$5&gt;$B105,0,INDEX(Decrements!$G$6:$G$58,Census!$G105+AT$5-18)/INDEX(Decrements!$G$6:$G$58,Census!$G105-17)*(INDEX(Decrements!$D$6:$D$58,Census!$G105+AT$5-18)+IF(AT$5=$B105,INDEX(Decrements!$F$6:$F$58,Census!$G105+AT$5-18),0)+INDEX(Decrements!$E$6:$E$58,Census!$G105+AT$5-18)*IF((Census!$F105+AT$5)&gt;=Assumptions!$B$11,1,0))*MIN(15/26*Census!$D105*(1+Assumptions!$B$9)^AT$5*(INT((Census!$F105+AT$5))+IF((Census!$F105+AT$5)-INT((Census!$F105+AT$5))&gt;0.5,1,0)),Assumptions!$B$10))</f>
        <v>0</v>
      </c>
      <c r="AU105" s="30">
        <f>IF(AU$5&gt;$B105,0,INDEX(Decrements!$G$6:$G$58,Census!$G105+AU$5-18)/INDEX(Decrements!$G$6:$G$58,Census!$G105-17)*(INDEX(Decrements!$D$6:$D$58,Census!$G105+AU$5-18)+IF(AU$5=$B105,INDEX(Decrements!$F$6:$F$58,Census!$G105+AU$5-18),0)+INDEX(Decrements!$E$6:$E$58,Census!$G105+AU$5-18)*IF((Census!$F105+AU$5)&gt;=Assumptions!$B$11,1,0))*MIN(15/26*Census!$D105*(1+Assumptions!$B$9)^AU$5*(INT((Census!$F105+AU$5))+IF((Census!$F105+AU$5)-INT((Census!$F105+AU$5))&gt;0.5,1,0)),Assumptions!$B$10))</f>
        <v>0</v>
      </c>
    </row>
    <row r="106" spans="1:47" x14ac:dyDescent="0.3">
      <c r="A106" s="10" t="str">
        <f>Census!A106</f>
        <v>E101</v>
      </c>
      <c r="B106" s="29">
        <f>Census!H106</f>
        <v>34</v>
      </c>
      <c r="C106" s="30">
        <f>IF(C$5&gt;$B106,0,INDEX(Decrements!$G$6:$G$58,Census!$G106+C$5-18)/INDEX(Decrements!$G$6:$G$58,Census!$G106-17)*(INDEX(Decrements!$D$6:$D$58,Census!$G106+C$5-18)+IF(C$5=$B106,INDEX(Decrements!$F$6:$F$58,Census!$G106+C$5-18),0)+INDEX(Decrements!$E$6:$E$58,Census!$G106+C$5-18)*IF((Census!$F106+C$5)&gt;=Assumptions!$B$11,1,0))*MIN(15/26*Census!$D106*(1+Assumptions!$B$9)^C$5*(INT((Census!$F106+C$5))+IF((Census!$F106+C$5)-INT((Census!$F106+C$5))&gt;0.5,1,0)),Assumptions!$B$10))</f>
        <v>47.531220087852127</v>
      </c>
      <c r="D106" s="30">
        <f>IF(D$5&gt;$B106,0,INDEX(Decrements!$G$6:$G$58,Census!$G106+D$5-18)/INDEX(Decrements!$G$6:$G$58,Census!$G106-17)*(INDEX(Decrements!$D$6:$D$58,Census!$G106+D$5-18)+IF(D$5=$B106,INDEX(Decrements!$F$6:$F$58,Census!$G106+D$5-18),0)+INDEX(Decrements!$E$6:$E$58,Census!$G106+D$5-18)*IF((Census!$F106+D$5)&gt;=Assumptions!$B$11,1,0))*MIN(15/26*Census!$D106*(1+Assumptions!$B$9)^D$5*(INT((Census!$F106+D$5))+IF((Census!$F106+D$5)-INT((Census!$F106+D$5))&gt;0.5,1,0)),Assumptions!$B$10))</f>
        <v>60.376327581599107</v>
      </c>
      <c r="E106" s="30">
        <f>IF(E$5&gt;$B106,0,INDEX(Decrements!$G$6:$G$58,Census!$G106+E$5-18)/INDEX(Decrements!$G$6:$G$58,Census!$G106-17)*(INDEX(Decrements!$D$6:$D$58,Census!$G106+E$5-18)+IF(E$5=$B106,INDEX(Decrements!$F$6:$F$58,Census!$G106+E$5-18),0)+INDEX(Decrements!$E$6:$E$58,Census!$G106+E$5-18)*IF((Census!$F106+E$5)&gt;=Assumptions!$B$11,1,0))*MIN(15/26*Census!$D106*(1+Assumptions!$B$9)^E$5*(INT((Census!$F106+E$5))+IF((Census!$F106+E$5)-INT((Census!$F106+E$5))&gt;0.5,1,0)),Assumptions!$B$10))</f>
        <v>72.055394604374953</v>
      </c>
      <c r="F106" s="30">
        <f>IF(F$5&gt;$B106,0,INDEX(Decrements!$G$6:$G$58,Census!$G106+F$5-18)/INDEX(Decrements!$G$6:$G$58,Census!$G106-17)*(INDEX(Decrements!$D$6:$D$58,Census!$G106+F$5-18)+IF(F$5=$B106,INDEX(Decrements!$F$6:$F$58,Census!$G106+F$5-18),0)+INDEX(Decrements!$E$6:$E$58,Census!$G106+F$5-18)*IF((Census!$F106+F$5)&gt;=Assumptions!$B$11,1,0))*MIN(15/26*Census!$D106*(1+Assumptions!$B$9)^F$5*(INT((Census!$F106+F$5))+IF((Census!$F106+F$5)-INT((Census!$F106+F$5))&gt;0.5,1,0)),Assumptions!$B$10))</f>
        <v>18389.551238548509</v>
      </c>
      <c r="G106" s="30">
        <f>IF(G$5&gt;$B106,0,INDEX(Decrements!$G$6:$G$58,Census!$G106+G$5-18)/INDEX(Decrements!$G$6:$G$58,Census!$G106-17)*(INDEX(Decrements!$D$6:$D$58,Census!$G106+G$5-18)+IF(G$5=$B106,INDEX(Decrements!$F$6:$F$58,Census!$G106+G$5-18),0)+INDEX(Decrements!$E$6:$E$58,Census!$G106+G$5-18)*IF((Census!$F106+G$5)&gt;=Assumptions!$B$11,1,0))*MIN(15/26*Census!$D106*(1+Assumptions!$B$9)^G$5*(INT((Census!$F106+G$5))+IF((Census!$F106+G$5)-INT((Census!$F106+G$5))&gt;0.5,1,0)),Assumptions!$B$10))</f>
        <v>14461.966934168107</v>
      </c>
      <c r="H106" s="30">
        <f>IF(H$5&gt;$B106,0,INDEX(Decrements!$G$6:$G$58,Census!$G106+H$5-18)/INDEX(Decrements!$G$6:$G$58,Census!$G106-17)*(INDEX(Decrements!$D$6:$D$58,Census!$G106+H$5-18)+IF(H$5=$B106,INDEX(Decrements!$F$6:$F$58,Census!$G106+H$5-18),0)+INDEX(Decrements!$E$6:$E$58,Census!$G106+H$5-18)*IF((Census!$F106+H$5)&gt;=Assumptions!$B$11,1,0))*MIN(15/26*Census!$D106*(1+Assumptions!$B$9)^H$5*(INT((Census!$F106+H$5))+IF((Census!$F106+H$5)-INT((Census!$F106+H$5))&gt;0.5,1,0)),Assumptions!$B$10))</f>
        <v>15879.18050343162</v>
      </c>
      <c r="I106" s="30">
        <f>IF(I$5&gt;$B106,0,INDEX(Decrements!$G$6:$G$58,Census!$G106+I$5-18)/INDEX(Decrements!$G$6:$G$58,Census!$G106-17)*(INDEX(Decrements!$D$6:$D$58,Census!$G106+I$5-18)+IF(I$5=$B106,INDEX(Decrements!$F$6:$F$58,Census!$G106+I$5-18),0)+INDEX(Decrements!$E$6:$E$58,Census!$G106+I$5-18)*IF((Census!$F106+I$5)&gt;=Assumptions!$B$11,1,0))*MIN(15/26*Census!$D106*(1+Assumptions!$B$9)^I$5*(INT((Census!$F106+I$5))+IF((Census!$F106+I$5)-INT((Census!$F106+I$5))&gt;0.5,1,0)),Assumptions!$B$10))</f>
        <v>17162.723523497716</v>
      </c>
      <c r="J106" s="30">
        <f>IF(J$5&gt;$B106,0,INDEX(Decrements!$G$6:$G$58,Census!$G106+J$5-18)/INDEX(Decrements!$G$6:$G$58,Census!$G106-17)*(INDEX(Decrements!$D$6:$D$58,Census!$G106+J$5-18)+IF(J$5=$B106,INDEX(Decrements!$F$6:$F$58,Census!$G106+J$5-18),0)+INDEX(Decrements!$E$6:$E$58,Census!$G106+J$5-18)*IF((Census!$F106+J$5)&gt;=Assumptions!$B$11,1,0))*MIN(15/26*Census!$D106*(1+Assumptions!$B$9)^J$5*(INT((Census!$F106+J$5))+IF((Census!$F106+J$5)-INT((Census!$F106+J$5))&gt;0.5,1,0)),Assumptions!$B$10))</f>
        <v>18320.85729469627</v>
      </c>
      <c r="K106" s="30">
        <f>IF(K$5&gt;$B106,0,INDEX(Decrements!$G$6:$G$58,Census!$G106+K$5-18)/INDEX(Decrements!$G$6:$G$58,Census!$G106-17)*(INDEX(Decrements!$D$6:$D$58,Census!$G106+K$5-18)+IF(K$5=$B106,INDEX(Decrements!$F$6:$F$58,Census!$G106+K$5-18),0)+INDEX(Decrements!$E$6:$E$58,Census!$G106+K$5-18)*IF((Census!$F106+K$5)&gt;=Assumptions!$B$11,1,0))*MIN(15/26*Census!$D106*(1+Assumptions!$B$9)^K$5*(INT((Census!$F106+K$5))+IF((Census!$F106+K$5)-INT((Census!$F106+K$5))&gt;0.5,1,0)),Assumptions!$B$10))</f>
        <v>19361.397694236683</v>
      </c>
      <c r="L106" s="30">
        <f>IF(L$5&gt;$B106,0,INDEX(Decrements!$G$6:$G$58,Census!$G106+L$5-18)/INDEX(Decrements!$G$6:$G$58,Census!$G106-17)*(INDEX(Decrements!$D$6:$D$58,Census!$G106+L$5-18)+IF(L$5=$B106,INDEX(Decrements!$F$6:$F$58,Census!$G106+L$5-18),0)+INDEX(Decrements!$E$6:$E$58,Census!$G106+L$5-18)*IF((Census!$F106+L$5)&gt;=Assumptions!$B$11,1,0))*MIN(15/26*Census!$D106*(1+Assumptions!$B$9)^L$5*(INT((Census!$F106+L$5))+IF((Census!$F106+L$5)-INT((Census!$F106+L$5))&gt;0.5,1,0)),Assumptions!$B$10))</f>
        <v>14806.999348487345</v>
      </c>
      <c r="M106" s="30">
        <f>IF(M$5&gt;$B106,0,INDEX(Decrements!$G$6:$G$58,Census!$G106+M$5-18)/INDEX(Decrements!$G$6:$G$58,Census!$G106-17)*(INDEX(Decrements!$D$6:$D$58,Census!$G106+M$5-18)+IF(M$5=$B106,INDEX(Decrements!$F$6:$F$58,Census!$G106+M$5-18),0)+INDEX(Decrements!$E$6:$E$58,Census!$G106+M$5-18)*IF((Census!$F106+M$5)&gt;=Assumptions!$B$11,1,0))*MIN(15/26*Census!$D106*(1+Assumptions!$B$9)^M$5*(INT((Census!$F106+M$5))+IF((Census!$F106+M$5)-INT((Census!$F106+M$5))&gt;0.5,1,0)),Assumptions!$B$10))</f>
        <v>15933.153406057347</v>
      </c>
      <c r="N106" s="30">
        <f>IF(N$5&gt;$B106,0,INDEX(Decrements!$G$6:$G$58,Census!$G106+N$5-18)/INDEX(Decrements!$G$6:$G$58,Census!$G106-17)*(INDEX(Decrements!$D$6:$D$58,Census!$G106+N$5-18)+IF(N$5=$B106,INDEX(Decrements!$F$6:$F$58,Census!$G106+N$5-18),0)+INDEX(Decrements!$E$6:$E$58,Census!$G106+N$5-18)*IF((Census!$F106+N$5)&gt;=Assumptions!$B$11,1,0))*MIN(15/26*Census!$D106*(1+Assumptions!$B$9)^N$5*(INT((Census!$F106+N$5))+IF((Census!$F106+N$5)-INT((Census!$F106+N$5))&gt;0.5,1,0)),Assumptions!$B$10))</f>
        <v>17043.634859922047</v>
      </c>
      <c r="O106" s="30">
        <f>IF(O$5&gt;$B106,0,INDEX(Decrements!$G$6:$G$58,Census!$G106+O$5-18)/INDEX(Decrements!$G$6:$G$58,Census!$G106-17)*(INDEX(Decrements!$D$6:$D$58,Census!$G106+O$5-18)+IF(O$5=$B106,INDEX(Decrements!$F$6:$F$58,Census!$G106+O$5-18),0)+INDEX(Decrements!$E$6:$E$58,Census!$G106+O$5-18)*IF((Census!$F106+O$5)&gt;=Assumptions!$B$11,1,0))*MIN(15/26*Census!$D106*(1+Assumptions!$B$9)^O$5*(INT((Census!$F106+O$5))+IF((Census!$F106+O$5)-INT((Census!$F106+O$5))&gt;0.5,1,0)),Assumptions!$B$10))</f>
        <v>18138.640913217132</v>
      </c>
      <c r="P106" s="30">
        <f>IF(P$5&gt;$B106,0,INDEX(Decrements!$G$6:$G$58,Census!$G106+P$5-18)/INDEX(Decrements!$G$6:$G$58,Census!$G106-17)*(INDEX(Decrements!$D$6:$D$58,Census!$G106+P$5-18)+IF(P$5=$B106,INDEX(Decrements!$F$6:$F$58,Census!$G106+P$5-18),0)+INDEX(Decrements!$E$6:$E$58,Census!$G106+P$5-18)*IF((Census!$F106+P$5)&gt;=Assumptions!$B$11,1,0))*MIN(15/26*Census!$D106*(1+Assumptions!$B$9)^P$5*(INT((Census!$F106+P$5))+IF((Census!$F106+P$5)-INT((Census!$F106+P$5))&gt;0.5,1,0)),Assumptions!$B$10))</f>
        <v>19218.370065215659</v>
      </c>
      <c r="Q106" s="30">
        <f>IF(Q$5&gt;$B106,0,INDEX(Decrements!$G$6:$G$58,Census!$G106+Q$5-18)/INDEX(Decrements!$G$6:$G$58,Census!$G106-17)*(INDEX(Decrements!$D$6:$D$58,Census!$G106+Q$5-18)+IF(Q$5=$B106,INDEX(Decrements!$F$6:$F$58,Census!$G106+Q$5-18),0)+INDEX(Decrements!$E$6:$E$58,Census!$G106+Q$5-18)*IF((Census!$F106+Q$5)&gt;=Assumptions!$B$11,1,0))*MIN(15/26*Census!$D106*(1+Assumptions!$B$9)^Q$5*(INT((Census!$F106+Q$5))+IF((Census!$F106+Q$5)-INT((Census!$F106+Q$5))&gt;0.5,1,0)),Assumptions!$B$10))</f>
        <v>12803.170921151564</v>
      </c>
      <c r="R106" s="30">
        <f>IF(R$5&gt;$B106,0,INDEX(Decrements!$G$6:$G$58,Census!$G106+R$5-18)/INDEX(Decrements!$G$6:$G$58,Census!$G106-17)*(INDEX(Decrements!$D$6:$D$58,Census!$G106+R$5-18)+IF(R$5=$B106,INDEX(Decrements!$F$6:$F$58,Census!$G106+R$5-18),0)+INDEX(Decrements!$E$6:$E$58,Census!$G106+R$5-18)*IF((Census!$F106+R$5)&gt;=Assumptions!$B$11,1,0))*MIN(15/26*Census!$D106*(1+Assumptions!$B$9)^R$5*(INT((Census!$F106+R$5))+IF((Census!$F106+R$5)-INT((Census!$F106+R$5))&gt;0.5,1,0)),Assumptions!$B$10))</f>
        <v>13914.405844798843</v>
      </c>
      <c r="S106" s="30">
        <f>IF(S$5&gt;$B106,0,INDEX(Decrements!$G$6:$G$58,Census!$G106+S$5-18)/INDEX(Decrements!$G$6:$G$58,Census!$G106-17)*(INDEX(Decrements!$D$6:$D$58,Census!$G106+S$5-18)+IF(S$5=$B106,INDEX(Decrements!$F$6:$F$58,Census!$G106+S$5-18),0)+INDEX(Decrements!$E$6:$E$58,Census!$G106+S$5-18)*IF((Census!$F106+S$5)&gt;=Assumptions!$B$11,1,0))*MIN(15/26*Census!$D106*(1+Assumptions!$B$9)^S$5*(INT((Census!$F106+S$5))+IF((Census!$F106+S$5)-INT((Census!$F106+S$5))&gt;0.5,1,0)),Assumptions!$B$10))</f>
        <v>15076.574046746095</v>
      </c>
      <c r="T106" s="30">
        <f>IF(T$5&gt;$B106,0,INDEX(Decrements!$G$6:$G$58,Census!$G106+T$5-18)/INDEX(Decrements!$G$6:$G$58,Census!$G106-17)*(INDEX(Decrements!$D$6:$D$58,Census!$G106+T$5-18)+IF(T$5=$B106,INDEX(Decrements!$F$6:$F$58,Census!$G106+T$5-18),0)+INDEX(Decrements!$E$6:$E$58,Census!$G106+T$5-18)*IF((Census!$F106+T$5)&gt;=Assumptions!$B$11,1,0))*MIN(15/26*Census!$D106*(1+Assumptions!$B$9)^T$5*(INT((Census!$F106+T$5))+IF((Census!$F106+T$5)-INT((Census!$F106+T$5))&gt;0.5,1,0)),Assumptions!$B$10))</f>
        <v>16291.922244067791</v>
      </c>
      <c r="U106" s="30">
        <f>IF(U$5&gt;$B106,0,INDEX(Decrements!$G$6:$G$58,Census!$G106+U$5-18)/INDEX(Decrements!$G$6:$G$58,Census!$G106-17)*(INDEX(Decrements!$D$6:$D$58,Census!$G106+U$5-18)+IF(U$5=$B106,INDEX(Decrements!$F$6:$F$58,Census!$G106+U$5-18),0)+INDEX(Decrements!$E$6:$E$58,Census!$G106+U$5-18)*IF((Census!$F106+U$5)&gt;=Assumptions!$B$11,1,0))*MIN(15/26*Census!$D106*(1+Assumptions!$B$9)^U$5*(INT((Census!$F106+U$5))+IF((Census!$F106+U$5)-INT((Census!$F106+U$5))&gt;0.5,1,0)),Assumptions!$B$10))</f>
        <v>15881.648009628478</v>
      </c>
      <c r="V106" s="30">
        <f>IF(V$5&gt;$B106,0,INDEX(Decrements!$G$6:$G$58,Census!$G106+V$5-18)/INDEX(Decrements!$G$6:$G$58,Census!$G106-17)*(INDEX(Decrements!$D$6:$D$58,Census!$G106+V$5-18)+IF(V$5=$B106,INDEX(Decrements!$F$6:$F$58,Census!$G106+V$5-18),0)+INDEX(Decrements!$E$6:$E$58,Census!$G106+V$5-18)*IF((Census!$F106+V$5)&gt;=Assumptions!$B$11,1,0))*MIN(15/26*Census!$D106*(1+Assumptions!$B$9)^V$5*(INT((Census!$F106+V$5))+IF((Census!$F106+V$5)-INT((Census!$F106+V$5))&gt;0.5,1,0)),Assumptions!$B$10))</f>
        <v>9284.0125218135872</v>
      </c>
      <c r="W106" s="30">
        <f>IF(W$5&gt;$B106,0,INDEX(Decrements!$G$6:$G$58,Census!$G106+W$5-18)/INDEX(Decrements!$G$6:$G$58,Census!$G106-17)*(INDEX(Decrements!$D$6:$D$58,Census!$G106+W$5-18)+IF(W$5=$B106,INDEX(Decrements!$F$6:$F$58,Census!$G106+W$5-18),0)+INDEX(Decrements!$E$6:$E$58,Census!$G106+W$5-18)*IF((Census!$F106+W$5)&gt;=Assumptions!$B$11,1,0))*MIN(15/26*Census!$D106*(1+Assumptions!$B$9)^W$5*(INT((Census!$F106+W$5))+IF((Census!$F106+W$5)-INT((Census!$F106+W$5))&gt;0.5,1,0)),Assumptions!$B$10))</f>
        <v>9029.8915548860459</v>
      </c>
      <c r="X106" s="30">
        <f>IF(X$5&gt;$B106,0,INDEX(Decrements!$G$6:$G$58,Census!$G106+X$5-18)/INDEX(Decrements!$G$6:$G$58,Census!$G106-17)*(INDEX(Decrements!$D$6:$D$58,Census!$G106+X$5-18)+IF(X$5=$B106,INDEX(Decrements!$F$6:$F$58,Census!$G106+X$5-18),0)+INDEX(Decrements!$E$6:$E$58,Census!$G106+X$5-18)*IF((Census!$F106+X$5)&gt;=Assumptions!$B$11,1,0))*MIN(15/26*Census!$D106*(1+Assumptions!$B$9)^X$5*(INT((Census!$F106+X$5))+IF((Census!$F106+X$5)-INT((Census!$F106+X$5))&gt;0.5,1,0)),Assumptions!$B$10))</f>
        <v>8785.2303731440406</v>
      </c>
      <c r="Y106" s="30">
        <f>IF(Y$5&gt;$B106,0,INDEX(Decrements!$G$6:$G$58,Census!$G106+Y$5-18)/INDEX(Decrements!$G$6:$G$58,Census!$G106-17)*(INDEX(Decrements!$D$6:$D$58,Census!$G106+Y$5-18)+IF(Y$5=$B106,INDEX(Decrements!$F$6:$F$58,Census!$G106+Y$5-18),0)+INDEX(Decrements!$E$6:$E$58,Census!$G106+Y$5-18)*IF((Census!$F106+Y$5)&gt;=Assumptions!$B$11,1,0))*MIN(15/26*Census!$D106*(1+Assumptions!$B$9)^Y$5*(INT((Census!$F106+Y$5))+IF((Census!$F106+Y$5)-INT((Census!$F106+Y$5))&gt;0.5,1,0)),Assumptions!$B$10))</f>
        <v>8549.8356913638654</v>
      </c>
      <c r="Z106" s="30">
        <f>IF(Z$5&gt;$B106,0,INDEX(Decrements!$G$6:$G$58,Census!$G106+Z$5-18)/INDEX(Decrements!$G$6:$G$58,Census!$G106-17)*(INDEX(Decrements!$D$6:$D$58,Census!$G106+Z$5-18)+IF(Z$5=$B106,INDEX(Decrements!$F$6:$F$58,Census!$G106+Z$5-18),0)+INDEX(Decrements!$E$6:$E$58,Census!$G106+Z$5-18)*IF((Census!$F106+Z$5)&gt;=Assumptions!$B$11,1,0))*MIN(15/26*Census!$D106*(1+Assumptions!$B$9)^Z$5*(INT((Census!$F106+Z$5))+IF((Census!$F106+Z$5)-INT((Census!$F106+Z$5))&gt;0.5,1,0)),Assumptions!$B$10))</f>
        <v>8323.5227644767619</v>
      </c>
      <c r="AA106" s="30">
        <f>IF(AA$5&gt;$B106,0,INDEX(Decrements!$G$6:$G$58,Census!$G106+AA$5-18)/INDEX(Decrements!$G$6:$G$58,Census!$G106-17)*(INDEX(Decrements!$D$6:$D$58,Census!$G106+AA$5-18)+IF(AA$5=$B106,INDEX(Decrements!$F$6:$F$58,Census!$G106+AA$5-18),0)+INDEX(Decrements!$E$6:$E$58,Census!$G106+AA$5-18)*IF((Census!$F106+AA$5)&gt;=Assumptions!$B$11,1,0))*MIN(15/26*Census!$D106*(1+Assumptions!$B$9)^AA$5*(INT((Census!$F106+AA$5))+IF((Census!$F106+AA$5)-INT((Census!$F106+AA$5))&gt;0.5,1,0)),Assumptions!$B$10))</f>
        <v>5639.8097470197645</v>
      </c>
      <c r="AB106" s="30">
        <f>IF(AB$5&gt;$B106,0,INDEX(Decrements!$G$6:$G$58,Census!$G106+AB$5-18)/INDEX(Decrements!$G$6:$G$58,Census!$G106-17)*(INDEX(Decrements!$D$6:$D$58,Census!$G106+AB$5-18)+IF(AB$5=$B106,INDEX(Decrements!$F$6:$F$58,Census!$G106+AB$5-18),0)+INDEX(Decrements!$E$6:$E$58,Census!$G106+AB$5-18)*IF((Census!$F106+AB$5)&gt;=Assumptions!$B$11,1,0))*MIN(15/26*Census!$D106*(1+Assumptions!$B$9)^AB$5*(INT((Census!$F106+AB$5))+IF((Census!$F106+AB$5)-INT((Census!$F106+AB$5))&gt;0.5,1,0)),Assumptions!$B$10))</f>
        <v>5569.3841742851782</v>
      </c>
      <c r="AC106" s="30">
        <f>IF(AC$5&gt;$B106,0,INDEX(Decrements!$G$6:$G$58,Census!$G106+AC$5-18)/INDEX(Decrements!$G$6:$G$58,Census!$G106-17)*(INDEX(Decrements!$D$6:$D$58,Census!$G106+AC$5-18)+IF(AC$5=$B106,INDEX(Decrements!$F$6:$F$58,Census!$G106+AC$5-18),0)+INDEX(Decrements!$E$6:$E$58,Census!$G106+AC$5-18)*IF((Census!$F106+AC$5)&gt;=Assumptions!$B$11,1,0))*MIN(15/26*Census!$D106*(1+Assumptions!$B$9)^AC$5*(INT((Census!$F106+AC$5))+IF((Census!$F106+AC$5)-INT((Census!$F106+AC$5))&gt;0.5,1,0)),Assumptions!$B$10))</f>
        <v>5503.550640962324</v>
      </c>
      <c r="AD106" s="30">
        <f>IF(AD$5&gt;$B106,0,INDEX(Decrements!$G$6:$G$58,Census!$G106+AD$5-18)/INDEX(Decrements!$G$6:$G$58,Census!$G106-17)*(INDEX(Decrements!$D$6:$D$58,Census!$G106+AD$5-18)+IF(AD$5=$B106,INDEX(Decrements!$F$6:$F$58,Census!$G106+AD$5-18),0)+INDEX(Decrements!$E$6:$E$58,Census!$G106+AD$5-18)*IF((Census!$F106+AD$5)&gt;=Assumptions!$B$11,1,0))*MIN(15/26*Census!$D106*(1+Assumptions!$B$9)^AD$5*(INT((Census!$F106+AD$5))+IF((Census!$F106+AD$5)-INT((Census!$F106+AD$5))&gt;0.5,1,0)),Assumptions!$B$10))</f>
        <v>5442.405910379709</v>
      </c>
      <c r="AE106" s="30">
        <f>IF(AE$5&gt;$B106,0,INDEX(Decrements!$G$6:$G$58,Census!$G106+AE$5-18)/INDEX(Decrements!$G$6:$G$58,Census!$G106-17)*(INDEX(Decrements!$D$6:$D$58,Census!$G106+AE$5-18)+IF(AE$5=$B106,INDEX(Decrements!$F$6:$F$58,Census!$G106+AE$5-18),0)+INDEX(Decrements!$E$6:$E$58,Census!$G106+AE$5-18)*IF((Census!$F106+AE$5)&gt;=Assumptions!$B$11,1,0))*MIN(15/26*Census!$D106*(1+Assumptions!$B$9)^AE$5*(INT((Census!$F106+AE$5))+IF((Census!$F106+AE$5)-INT((Census!$F106+AE$5))&gt;0.5,1,0)),Assumptions!$B$10))</f>
        <v>5386.0499390461027</v>
      </c>
      <c r="AF106" s="30">
        <f>IF(AF$5&gt;$B106,0,INDEX(Decrements!$G$6:$G$58,Census!$G106+AF$5-18)/INDEX(Decrements!$G$6:$G$58,Census!$G106-17)*(INDEX(Decrements!$D$6:$D$58,Census!$G106+AF$5-18)+IF(AF$5=$B106,INDEX(Decrements!$F$6:$F$58,Census!$G106+AF$5-18),0)+INDEX(Decrements!$E$6:$E$58,Census!$G106+AF$5-18)*IF((Census!$F106+AF$5)&gt;=Assumptions!$B$11,1,0))*MIN(15/26*Census!$D106*(1+Assumptions!$B$9)^AF$5*(INT((Census!$F106+AF$5))+IF((Census!$F106+AF$5)-INT((Census!$F106+AF$5))&gt;0.5,1,0)),Assumptions!$B$10))</f>
        <v>3146.1977199772728</v>
      </c>
      <c r="AG106" s="30">
        <f>IF(AG$5&gt;$B106,0,INDEX(Decrements!$G$6:$G$58,Census!$G106+AG$5-18)/INDEX(Decrements!$G$6:$G$58,Census!$G106-17)*(INDEX(Decrements!$D$6:$D$58,Census!$G106+AG$5-18)+IF(AG$5=$B106,INDEX(Decrements!$F$6:$F$58,Census!$G106+AG$5-18),0)+INDEX(Decrements!$E$6:$E$58,Census!$G106+AG$5-18)*IF((Census!$F106+AG$5)&gt;=Assumptions!$B$11,1,0))*MIN(15/26*Census!$D106*(1+Assumptions!$B$9)^AG$5*(INT((Census!$F106+AG$5))+IF((Census!$F106+AG$5)-INT((Census!$F106+AG$5))&gt;0.5,1,0)),Assumptions!$B$10))</f>
        <v>3185.8658548663966</v>
      </c>
      <c r="AH106" s="30">
        <f>IF(AH$5&gt;$B106,0,INDEX(Decrements!$G$6:$G$58,Census!$G106+AH$5-18)/INDEX(Decrements!$G$6:$G$58,Census!$G106-17)*(INDEX(Decrements!$D$6:$D$58,Census!$G106+AH$5-18)+IF(AH$5=$B106,INDEX(Decrements!$F$6:$F$58,Census!$G106+AH$5-18),0)+INDEX(Decrements!$E$6:$E$58,Census!$G106+AH$5-18)*IF((Census!$F106+AH$5)&gt;=Assumptions!$B$11,1,0))*MIN(15/26*Census!$D106*(1+Assumptions!$B$9)^AH$5*(INT((Census!$F106+AH$5))+IF((Census!$F106+AH$5)-INT((Census!$F106+AH$5))&gt;0.5,1,0)),Assumptions!$B$10))</f>
        <v>3230.7825680702308</v>
      </c>
      <c r="AI106" s="30">
        <f>IF(AI$5&gt;$B106,0,INDEX(Decrements!$G$6:$G$58,Census!$G106+AI$5-18)/INDEX(Decrements!$G$6:$G$58,Census!$G106-17)*(INDEX(Decrements!$D$6:$D$58,Census!$G106+AI$5-18)+IF(AI$5=$B106,INDEX(Decrements!$F$6:$F$58,Census!$G106+AI$5-18),0)+INDEX(Decrements!$E$6:$E$58,Census!$G106+AI$5-18)*IF((Census!$F106+AI$5)&gt;=Assumptions!$B$11,1,0))*MIN(15/26*Census!$D106*(1+Assumptions!$B$9)^AI$5*(INT((Census!$F106+AI$5))+IF((Census!$F106+AI$5)-INT((Census!$F106+AI$5))&gt;0.5,1,0)),Assumptions!$B$10))</f>
        <v>3281.2531367501019</v>
      </c>
      <c r="AJ106" s="30">
        <f>IF(AJ$5&gt;$B106,0,INDEX(Decrements!$G$6:$G$58,Census!$G106+AJ$5-18)/INDEX(Decrements!$G$6:$G$58,Census!$G106-17)*(INDEX(Decrements!$D$6:$D$58,Census!$G106+AJ$5-18)+IF(AJ$5=$B106,INDEX(Decrements!$F$6:$F$58,Census!$G106+AJ$5-18),0)+INDEX(Decrements!$E$6:$E$58,Census!$G106+AJ$5-18)*IF((Census!$F106+AJ$5)&gt;=Assumptions!$B$11,1,0))*MIN(15/26*Census!$D106*(1+Assumptions!$B$9)^AJ$5*(INT((Census!$F106+AJ$5))+IF((Census!$F106+AJ$5)-INT((Census!$F106+AJ$5))&gt;0.5,1,0)),Assumptions!$B$10))</f>
        <v>206952.39701486847</v>
      </c>
      <c r="AK106" s="30">
        <f>IF(AK$5&gt;$B106,0,INDEX(Decrements!$G$6:$G$58,Census!$G106+AK$5-18)/INDEX(Decrements!$G$6:$G$58,Census!$G106-17)*(INDEX(Decrements!$D$6:$D$58,Census!$G106+AK$5-18)+IF(AK$5=$B106,INDEX(Decrements!$F$6:$F$58,Census!$G106+AK$5-18),0)+INDEX(Decrements!$E$6:$E$58,Census!$G106+AK$5-18)*IF((Census!$F106+AK$5)&gt;=Assumptions!$B$11,1,0))*MIN(15/26*Census!$D106*(1+Assumptions!$B$9)^AK$5*(INT((Census!$F106+AK$5))+IF((Census!$F106+AK$5)-INT((Census!$F106+AK$5))&gt;0.5,1,0)),Assumptions!$B$10))</f>
        <v>0</v>
      </c>
      <c r="AL106" s="30">
        <f>IF(AL$5&gt;$B106,0,INDEX(Decrements!$G$6:$G$58,Census!$G106+AL$5-18)/INDEX(Decrements!$G$6:$G$58,Census!$G106-17)*(INDEX(Decrements!$D$6:$D$58,Census!$G106+AL$5-18)+IF(AL$5=$B106,INDEX(Decrements!$F$6:$F$58,Census!$G106+AL$5-18),0)+INDEX(Decrements!$E$6:$E$58,Census!$G106+AL$5-18)*IF((Census!$F106+AL$5)&gt;=Assumptions!$B$11,1,0))*MIN(15/26*Census!$D106*(1+Assumptions!$B$9)^AL$5*(INT((Census!$F106+AL$5))+IF((Census!$F106+AL$5)-INT((Census!$F106+AL$5))&gt;0.5,1,0)),Assumptions!$B$10))</f>
        <v>0</v>
      </c>
      <c r="AM106" s="30">
        <f>IF(AM$5&gt;$B106,0,INDEX(Decrements!$G$6:$G$58,Census!$G106+AM$5-18)/INDEX(Decrements!$G$6:$G$58,Census!$G106-17)*(INDEX(Decrements!$D$6:$D$58,Census!$G106+AM$5-18)+IF(AM$5=$B106,INDEX(Decrements!$F$6:$F$58,Census!$G106+AM$5-18),0)+INDEX(Decrements!$E$6:$E$58,Census!$G106+AM$5-18)*IF((Census!$F106+AM$5)&gt;=Assumptions!$B$11,1,0))*MIN(15/26*Census!$D106*(1+Assumptions!$B$9)^AM$5*(INT((Census!$F106+AM$5))+IF((Census!$F106+AM$5)-INT((Census!$F106+AM$5))&gt;0.5,1,0)),Assumptions!$B$10))</f>
        <v>0</v>
      </c>
      <c r="AN106" s="30">
        <f>IF(AN$5&gt;$B106,0,INDEX(Decrements!$G$6:$G$58,Census!$G106+AN$5-18)/INDEX(Decrements!$G$6:$G$58,Census!$G106-17)*(INDEX(Decrements!$D$6:$D$58,Census!$G106+AN$5-18)+IF(AN$5=$B106,INDEX(Decrements!$F$6:$F$58,Census!$G106+AN$5-18),0)+INDEX(Decrements!$E$6:$E$58,Census!$G106+AN$5-18)*IF((Census!$F106+AN$5)&gt;=Assumptions!$B$11,1,0))*MIN(15/26*Census!$D106*(1+Assumptions!$B$9)^AN$5*(INT((Census!$F106+AN$5))+IF((Census!$F106+AN$5)-INT((Census!$F106+AN$5))&gt;0.5,1,0)),Assumptions!$B$10))</f>
        <v>0</v>
      </c>
      <c r="AO106" s="30">
        <f>IF(AO$5&gt;$B106,0,INDEX(Decrements!$G$6:$G$58,Census!$G106+AO$5-18)/INDEX(Decrements!$G$6:$G$58,Census!$G106-17)*(INDEX(Decrements!$D$6:$D$58,Census!$G106+AO$5-18)+IF(AO$5=$B106,INDEX(Decrements!$F$6:$F$58,Census!$G106+AO$5-18),0)+INDEX(Decrements!$E$6:$E$58,Census!$G106+AO$5-18)*IF((Census!$F106+AO$5)&gt;=Assumptions!$B$11,1,0))*MIN(15/26*Census!$D106*(1+Assumptions!$B$9)^AO$5*(INT((Census!$F106+AO$5))+IF((Census!$F106+AO$5)-INT((Census!$F106+AO$5))&gt;0.5,1,0)),Assumptions!$B$10))</f>
        <v>0</v>
      </c>
      <c r="AP106" s="30">
        <f>IF(AP$5&gt;$B106,0,INDEX(Decrements!$G$6:$G$58,Census!$G106+AP$5-18)/INDEX(Decrements!$G$6:$G$58,Census!$G106-17)*(INDEX(Decrements!$D$6:$D$58,Census!$G106+AP$5-18)+IF(AP$5=$B106,INDEX(Decrements!$F$6:$F$58,Census!$G106+AP$5-18),0)+INDEX(Decrements!$E$6:$E$58,Census!$G106+AP$5-18)*IF((Census!$F106+AP$5)&gt;=Assumptions!$B$11,1,0))*MIN(15/26*Census!$D106*(1+Assumptions!$B$9)^AP$5*(INT((Census!$F106+AP$5))+IF((Census!$F106+AP$5)-INT((Census!$F106+AP$5))&gt;0.5,1,0)),Assumptions!$B$10))</f>
        <v>0</v>
      </c>
      <c r="AQ106" s="30">
        <f>IF(AQ$5&gt;$B106,0,INDEX(Decrements!$G$6:$G$58,Census!$G106+AQ$5-18)/INDEX(Decrements!$G$6:$G$58,Census!$G106-17)*(INDEX(Decrements!$D$6:$D$58,Census!$G106+AQ$5-18)+IF(AQ$5=$B106,INDEX(Decrements!$F$6:$F$58,Census!$G106+AQ$5-18),0)+INDEX(Decrements!$E$6:$E$58,Census!$G106+AQ$5-18)*IF((Census!$F106+AQ$5)&gt;=Assumptions!$B$11,1,0))*MIN(15/26*Census!$D106*(1+Assumptions!$B$9)^AQ$5*(INT((Census!$F106+AQ$5))+IF((Census!$F106+AQ$5)-INT((Census!$F106+AQ$5))&gt;0.5,1,0)),Assumptions!$B$10))</f>
        <v>0</v>
      </c>
      <c r="AR106" s="30">
        <f>IF(AR$5&gt;$B106,0,INDEX(Decrements!$G$6:$G$58,Census!$G106+AR$5-18)/INDEX(Decrements!$G$6:$G$58,Census!$G106-17)*(INDEX(Decrements!$D$6:$D$58,Census!$G106+AR$5-18)+IF(AR$5=$B106,INDEX(Decrements!$F$6:$F$58,Census!$G106+AR$5-18),0)+INDEX(Decrements!$E$6:$E$58,Census!$G106+AR$5-18)*IF((Census!$F106+AR$5)&gt;=Assumptions!$B$11,1,0))*MIN(15/26*Census!$D106*(1+Assumptions!$B$9)^AR$5*(INT((Census!$F106+AR$5))+IF((Census!$F106+AR$5)-INT((Census!$F106+AR$5))&gt;0.5,1,0)),Assumptions!$B$10))</f>
        <v>0</v>
      </c>
      <c r="AS106" s="30">
        <f>IF(AS$5&gt;$B106,0,INDEX(Decrements!$G$6:$G$58,Census!$G106+AS$5-18)/INDEX(Decrements!$G$6:$G$58,Census!$G106-17)*(INDEX(Decrements!$D$6:$D$58,Census!$G106+AS$5-18)+IF(AS$5=$B106,INDEX(Decrements!$F$6:$F$58,Census!$G106+AS$5-18),0)+INDEX(Decrements!$E$6:$E$58,Census!$G106+AS$5-18)*IF((Census!$F106+AS$5)&gt;=Assumptions!$B$11,1,0))*MIN(15/26*Census!$D106*(1+Assumptions!$B$9)^AS$5*(INT((Census!$F106+AS$5))+IF((Census!$F106+AS$5)-INT((Census!$F106+AS$5))&gt;0.5,1,0)),Assumptions!$B$10))</f>
        <v>0</v>
      </c>
      <c r="AT106" s="30">
        <f>IF(AT$5&gt;$B106,0,INDEX(Decrements!$G$6:$G$58,Census!$G106+AT$5-18)/INDEX(Decrements!$G$6:$G$58,Census!$G106-17)*(INDEX(Decrements!$D$6:$D$58,Census!$G106+AT$5-18)+IF(AT$5=$B106,INDEX(Decrements!$F$6:$F$58,Census!$G106+AT$5-18),0)+INDEX(Decrements!$E$6:$E$58,Census!$G106+AT$5-18)*IF((Census!$F106+AT$5)&gt;=Assumptions!$B$11,1,0))*MIN(15/26*Census!$D106*(1+Assumptions!$B$9)^AT$5*(INT((Census!$F106+AT$5))+IF((Census!$F106+AT$5)-INT((Census!$F106+AT$5))&gt;0.5,1,0)),Assumptions!$B$10))</f>
        <v>0</v>
      </c>
      <c r="AU106" s="30">
        <f>IF(AU$5&gt;$B106,0,INDEX(Decrements!$G$6:$G$58,Census!$G106+AU$5-18)/INDEX(Decrements!$G$6:$G$58,Census!$G106-17)*(INDEX(Decrements!$D$6:$D$58,Census!$G106+AU$5-18)+IF(AU$5=$B106,INDEX(Decrements!$F$6:$F$58,Census!$G106+AU$5-18),0)+INDEX(Decrements!$E$6:$E$58,Census!$G106+AU$5-18)*IF((Census!$F106+AU$5)&gt;=Assumptions!$B$11,1,0))*MIN(15/26*Census!$D106*(1+Assumptions!$B$9)^AU$5*(INT((Census!$F106+AU$5))+IF((Census!$F106+AU$5)-INT((Census!$F106+AU$5))&gt;0.5,1,0)),Assumptions!$B$10))</f>
        <v>0</v>
      </c>
    </row>
    <row r="107" spans="1:47" x14ac:dyDescent="0.3">
      <c r="A107" s="10" t="str">
        <f>Census!A107</f>
        <v>E102</v>
      </c>
      <c r="B107" s="29">
        <f>Census!H107</f>
        <v>33</v>
      </c>
      <c r="C107" s="30">
        <f>IF(C$5&gt;$B107,0,INDEX(Decrements!$G$6:$G$58,Census!$G107+C$5-18)/INDEX(Decrements!$G$6:$G$58,Census!$G107-17)*(INDEX(Decrements!$D$6:$D$58,Census!$G107+C$5-18)+IF(C$5=$B107,INDEX(Decrements!$F$6:$F$58,Census!$G107+C$5-18),0)+INDEX(Decrements!$E$6:$E$58,Census!$G107+C$5-18)*IF((Census!$F107+C$5)&gt;=Assumptions!$B$11,1,0))*MIN(15/26*Census!$D107*(1+Assumptions!$B$9)^C$5*(INT((Census!$F107+C$5))+IF((Census!$F107+C$5)-INT((Census!$F107+C$5))&gt;0.5,1,0)),Assumptions!$B$10))</f>
        <v>26.838304483762958</v>
      </c>
      <c r="D107" s="30">
        <f>IF(D$5&gt;$B107,0,INDEX(Decrements!$G$6:$G$58,Census!$G107+D$5-18)/INDEX(Decrements!$G$6:$G$58,Census!$G107-17)*(INDEX(Decrements!$D$6:$D$58,Census!$G107+D$5-18)+IF(D$5=$B107,INDEX(Decrements!$F$6:$F$58,Census!$G107+D$5-18),0)+INDEX(Decrements!$E$6:$E$58,Census!$G107+D$5-18)*IF((Census!$F107+D$5)&gt;=Assumptions!$B$11,1,0))*MIN(15/26*Census!$D107*(1+Assumptions!$B$9)^D$5*(INT((Census!$F107+D$5))+IF((Census!$F107+D$5)-INT((Census!$F107+D$5))&gt;0.5,1,0)),Assumptions!$B$10))</f>
        <v>34.165171639078544</v>
      </c>
      <c r="E107" s="30">
        <f>IF(E$5&gt;$B107,0,INDEX(Decrements!$G$6:$G$58,Census!$G107+E$5-18)/INDEX(Decrements!$G$6:$G$58,Census!$G107-17)*(INDEX(Decrements!$D$6:$D$58,Census!$G107+E$5-18)+IF(E$5=$B107,INDEX(Decrements!$F$6:$F$58,Census!$G107+E$5-18),0)+INDEX(Decrements!$E$6:$E$58,Census!$G107+E$5-18)*IF((Census!$F107+E$5)&gt;=Assumptions!$B$11,1,0))*MIN(15/26*Census!$D107*(1+Assumptions!$B$9)^E$5*(INT((Census!$F107+E$5))+IF((Census!$F107+E$5)-INT((Census!$F107+E$5))&gt;0.5,1,0)),Assumptions!$B$10))</f>
        <v>40.863716439985268</v>
      </c>
      <c r="F107" s="30">
        <f>IF(F$5&gt;$B107,0,INDEX(Decrements!$G$6:$G$58,Census!$G107+F$5-18)/INDEX(Decrements!$G$6:$G$58,Census!$G107-17)*(INDEX(Decrements!$D$6:$D$58,Census!$G107+F$5-18)+IF(F$5=$B107,INDEX(Decrements!$F$6:$F$58,Census!$G107+F$5-18),0)+INDEX(Decrements!$E$6:$E$58,Census!$G107+F$5-18)*IF((Census!$F107+F$5)&gt;=Assumptions!$B$11,1,0))*MIN(15/26*Census!$D107*(1+Assumptions!$B$9)^F$5*(INT((Census!$F107+F$5))+IF((Census!$F107+F$5)-INT((Census!$F107+F$5))&gt;0.5,1,0)),Assumptions!$B$10))</f>
        <v>7346.9603082669564</v>
      </c>
      <c r="G107" s="30">
        <f>IF(G$5&gt;$B107,0,INDEX(Decrements!$G$6:$G$58,Census!$G107+G$5-18)/INDEX(Decrements!$G$6:$G$58,Census!$G107-17)*(INDEX(Decrements!$D$6:$D$58,Census!$G107+G$5-18)+IF(G$5=$B107,INDEX(Decrements!$F$6:$F$58,Census!$G107+G$5-18),0)+INDEX(Decrements!$E$6:$E$58,Census!$G107+G$5-18)*IF((Census!$F107+G$5)&gt;=Assumptions!$B$11,1,0))*MIN(15/26*Census!$D107*(1+Assumptions!$B$9)^G$5*(INT((Census!$F107+G$5))+IF((Census!$F107+G$5)-INT((Census!$F107+G$5))&gt;0.5,1,0)),Assumptions!$B$10))</f>
        <v>8234.9934392589621</v>
      </c>
      <c r="H107" s="30">
        <f>IF(H$5&gt;$B107,0,INDEX(Decrements!$G$6:$G$58,Census!$G107+H$5-18)/INDEX(Decrements!$G$6:$G$58,Census!$G107-17)*(INDEX(Decrements!$D$6:$D$58,Census!$G107+H$5-18)+IF(H$5=$B107,INDEX(Decrements!$F$6:$F$58,Census!$G107+H$5-18),0)+INDEX(Decrements!$E$6:$E$58,Census!$G107+H$5-18)*IF((Census!$F107+H$5)&gt;=Assumptions!$B$11,1,0))*MIN(15/26*Census!$D107*(1+Assumptions!$B$9)^H$5*(INT((Census!$F107+H$5))+IF((Census!$F107+H$5)-INT((Census!$F107+H$5))&gt;0.5,1,0)),Assumptions!$B$10))</f>
        <v>9041.9229722700093</v>
      </c>
      <c r="I107" s="30">
        <f>IF(I$5&gt;$B107,0,INDEX(Decrements!$G$6:$G$58,Census!$G107+I$5-18)/INDEX(Decrements!$G$6:$G$58,Census!$G107-17)*(INDEX(Decrements!$D$6:$D$58,Census!$G107+I$5-18)+IF(I$5=$B107,INDEX(Decrements!$F$6:$F$58,Census!$G107+I$5-18),0)+INDEX(Decrements!$E$6:$E$58,Census!$G107+I$5-18)*IF((Census!$F107+I$5)&gt;=Assumptions!$B$11,1,0))*MIN(15/26*Census!$D107*(1+Assumptions!$B$9)^I$5*(INT((Census!$F107+I$5))+IF((Census!$F107+I$5)-INT((Census!$F107+I$5))&gt;0.5,1,0)),Assumptions!$B$10))</f>
        <v>9772.7191998703256</v>
      </c>
      <c r="J107" s="30">
        <f>IF(J$5&gt;$B107,0,INDEX(Decrements!$G$6:$G$58,Census!$G107+J$5-18)/INDEX(Decrements!$G$6:$G$58,Census!$G107-17)*(INDEX(Decrements!$D$6:$D$58,Census!$G107+J$5-18)+IF(J$5=$B107,INDEX(Decrements!$F$6:$F$58,Census!$G107+J$5-18),0)+INDEX(Decrements!$E$6:$E$58,Census!$G107+J$5-18)*IF((Census!$F107+J$5)&gt;=Assumptions!$B$11,1,0))*MIN(15/26*Census!$D107*(1+Assumptions!$B$9)^J$5*(INT((Census!$F107+J$5))+IF((Census!$F107+J$5)-INT((Census!$F107+J$5))&gt;0.5,1,0)),Assumptions!$B$10))</f>
        <v>10432.085541269813</v>
      </c>
      <c r="K107" s="30">
        <f>IF(K$5&gt;$B107,0,INDEX(Decrements!$G$6:$G$58,Census!$G107+K$5-18)/INDEX(Decrements!$G$6:$G$58,Census!$G107-17)*(INDEX(Decrements!$D$6:$D$58,Census!$G107+K$5-18)+IF(K$5=$B107,INDEX(Decrements!$F$6:$F$58,Census!$G107+K$5-18),0)+INDEX(Decrements!$E$6:$E$58,Census!$G107+K$5-18)*IF((Census!$F107+K$5)&gt;=Assumptions!$B$11,1,0))*MIN(15/26*Census!$D107*(1+Assumptions!$B$9)^K$5*(INT((Census!$F107+K$5))+IF((Census!$F107+K$5)-INT((Census!$F107+K$5))&gt;0.5,1,0)),Assumptions!$B$10))</f>
        <v>8044.6215008753188</v>
      </c>
      <c r="L107" s="30">
        <f>IF(L$5&gt;$B107,0,INDEX(Decrements!$G$6:$G$58,Census!$G107+L$5-18)/INDEX(Decrements!$G$6:$G$58,Census!$G107-17)*(INDEX(Decrements!$D$6:$D$58,Census!$G107+L$5-18)+IF(L$5=$B107,INDEX(Decrements!$F$6:$F$58,Census!$G107+L$5-18),0)+INDEX(Decrements!$E$6:$E$58,Census!$G107+L$5-18)*IF((Census!$F107+L$5)&gt;=Assumptions!$B$11,1,0))*MIN(15/26*Census!$D107*(1+Assumptions!$B$9)^L$5*(INT((Census!$F107+L$5))+IF((Census!$F107+L$5)-INT((Census!$F107+L$5))&gt;0.5,1,0)),Assumptions!$B$10))</f>
        <v>8716.9940655523205</v>
      </c>
      <c r="M107" s="30">
        <f>IF(M$5&gt;$B107,0,INDEX(Decrements!$G$6:$G$58,Census!$G107+M$5-18)/INDEX(Decrements!$G$6:$G$58,Census!$G107-17)*(INDEX(Decrements!$D$6:$D$58,Census!$G107+M$5-18)+IF(M$5=$B107,INDEX(Decrements!$F$6:$F$58,Census!$G107+M$5-18),0)+INDEX(Decrements!$E$6:$E$58,Census!$G107+M$5-18)*IF((Census!$F107+M$5)&gt;=Assumptions!$B$11,1,0))*MIN(15/26*Census!$D107*(1+Assumptions!$B$9)^M$5*(INT((Census!$F107+M$5))+IF((Census!$F107+M$5)-INT((Census!$F107+M$5))&gt;0.5,1,0)),Assumptions!$B$10))</f>
        <v>9380.039278934295</v>
      </c>
      <c r="N107" s="30">
        <f>IF(N$5&gt;$B107,0,INDEX(Decrements!$G$6:$G$58,Census!$G107+N$5-18)/INDEX(Decrements!$G$6:$G$58,Census!$G107-17)*(INDEX(Decrements!$D$6:$D$58,Census!$G107+N$5-18)+IF(N$5=$B107,INDEX(Decrements!$F$6:$F$58,Census!$G107+N$5-18),0)+INDEX(Decrements!$E$6:$E$58,Census!$G107+N$5-18)*IF((Census!$F107+N$5)&gt;=Assumptions!$B$11,1,0))*MIN(15/26*Census!$D107*(1+Assumptions!$B$9)^N$5*(INT((Census!$F107+N$5))+IF((Census!$F107+N$5)-INT((Census!$F107+N$5))&gt;0.5,1,0)),Assumptions!$B$10))</f>
        <v>10033.873902422905</v>
      </c>
      <c r="O107" s="30">
        <f>IF(O$5&gt;$B107,0,INDEX(Decrements!$G$6:$G$58,Census!$G107+O$5-18)/INDEX(Decrements!$G$6:$G$58,Census!$G107-17)*(INDEX(Decrements!$D$6:$D$58,Census!$G107+O$5-18)+IF(O$5=$B107,INDEX(Decrements!$F$6:$F$58,Census!$G107+O$5-18),0)+INDEX(Decrements!$E$6:$E$58,Census!$G107+O$5-18)*IF((Census!$F107+O$5)&gt;=Assumptions!$B$11,1,0))*MIN(15/26*Census!$D107*(1+Assumptions!$B$9)^O$5*(INT((Census!$F107+O$5))+IF((Census!$F107+O$5)-INT((Census!$F107+O$5))&gt;0.5,1,0)),Assumptions!$B$10))</f>
        <v>10678.615447312544</v>
      </c>
      <c r="P107" s="30">
        <f>IF(P$5&gt;$B107,0,INDEX(Decrements!$G$6:$G$58,Census!$G107+P$5-18)/INDEX(Decrements!$G$6:$G$58,Census!$G107-17)*(INDEX(Decrements!$D$6:$D$58,Census!$G107+P$5-18)+IF(P$5=$B107,INDEX(Decrements!$F$6:$F$58,Census!$G107+P$5-18),0)+INDEX(Decrements!$E$6:$E$58,Census!$G107+P$5-18)*IF((Census!$F107+P$5)&gt;=Assumptions!$B$11,1,0))*MIN(15/26*Census!$D107*(1+Assumptions!$B$9)^P$5*(INT((Census!$F107+P$5))+IF((Census!$F107+P$5)-INT((Census!$F107+P$5))&gt;0.5,1,0)),Assumptions!$B$10))</f>
        <v>7141.9322093590517</v>
      </c>
      <c r="Q107" s="30">
        <f>IF(Q$5&gt;$B107,0,INDEX(Decrements!$G$6:$G$58,Census!$G107+Q$5-18)/INDEX(Decrements!$G$6:$G$58,Census!$G107-17)*(INDEX(Decrements!$D$6:$D$58,Census!$G107+Q$5-18)+IF(Q$5=$B107,INDEX(Decrements!$F$6:$F$58,Census!$G107+Q$5-18),0)+INDEX(Decrements!$E$6:$E$58,Census!$G107+Q$5-18)*IF((Census!$F107+Q$5)&gt;=Assumptions!$B$11,1,0))*MIN(15/26*Census!$D107*(1+Assumptions!$B$9)^Q$5*(INT((Census!$F107+Q$5))+IF((Census!$F107+Q$5)-INT((Census!$F107+Q$5))&gt;0.5,1,0)),Assumptions!$B$10))</f>
        <v>7788.7578440802336</v>
      </c>
      <c r="R107" s="30">
        <f>IF(R$5&gt;$B107,0,INDEX(Decrements!$G$6:$G$58,Census!$G107+R$5-18)/INDEX(Decrements!$G$6:$G$58,Census!$G107-17)*(INDEX(Decrements!$D$6:$D$58,Census!$G107+R$5-18)+IF(R$5=$B107,INDEX(Decrements!$F$6:$F$58,Census!$G107+R$5-18),0)+INDEX(Decrements!$E$6:$E$58,Census!$G107+R$5-18)*IF((Census!$F107+R$5)&gt;=Assumptions!$B$11,1,0))*MIN(15/26*Census!$D107*(1+Assumptions!$B$9)^R$5*(INT((Census!$F107+R$5))+IF((Census!$F107+R$5)-INT((Census!$F107+R$5))&gt;0.5,1,0)),Assumptions!$B$10))</f>
        <v>8465.4234750854794</v>
      </c>
      <c r="S107" s="30">
        <f>IF(S$5&gt;$B107,0,INDEX(Decrements!$G$6:$G$58,Census!$G107+S$5-18)/INDEX(Decrements!$G$6:$G$58,Census!$G107-17)*(INDEX(Decrements!$D$6:$D$58,Census!$G107+S$5-18)+IF(S$5=$B107,INDEX(Decrements!$F$6:$F$58,Census!$G107+S$5-18),0)+INDEX(Decrements!$E$6:$E$58,Census!$G107+S$5-18)*IF((Census!$F107+S$5)&gt;=Assumptions!$B$11,1,0))*MIN(15/26*Census!$D107*(1+Assumptions!$B$9)^S$5*(INT((Census!$F107+S$5))+IF((Census!$F107+S$5)-INT((Census!$F107+S$5))&gt;0.5,1,0)),Assumptions!$B$10))</f>
        <v>9173.2462696317834</v>
      </c>
      <c r="T107" s="30">
        <f>IF(T$5&gt;$B107,0,INDEX(Decrements!$G$6:$G$58,Census!$G107+T$5-18)/INDEX(Decrements!$G$6:$G$58,Census!$G107-17)*(INDEX(Decrements!$D$6:$D$58,Census!$G107+T$5-18)+IF(T$5=$B107,INDEX(Decrements!$F$6:$F$58,Census!$G107+T$5-18),0)+INDEX(Decrements!$E$6:$E$58,Census!$G107+T$5-18)*IF((Census!$F107+T$5)&gt;=Assumptions!$B$11,1,0))*MIN(15/26*Census!$D107*(1+Assumptions!$B$9)^T$5*(INT((Census!$F107+T$5))+IF((Census!$F107+T$5)-INT((Census!$F107+T$5))&gt;0.5,1,0)),Assumptions!$B$10))</f>
        <v>9913.6211453651267</v>
      </c>
      <c r="U107" s="30">
        <f>IF(U$5&gt;$B107,0,INDEX(Decrements!$G$6:$G$58,Census!$G107+U$5-18)/INDEX(Decrements!$G$6:$G$58,Census!$G107-17)*(INDEX(Decrements!$D$6:$D$58,Census!$G107+U$5-18)+IF(U$5=$B107,INDEX(Decrements!$F$6:$F$58,Census!$G107+U$5-18),0)+INDEX(Decrements!$E$6:$E$58,Census!$G107+U$5-18)*IF((Census!$F107+U$5)&gt;=Assumptions!$B$11,1,0))*MIN(15/26*Census!$D107*(1+Assumptions!$B$9)^U$5*(INT((Census!$F107+U$5))+IF((Census!$F107+U$5)-INT((Census!$F107+U$5))&gt;0.5,1,0)),Assumptions!$B$10))</f>
        <v>6571.8179428684416</v>
      </c>
      <c r="V107" s="30">
        <f>IF(V$5&gt;$B107,0,INDEX(Decrements!$G$6:$G$58,Census!$G107+V$5-18)/INDEX(Decrements!$G$6:$G$58,Census!$G107-17)*(INDEX(Decrements!$D$6:$D$58,Census!$G107+V$5-18)+IF(V$5=$B107,INDEX(Decrements!$F$6:$F$58,Census!$G107+V$5-18),0)+INDEX(Decrements!$E$6:$E$58,Census!$G107+V$5-18)*IF((Census!$F107+V$5)&gt;=Assumptions!$B$11,1,0))*MIN(15/26*Census!$D107*(1+Assumptions!$B$9)^V$5*(INT((Census!$F107+V$5))+IF((Census!$F107+V$5)-INT((Census!$F107+V$5))&gt;0.5,1,0)),Assumptions!$B$10))</f>
        <v>7232.017735077251</v>
      </c>
      <c r="W107" s="30">
        <f>IF(W$5&gt;$B107,0,INDEX(Decrements!$G$6:$G$58,Census!$G107+W$5-18)/INDEX(Decrements!$G$6:$G$58,Census!$G107-17)*(INDEX(Decrements!$D$6:$D$58,Census!$G107+W$5-18)+IF(W$5=$B107,INDEX(Decrements!$F$6:$F$58,Census!$G107+W$5-18),0)+INDEX(Decrements!$E$6:$E$58,Census!$G107+W$5-18)*IF((Census!$F107+W$5)&gt;=Assumptions!$B$11,1,0))*MIN(15/26*Census!$D107*(1+Assumptions!$B$9)^W$5*(INT((Census!$F107+W$5))+IF((Census!$F107+W$5)-INT((Census!$F107+W$5))&gt;0.5,1,0)),Assumptions!$B$10))</f>
        <v>7944.3617715356058</v>
      </c>
      <c r="X107" s="30">
        <f>IF(X$5&gt;$B107,0,INDEX(Decrements!$G$6:$G$58,Census!$G107+X$5-18)/INDEX(Decrements!$G$6:$G$58,Census!$G107-17)*(INDEX(Decrements!$D$6:$D$58,Census!$G107+X$5-18)+IF(X$5=$B107,INDEX(Decrements!$F$6:$F$58,Census!$G107+X$5-18),0)+INDEX(Decrements!$E$6:$E$58,Census!$G107+X$5-18)*IF((Census!$F107+X$5)&gt;=Assumptions!$B$11,1,0))*MIN(15/26*Census!$D107*(1+Assumptions!$B$9)^X$5*(INT((Census!$F107+X$5))+IF((Census!$F107+X$5)-INT((Census!$F107+X$5))&gt;0.5,1,0)),Assumptions!$B$10))</f>
        <v>8713.0616782751022</v>
      </c>
      <c r="Y107" s="30">
        <f>IF(Y$5&gt;$B107,0,INDEX(Decrements!$G$6:$G$58,Census!$G107+Y$5-18)/INDEX(Decrements!$G$6:$G$58,Census!$G107-17)*(INDEX(Decrements!$D$6:$D$58,Census!$G107+Y$5-18)+IF(Y$5=$B107,INDEX(Decrements!$F$6:$F$58,Census!$G107+Y$5-18),0)+INDEX(Decrements!$E$6:$E$58,Census!$G107+Y$5-18)*IF((Census!$F107+Y$5)&gt;=Assumptions!$B$11,1,0))*MIN(15/26*Census!$D107*(1+Assumptions!$B$9)^Y$5*(INT((Census!$F107+Y$5))+IF((Census!$F107+Y$5)-INT((Census!$F107+Y$5))&gt;0.5,1,0)),Assumptions!$B$10))</f>
        <v>9542.7317057393102</v>
      </c>
      <c r="Z107" s="30">
        <f>IF(Z$5&gt;$B107,0,INDEX(Decrements!$G$6:$G$58,Census!$G107+Z$5-18)/INDEX(Decrements!$G$6:$G$58,Census!$G107-17)*(INDEX(Decrements!$D$6:$D$58,Census!$G107+Z$5-18)+IF(Z$5=$B107,INDEX(Decrements!$F$6:$F$58,Census!$G107+Z$5-18),0)+INDEX(Decrements!$E$6:$E$58,Census!$G107+Z$5-18)*IF((Census!$F107+Z$5)&gt;=Assumptions!$B$11,1,0))*MIN(15/26*Census!$D107*(1+Assumptions!$B$9)^Z$5*(INT((Census!$F107+Z$5))+IF((Census!$F107+Z$5)-INT((Census!$F107+Z$5))&gt;0.5,1,0)),Assumptions!$B$10))</f>
        <v>6639.3851018438481</v>
      </c>
      <c r="AA107" s="30">
        <f>IF(AA$5&gt;$B107,0,INDEX(Decrements!$G$6:$G$58,Census!$G107+AA$5-18)/INDEX(Decrements!$G$6:$G$58,Census!$G107-17)*(INDEX(Decrements!$D$6:$D$58,Census!$G107+AA$5-18)+IF(AA$5=$B107,INDEX(Decrements!$F$6:$F$58,Census!$G107+AA$5-18),0)+INDEX(Decrements!$E$6:$E$58,Census!$G107+AA$5-18)*IF((Census!$F107+AA$5)&gt;=Assumptions!$B$11,1,0))*MIN(15/26*Census!$D107*(1+Assumptions!$B$9)^AA$5*(INT((Census!$F107+AA$5))+IF((Census!$F107+AA$5)-INT((Census!$F107+AA$5))&gt;0.5,1,0)),Assumptions!$B$10))</f>
        <v>6556.4776068437004</v>
      </c>
      <c r="AB107" s="30">
        <f>IF(AB$5&gt;$B107,0,INDEX(Decrements!$G$6:$G$58,Census!$G107+AB$5-18)/INDEX(Decrements!$G$6:$G$58,Census!$G107-17)*(INDEX(Decrements!$D$6:$D$58,Census!$G107+AB$5-18)+IF(AB$5=$B107,INDEX(Decrements!$F$6:$F$58,Census!$G107+AB$5-18),0)+INDEX(Decrements!$E$6:$E$58,Census!$G107+AB$5-18)*IF((Census!$F107+AB$5)&gt;=Assumptions!$B$11,1,0))*MIN(15/26*Census!$D107*(1+Assumptions!$B$9)^AB$5*(INT((Census!$F107+AB$5))+IF((Census!$F107+AB$5)-INT((Census!$F107+AB$5))&gt;0.5,1,0)),Assumptions!$B$10))</f>
        <v>6478.976024352115</v>
      </c>
      <c r="AC107" s="30">
        <f>IF(AC$5&gt;$B107,0,INDEX(Decrements!$G$6:$G$58,Census!$G107+AC$5-18)/INDEX(Decrements!$G$6:$G$58,Census!$G107-17)*(INDEX(Decrements!$D$6:$D$58,Census!$G107+AC$5-18)+IF(AC$5=$B107,INDEX(Decrements!$F$6:$F$58,Census!$G107+AC$5-18),0)+INDEX(Decrements!$E$6:$E$58,Census!$G107+AC$5-18)*IF((Census!$F107+AC$5)&gt;=Assumptions!$B$11,1,0))*MIN(15/26*Census!$D107*(1+Assumptions!$B$9)^AC$5*(INT((Census!$F107+AC$5))+IF((Census!$F107+AC$5)-INT((Census!$F107+AC$5))&gt;0.5,1,0)),Assumptions!$B$10))</f>
        <v>6406.9942676091678</v>
      </c>
      <c r="AD107" s="30">
        <f>IF(AD$5&gt;$B107,0,INDEX(Decrements!$G$6:$G$58,Census!$G107+AD$5-18)/INDEX(Decrements!$G$6:$G$58,Census!$G107-17)*(INDEX(Decrements!$D$6:$D$58,Census!$G107+AD$5-18)+IF(AD$5=$B107,INDEX(Decrements!$F$6:$F$58,Census!$G107+AD$5-18),0)+INDEX(Decrements!$E$6:$E$58,Census!$G107+AD$5-18)*IF((Census!$F107+AD$5)&gt;=Assumptions!$B$11,1,0))*MIN(15/26*Census!$D107*(1+Assumptions!$B$9)^AD$5*(INT((Census!$F107+AD$5))+IF((Census!$F107+AD$5)-INT((Census!$F107+AD$5))&gt;0.5,1,0)),Assumptions!$B$10))</f>
        <v>6340.650008980585</v>
      </c>
      <c r="AE107" s="30">
        <f>IF(AE$5&gt;$B107,0,INDEX(Decrements!$G$6:$G$58,Census!$G107+AE$5-18)/INDEX(Decrements!$G$6:$G$58,Census!$G107-17)*(INDEX(Decrements!$D$6:$D$58,Census!$G107+AE$5-18)+IF(AE$5=$B107,INDEX(Decrements!$F$6:$F$58,Census!$G107+AE$5-18),0)+INDEX(Decrements!$E$6:$E$58,Census!$G107+AE$5-18)*IF((Census!$F107+AE$5)&gt;=Assumptions!$B$11,1,0))*MIN(15/26*Census!$D107*(1+Assumptions!$B$9)^AE$5*(INT((Census!$F107+AE$5))+IF((Census!$F107+AE$5)-INT((Census!$F107+AE$5))&gt;0.5,1,0)),Assumptions!$B$10))</f>
        <v>3703.8161226113043</v>
      </c>
      <c r="AF107" s="30">
        <f>IF(AF$5&gt;$B107,0,INDEX(Decrements!$G$6:$G$58,Census!$G107+AF$5-18)/INDEX(Decrements!$G$6:$G$58,Census!$G107-17)*(INDEX(Decrements!$D$6:$D$58,Census!$G107+AF$5-18)+IF(AF$5=$B107,INDEX(Decrements!$F$6:$F$58,Census!$G107+AF$5-18),0)+INDEX(Decrements!$E$6:$E$58,Census!$G107+AF$5-18)*IF((Census!$F107+AF$5)&gt;=Assumptions!$B$11,1,0))*MIN(15/26*Census!$D107*(1+Assumptions!$B$9)^AF$5*(INT((Census!$F107+AF$5))+IF((Census!$F107+AF$5)-INT((Census!$F107+AF$5))&gt;0.5,1,0)),Assumptions!$B$10))</f>
        <v>3750.5148652311173</v>
      </c>
      <c r="AG107" s="30">
        <f>IF(AG$5&gt;$B107,0,INDEX(Decrements!$G$6:$G$58,Census!$G107+AG$5-18)/INDEX(Decrements!$G$6:$G$58,Census!$G107-17)*(INDEX(Decrements!$D$6:$D$58,Census!$G107+AG$5-18)+IF(AG$5=$B107,INDEX(Decrements!$F$6:$F$58,Census!$G107+AG$5-18),0)+INDEX(Decrements!$E$6:$E$58,Census!$G107+AG$5-18)*IF((Census!$F107+AG$5)&gt;=Assumptions!$B$11,1,0))*MIN(15/26*Census!$D107*(1+Assumptions!$B$9)^AG$5*(INT((Census!$F107+AG$5))+IF((Census!$F107+AG$5)-INT((Census!$F107+AG$5))&gt;0.5,1,0)),Assumptions!$B$10))</f>
        <v>3803.3924213626719</v>
      </c>
      <c r="AH107" s="30">
        <f>IF(AH$5&gt;$B107,0,INDEX(Decrements!$G$6:$G$58,Census!$G107+AH$5-18)/INDEX(Decrements!$G$6:$G$58,Census!$G107-17)*(INDEX(Decrements!$D$6:$D$58,Census!$G107+AH$5-18)+IF(AH$5=$B107,INDEX(Decrements!$F$6:$F$58,Census!$G107+AH$5-18),0)+INDEX(Decrements!$E$6:$E$58,Census!$G107+AH$5-18)*IF((Census!$F107+AH$5)&gt;=Assumptions!$B$11,1,0))*MIN(15/26*Census!$D107*(1+Assumptions!$B$9)^AH$5*(INT((Census!$F107+AH$5))+IF((Census!$F107+AH$5)-INT((Census!$F107+AH$5))&gt;0.5,1,0)),Assumptions!$B$10))</f>
        <v>3862.8081741638716</v>
      </c>
      <c r="AI107" s="30">
        <f>IF(AI$5&gt;$B107,0,INDEX(Decrements!$G$6:$G$58,Census!$G107+AI$5-18)/INDEX(Decrements!$G$6:$G$58,Census!$G107-17)*(INDEX(Decrements!$D$6:$D$58,Census!$G107+AI$5-18)+IF(AI$5=$B107,INDEX(Decrements!$F$6:$F$58,Census!$G107+AI$5-18),0)+INDEX(Decrements!$E$6:$E$58,Census!$G107+AI$5-18)*IF((Census!$F107+AI$5)&gt;=Assumptions!$B$11,1,0))*MIN(15/26*Census!$D107*(1+Assumptions!$B$9)^AI$5*(INT((Census!$F107+AI$5))+IF((Census!$F107+AI$5)-INT((Census!$F107+AI$5))&gt;0.5,1,0)),Assumptions!$B$10))</f>
        <v>243631.73992836746</v>
      </c>
      <c r="AJ107" s="30">
        <f>IF(AJ$5&gt;$B107,0,INDEX(Decrements!$G$6:$G$58,Census!$G107+AJ$5-18)/INDEX(Decrements!$G$6:$G$58,Census!$G107-17)*(INDEX(Decrements!$D$6:$D$58,Census!$G107+AJ$5-18)+IF(AJ$5=$B107,INDEX(Decrements!$F$6:$F$58,Census!$G107+AJ$5-18),0)+INDEX(Decrements!$E$6:$E$58,Census!$G107+AJ$5-18)*IF((Census!$F107+AJ$5)&gt;=Assumptions!$B$11,1,0))*MIN(15/26*Census!$D107*(1+Assumptions!$B$9)^AJ$5*(INT((Census!$F107+AJ$5))+IF((Census!$F107+AJ$5)-INT((Census!$F107+AJ$5))&gt;0.5,1,0)),Assumptions!$B$10))</f>
        <v>0</v>
      </c>
      <c r="AK107" s="30">
        <f>IF(AK$5&gt;$B107,0,INDEX(Decrements!$G$6:$G$58,Census!$G107+AK$5-18)/INDEX(Decrements!$G$6:$G$58,Census!$G107-17)*(INDEX(Decrements!$D$6:$D$58,Census!$G107+AK$5-18)+IF(AK$5=$B107,INDEX(Decrements!$F$6:$F$58,Census!$G107+AK$5-18),0)+INDEX(Decrements!$E$6:$E$58,Census!$G107+AK$5-18)*IF((Census!$F107+AK$5)&gt;=Assumptions!$B$11,1,0))*MIN(15/26*Census!$D107*(1+Assumptions!$B$9)^AK$5*(INT((Census!$F107+AK$5))+IF((Census!$F107+AK$5)-INT((Census!$F107+AK$5))&gt;0.5,1,0)),Assumptions!$B$10))</f>
        <v>0</v>
      </c>
      <c r="AL107" s="30">
        <f>IF(AL$5&gt;$B107,0,INDEX(Decrements!$G$6:$G$58,Census!$G107+AL$5-18)/INDEX(Decrements!$G$6:$G$58,Census!$G107-17)*(INDEX(Decrements!$D$6:$D$58,Census!$G107+AL$5-18)+IF(AL$5=$B107,INDEX(Decrements!$F$6:$F$58,Census!$G107+AL$5-18),0)+INDEX(Decrements!$E$6:$E$58,Census!$G107+AL$5-18)*IF((Census!$F107+AL$5)&gt;=Assumptions!$B$11,1,0))*MIN(15/26*Census!$D107*(1+Assumptions!$B$9)^AL$5*(INT((Census!$F107+AL$5))+IF((Census!$F107+AL$5)-INT((Census!$F107+AL$5))&gt;0.5,1,0)),Assumptions!$B$10))</f>
        <v>0</v>
      </c>
      <c r="AM107" s="30">
        <f>IF(AM$5&gt;$B107,0,INDEX(Decrements!$G$6:$G$58,Census!$G107+AM$5-18)/INDEX(Decrements!$G$6:$G$58,Census!$G107-17)*(INDEX(Decrements!$D$6:$D$58,Census!$G107+AM$5-18)+IF(AM$5=$B107,INDEX(Decrements!$F$6:$F$58,Census!$G107+AM$5-18),0)+INDEX(Decrements!$E$6:$E$58,Census!$G107+AM$5-18)*IF((Census!$F107+AM$5)&gt;=Assumptions!$B$11,1,0))*MIN(15/26*Census!$D107*(1+Assumptions!$B$9)^AM$5*(INT((Census!$F107+AM$5))+IF((Census!$F107+AM$5)-INT((Census!$F107+AM$5))&gt;0.5,1,0)),Assumptions!$B$10))</f>
        <v>0</v>
      </c>
      <c r="AN107" s="30">
        <f>IF(AN$5&gt;$B107,0,INDEX(Decrements!$G$6:$G$58,Census!$G107+AN$5-18)/INDEX(Decrements!$G$6:$G$58,Census!$G107-17)*(INDEX(Decrements!$D$6:$D$58,Census!$G107+AN$5-18)+IF(AN$5=$B107,INDEX(Decrements!$F$6:$F$58,Census!$G107+AN$5-18),0)+INDEX(Decrements!$E$6:$E$58,Census!$G107+AN$5-18)*IF((Census!$F107+AN$5)&gt;=Assumptions!$B$11,1,0))*MIN(15/26*Census!$D107*(1+Assumptions!$B$9)^AN$5*(INT((Census!$F107+AN$5))+IF((Census!$F107+AN$5)-INT((Census!$F107+AN$5))&gt;0.5,1,0)),Assumptions!$B$10))</f>
        <v>0</v>
      </c>
      <c r="AO107" s="30">
        <f>IF(AO$5&gt;$B107,0,INDEX(Decrements!$G$6:$G$58,Census!$G107+AO$5-18)/INDEX(Decrements!$G$6:$G$58,Census!$G107-17)*(INDEX(Decrements!$D$6:$D$58,Census!$G107+AO$5-18)+IF(AO$5=$B107,INDEX(Decrements!$F$6:$F$58,Census!$G107+AO$5-18),0)+INDEX(Decrements!$E$6:$E$58,Census!$G107+AO$5-18)*IF((Census!$F107+AO$5)&gt;=Assumptions!$B$11,1,0))*MIN(15/26*Census!$D107*(1+Assumptions!$B$9)^AO$5*(INT((Census!$F107+AO$5))+IF((Census!$F107+AO$5)-INT((Census!$F107+AO$5))&gt;0.5,1,0)),Assumptions!$B$10))</f>
        <v>0</v>
      </c>
      <c r="AP107" s="30">
        <f>IF(AP$5&gt;$B107,0,INDEX(Decrements!$G$6:$G$58,Census!$G107+AP$5-18)/INDEX(Decrements!$G$6:$G$58,Census!$G107-17)*(INDEX(Decrements!$D$6:$D$58,Census!$G107+AP$5-18)+IF(AP$5=$B107,INDEX(Decrements!$F$6:$F$58,Census!$G107+AP$5-18),0)+INDEX(Decrements!$E$6:$E$58,Census!$G107+AP$5-18)*IF((Census!$F107+AP$5)&gt;=Assumptions!$B$11,1,0))*MIN(15/26*Census!$D107*(1+Assumptions!$B$9)^AP$5*(INT((Census!$F107+AP$5))+IF((Census!$F107+AP$5)-INT((Census!$F107+AP$5))&gt;0.5,1,0)),Assumptions!$B$10))</f>
        <v>0</v>
      </c>
      <c r="AQ107" s="30">
        <f>IF(AQ$5&gt;$B107,0,INDEX(Decrements!$G$6:$G$58,Census!$G107+AQ$5-18)/INDEX(Decrements!$G$6:$G$58,Census!$G107-17)*(INDEX(Decrements!$D$6:$D$58,Census!$G107+AQ$5-18)+IF(AQ$5=$B107,INDEX(Decrements!$F$6:$F$58,Census!$G107+AQ$5-18),0)+INDEX(Decrements!$E$6:$E$58,Census!$G107+AQ$5-18)*IF((Census!$F107+AQ$5)&gt;=Assumptions!$B$11,1,0))*MIN(15/26*Census!$D107*(1+Assumptions!$B$9)^AQ$5*(INT((Census!$F107+AQ$5))+IF((Census!$F107+AQ$5)-INT((Census!$F107+AQ$5))&gt;0.5,1,0)),Assumptions!$B$10))</f>
        <v>0</v>
      </c>
      <c r="AR107" s="30">
        <f>IF(AR$5&gt;$B107,0,INDEX(Decrements!$G$6:$G$58,Census!$G107+AR$5-18)/INDEX(Decrements!$G$6:$G$58,Census!$G107-17)*(INDEX(Decrements!$D$6:$D$58,Census!$G107+AR$5-18)+IF(AR$5=$B107,INDEX(Decrements!$F$6:$F$58,Census!$G107+AR$5-18),0)+INDEX(Decrements!$E$6:$E$58,Census!$G107+AR$5-18)*IF((Census!$F107+AR$5)&gt;=Assumptions!$B$11,1,0))*MIN(15/26*Census!$D107*(1+Assumptions!$B$9)^AR$5*(INT((Census!$F107+AR$5))+IF((Census!$F107+AR$5)-INT((Census!$F107+AR$5))&gt;0.5,1,0)),Assumptions!$B$10))</f>
        <v>0</v>
      </c>
      <c r="AS107" s="30">
        <f>IF(AS$5&gt;$B107,0,INDEX(Decrements!$G$6:$G$58,Census!$G107+AS$5-18)/INDEX(Decrements!$G$6:$G$58,Census!$G107-17)*(INDEX(Decrements!$D$6:$D$58,Census!$G107+AS$5-18)+IF(AS$5=$B107,INDEX(Decrements!$F$6:$F$58,Census!$G107+AS$5-18),0)+INDEX(Decrements!$E$6:$E$58,Census!$G107+AS$5-18)*IF((Census!$F107+AS$5)&gt;=Assumptions!$B$11,1,0))*MIN(15/26*Census!$D107*(1+Assumptions!$B$9)^AS$5*(INT((Census!$F107+AS$5))+IF((Census!$F107+AS$5)-INT((Census!$F107+AS$5))&gt;0.5,1,0)),Assumptions!$B$10))</f>
        <v>0</v>
      </c>
      <c r="AT107" s="30">
        <f>IF(AT$5&gt;$B107,0,INDEX(Decrements!$G$6:$G$58,Census!$G107+AT$5-18)/INDEX(Decrements!$G$6:$G$58,Census!$G107-17)*(INDEX(Decrements!$D$6:$D$58,Census!$G107+AT$5-18)+IF(AT$5=$B107,INDEX(Decrements!$F$6:$F$58,Census!$G107+AT$5-18),0)+INDEX(Decrements!$E$6:$E$58,Census!$G107+AT$5-18)*IF((Census!$F107+AT$5)&gt;=Assumptions!$B$11,1,0))*MIN(15/26*Census!$D107*(1+Assumptions!$B$9)^AT$5*(INT((Census!$F107+AT$5))+IF((Census!$F107+AT$5)-INT((Census!$F107+AT$5))&gt;0.5,1,0)),Assumptions!$B$10))</f>
        <v>0</v>
      </c>
      <c r="AU107" s="30">
        <f>IF(AU$5&gt;$B107,0,INDEX(Decrements!$G$6:$G$58,Census!$G107+AU$5-18)/INDEX(Decrements!$G$6:$G$58,Census!$G107-17)*(INDEX(Decrements!$D$6:$D$58,Census!$G107+AU$5-18)+IF(AU$5=$B107,INDEX(Decrements!$F$6:$F$58,Census!$G107+AU$5-18),0)+INDEX(Decrements!$E$6:$E$58,Census!$G107+AU$5-18)*IF((Census!$F107+AU$5)&gt;=Assumptions!$B$11,1,0))*MIN(15/26*Census!$D107*(1+Assumptions!$B$9)^AU$5*(INT((Census!$F107+AU$5))+IF((Census!$F107+AU$5)-INT((Census!$F107+AU$5))&gt;0.5,1,0)),Assumptions!$B$10))</f>
        <v>0</v>
      </c>
    </row>
    <row r="108" spans="1:47" x14ac:dyDescent="0.3">
      <c r="A108" s="10" t="str">
        <f>Census!A108</f>
        <v>E103</v>
      </c>
      <c r="B108" s="29">
        <f>Census!H108</f>
        <v>12</v>
      </c>
      <c r="C108" s="30">
        <f>IF(C$5&gt;$B108,0,INDEX(Decrements!$G$6:$G$58,Census!$G108+C$5-18)/INDEX(Decrements!$G$6:$G$58,Census!$G108-17)*(INDEX(Decrements!$D$6:$D$58,Census!$G108+C$5-18)+IF(C$5=$B108,INDEX(Decrements!$F$6:$F$58,Census!$G108+C$5-18),0)+INDEX(Decrements!$E$6:$E$58,Census!$G108+C$5-18)*IF((Census!$F108+C$5)&gt;=Assumptions!$B$11,1,0))*MIN(15/26*Census!$D108*(1+Assumptions!$B$9)^C$5*(INT((Census!$F108+C$5))+IF((Census!$F108+C$5)-INT((Census!$F108+C$5))&gt;0.5,1,0)),Assumptions!$B$10))</f>
        <v>26701.448941420185</v>
      </c>
      <c r="D108" s="30">
        <f>IF(D$5&gt;$B108,0,INDEX(Decrements!$G$6:$G$58,Census!$G108+D$5-18)/INDEX(Decrements!$G$6:$G$58,Census!$G108-17)*(INDEX(Decrements!$D$6:$D$58,Census!$G108+D$5-18)+IF(D$5=$B108,INDEX(Decrements!$F$6:$F$58,Census!$G108+D$5-18),0)+INDEX(Decrements!$E$6:$E$58,Census!$G108+D$5-18)*IF((Census!$F108+D$5)&gt;=Assumptions!$B$11,1,0))*MIN(15/26*Census!$D108*(1+Assumptions!$B$9)^D$5*(INT((Census!$F108+D$5))+IF((Census!$F108+D$5)-INT((Census!$F108+D$5))&gt;0.5,1,0)),Assumptions!$B$10))</f>
        <v>29725.664445444061</v>
      </c>
      <c r="E108" s="30">
        <f>IF(E$5&gt;$B108,0,INDEX(Decrements!$G$6:$G$58,Census!$G108+E$5-18)/INDEX(Decrements!$G$6:$G$58,Census!$G108-17)*(INDEX(Decrements!$D$6:$D$58,Census!$G108+E$5-18)+IF(E$5=$B108,INDEX(Decrements!$F$6:$F$58,Census!$G108+E$5-18),0)+INDEX(Decrements!$E$6:$E$58,Census!$G108+E$5-18)*IF((Census!$F108+E$5)&gt;=Assumptions!$B$11,1,0))*MIN(15/26*Census!$D108*(1+Assumptions!$B$9)^E$5*(INT((Census!$F108+E$5))+IF((Census!$F108+E$5)-INT((Census!$F108+E$5))&gt;0.5,1,0)),Assumptions!$B$10))</f>
        <v>22961.153633453905</v>
      </c>
      <c r="F108" s="30">
        <f>IF(F$5&gt;$B108,0,INDEX(Decrements!$G$6:$G$58,Census!$G108+F$5-18)/INDEX(Decrements!$G$6:$G$58,Census!$G108-17)*(INDEX(Decrements!$D$6:$D$58,Census!$G108+F$5-18)+IF(F$5=$B108,INDEX(Decrements!$F$6:$F$58,Census!$G108+F$5-18),0)+INDEX(Decrements!$E$6:$E$58,Census!$G108+F$5-18)*IF((Census!$F108+F$5)&gt;=Assumptions!$B$11,1,0))*MIN(15/26*Census!$D108*(1+Assumptions!$B$9)^F$5*(INT((Census!$F108+F$5))+IF((Census!$F108+F$5)-INT((Census!$F108+F$5))&gt;0.5,1,0)),Assumptions!$B$10))</f>
        <v>25777.249628907033</v>
      </c>
      <c r="G108" s="30">
        <f>IF(G$5&gt;$B108,0,INDEX(Decrements!$G$6:$G$58,Census!$G108+G$5-18)/INDEX(Decrements!$G$6:$G$58,Census!$G108-17)*(INDEX(Decrements!$D$6:$D$58,Census!$G108+G$5-18)+IF(G$5=$B108,INDEX(Decrements!$F$6:$F$58,Census!$G108+G$5-18),0)+INDEX(Decrements!$E$6:$E$58,Census!$G108+G$5-18)*IF((Census!$F108+G$5)&gt;=Assumptions!$B$11,1,0))*MIN(15/26*Census!$D108*(1+Assumptions!$B$9)^G$5*(INT((Census!$F108+G$5))+IF((Census!$F108+G$5)-INT((Census!$F108+G$5))&gt;0.5,1,0)),Assumptions!$B$10))</f>
        <v>28885.868008234371</v>
      </c>
      <c r="H108" s="30">
        <f>IF(H$5&gt;$B108,0,INDEX(Decrements!$G$6:$G$58,Census!$G108+H$5-18)/INDEX(Decrements!$G$6:$G$58,Census!$G108-17)*(INDEX(Decrements!$D$6:$D$58,Census!$G108+H$5-18)+IF(H$5=$B108,INDEX(Decrements!$F$6:$F$58,Census!$G108+H$5-18),0)+INDEX(Decrements!$E$6:$E$58,Census!$G108+H$5-18)*IF((Census!$F108+H$5)&gt;=Assumptions!$B$11,1,0))*MIN(15/26*Census!$D108*(1+Assumptions!$B$9)^H$5*(INT((Census!$F108+H$5))+IF((Census!$F108+H$5)-INT((Census!$F108+H$5))&gt;0.5,1,0)),Assumptions!$B$10))</f>
        <v>32319.194381965004</v>
      </c>
      <c r="I108" s="30">
        <f>IF(I$5&gt;$B108,0,INDEX(Decrements!$G$6:$G$58,Census!$G108+I$5-18)/INDEX(Decrements!$G$6:$G$58,Census!$G108-17)*(INDEX(Decrements!$D$6:$D$58,Census!$G108+I$5-18)+IF(I$5=$B108,INDEX(Decrements!$F$6:$F$58,Census!$G108+I$5-18),0)+INDEX(Decrements!$E$6:$E$58,Census!$G108+I$5-18)*IF((Census!$F108+I$5)&gt;=Assumptions!$B$11,1,0))*MIN(15/26*Census!$D108*(1+Assumptions!$B$9)^I$5*(INT((Census!$F108+I$5))+IF((Census!$F108+I$5)-INT((Census!$F108+I$5))&gt;0.5,1,0)),Assumptions!$B$10))</f>
        <v>36113.442016846479</v>
      </c>
      <c r="J108" s="30">
        <f>IF(J$5&gt;$B108,0,INDEX(Decrements!$G$6:$G$58,Census!$G108+J$5-18)/INDEX(Decrements!$G$6:$G$58,Census!$G108-17)*(INDEX(Decrements!$D$6:$D$58,Census!$G108+J$5-18)+IF(J$5=$B108,INDEX(Decrements!$F$6:$F$58,Census!$G108+J$5-18),0)+INDEX(Decrements!$E$6:$E$58,Census!$G108+J$5-18)*IF((Census!$F108+J$5)&gt;=Assumptions!$B$11,1,0))*MIN(15/26*Census!$D108*(1+Assumptions!$B$9)^J$5*(INT((Census!$F108+J$5))+IF((Census!$F108+J$5)-INT((Census!$F108+J$5))&gt;0.5,1,0)),Assumptions!$B$10))</f>
        <v>23773.420977593614</v>
      </c>
      <c r="K108" s="30">
        <f>IF(K$5&gt;$B108,0,INDEX(Decrements!$G$6:$G$58,Census!$G108+K$5-18)/INDEX(Decrements!$G$6:$G$58,Census!$G108-17)*(INDEX(Decrements!$D$6:$D$58,Census!$G108+K$5-18)+IF(K$5=$B108,INDEX(Decrements!$F$6:$F$58,Census!$G108+K$5-18),0)+INDEX(Decrements!$E$6:$E$58,Census!$G108+K$5-18)*IF((Census!$F108+K$5)&gt;=Assumptions!$B$11,1,0))*MIN(15/26*Census!$D108*(1+Assumptions!$B$9)^K$5*(INT((Census!$F108+K$5))+IF((Census!$F108+K$5)-INT((Census!$F108+K$5))&gt;0.5,1,0)),Assumptions!$B$10))</f>
        <v>24116.067761904938</v>
      </c>
      <c r="L108" s="30">
        <f>IF(L$5&gt;$B108,0,INDEX(Decrements!$G$6:$G$58,Census!$G108+L$5-18)/INDEX(Decrements!$G$6:$G$58,Census!$G108-17)*(INDEX(Decrements!$D$6:$D$58,Census!$G108+L$5-18)+IF(L$5=$B108,INDEX(Decrements!$F$6:$F$58,Census!$G108+L$5-18),0)+INDEX(Decrements!$E$6:$E$58,Census!$G108+L$5-18)*IF((Census!$F108+L$5)&gt;=Assumptions!$B$11,1,0))*MIN(15/26*Census!$D108*(1+Assumptions!$B$9)^L$5*(INT((Census!$F108+L$5))+IF((Census!$F108+L$5)-INT((Census!$F108+L$5))&gt;0.5,1,0)),Assumptions!$B$10))</f>
        <v>24456.074073724725</v>
      </c>
      <c r="M108" s="30">
        <f>IF(M$5&gt;$B108,0,INDEX(Decrements!$G$6:$G$58,Census!$G108+M$5-18)/INDEX(Decrements!$G$6:$G$58,Census!$G108-17)*(INDEX(Decrements!$D$6:$D$58,Census!$G108+M$5-18)+IF(M$5=$B108,INDEX(Decrements!$F$6:$F$58,Census!$G108+M$5-18),0)+INDEX(Decrements!$E$6:$E$58,Census!$G108+M$5-18)*IF((Census!$F108+M$5)&gt;=Assumptions!$B$11,1,0))*MIN(15/26*Census!$D108*(1+Assumptions!$B$9)^M$5*(INT((Census!$F108+M$5))+IF((Census!$F108+M$5)-INT((Census!$F108+M$5))&gt;0.5,1,0)),Assumptions!$B$10))</f>
        <v>24838.121438464346</v>
      </c>
      <c r="N108" s="30">
        <f>IF(N$5&gt;$B108,0,INDEX(Decrements!$G$6:$G$58,Census!$G108+N$5-18)/INDEX(Decrements!$G$6:$G$58,Census!$G108-17)*(INDEX(Decrements!$D$6:$D$58,Census!$G108+N$5-18)+IF(N$5=$B108,INDEX(Decrements!$F$6:$F$58,Census!$G108+N$5-18),0)+INDEX(Decrements!$E$6:$E$58,Census!$G108+N$5-18)*IF((Census!$F108+N$5)&gt;=Assumptions!$B$11,1,0))*MIN(15/26*Census!$D108*(1+Assumptions!$B$9)^N$5*(INT((Census!$F108+N$5))+IF((Census!$F108+N$5)-INT((Census!$F108+N$5))&gt;0.5,1,0)),Assumptions!$B$10))</f>
        <v>1566568.793935776</v>
      </c>
      <c r="O108" s="30">
        <f>IF(O$5&gt;$B108,0,INDEX(Decrements!$G$6:$G$58,Census!$G108+O$5-18)/INDEX(Decrements!$G$6:$G$58,Census!$G108-17)*(INDEX(Decrements!$D$6:$D$58,Census!$G108+O$5-18)+IF(O$5=$B108,INDEX(Decrements!$F$6:$F$58,Census!$G108+O$5-18),0)+INDEX(Decrements!$E$6:$E$58,Census!$G108+O$5-18)*IF((Census!$F108+O$5)&gt;=Assumptions!$B$11,1,0))*MIN(15/26*Census!$D108*(1+Assumptions!$B$9)^O$5*(INT((Census!$F108+O$5))+IF((Census!$F108+O$5)-INT((Census!$F108+O$5))&gt;0.5,1,0)),Assumptions!$B$10))</f>
        <v>0</v>
      </c>
      <c r="P108" s="30">
        <f>IF(P$5&gt;$B108,0,INDEX(Decrements!$G$6:$G$58,Census!$G108+P$5-18)/INDEX(Decrements!$G$6:$G$58,Census!$G108-17)*(INDEX(Decrements!$D$6:$D$58,Census!$G108+P$5-18)+IF(P$5=$B108,INDEX(Decrements!$F$6:$F$58,Census!$G108+P$5-18),0)+INDEX(Decrements!$E$6:$E$58,Census!$G108+P$5-18)*IF((Census!$F108+P$5)&gt;=Assumptions!$B$11,1,0))*MIN(15/26*Census!$D108*(1+Assumptions!$B$9)^P$5*(INT((Census!$F108+P$5))+IF((Census!$F108+P$5)-INT((Census!$F108+P$5))&gt;0.5,1,0)),Assumptions!$B$10))</f>
        <v>0</v>
      </c>
      <c r="Q108" s="30">
        <f>IF(Q$5&gt;$B108,0,INDEX(Decrements!$G$6:$G$58,Census!$G108+Q$5-18)/INDEX(Decrements!$G$6:$G$58,Census!$G108-17)*(INDEX(Decrements!$D$6:$D$58,Census!$G108+Q$5-18)+IF(Q$5=$B108,INDEX(Decrements!$F$6:$F$58,Census!$G108+Q$5-18),0)+INDEX(Decrements!$E$6:$E$58,Census!$G108+Q$5-18)*IF((Census!$F108+Q$5)&gt;=Assumptions!$B$11,1,0))*MIN(15/26*Census!$D108*(1+Assumptions!$B$9)^Q$5*(INT((Census!$F108+Q$5))+IF((Census!$F108+Q$5)-INT((Census!$F108+Q$5))&gt;0.5,1,0)),Assumptions!$B$10))</f>
        <v>0</v>
      </c>
      <c r="R108" s="30">
        <f>IF(R$5&gt;$B108,0,INDEX(Decrements!$G$6:$G$58,Census!$G108+R$5-18)/INDEX(Decrements!$G$6:$G$58,Census!$G108-17)*(INDEX(Decrements!$D$6:$D$58,Census!$G108+R$5-18)+IF(R$5=$B108,INDEX(Decrements!$F$6:$F$58,Census!$G108+R$5-18),0)+INDEX(Decrements!$E$6:$E$58,Census!$G108+R$5-18)*IF((Census!$F108+R$5)&gt;=Assumptions!$B$11,1,0))*MIN(15/26*Census!$D108*(1+Assumptions!$B$9)^R$5*(INT((Census!$F108+R$5))+IF((Census!$F108+R$5)-INT((Census!$F108+R$5))&gt;0.5,1,0)),Assumptions!$B$10))</f>
        <v>0</v>
      </c>
      <c r="S108" s="30">
        <f>IF(S$5&gt;$B108,0,INDEX(Decrements!$G$6:$G$58,Census!$G108+S$5-18)/INDEX(Decrements!$G$6:$G$58,Census!$G108-17)*(INDEX(Decrements!$D$6:$D$58,Census!$G108+S$5-18)+IF(S$5=$B108,INDEX(Decrements!$F$6:$F$58,Census!$G108+S$5-18),0)+INDEX(Decrements!$E$6:$E$58,Census!$G108+S$5-18)*IF((Census!$F108+S$5)&gt;=Assumptions!$B$11,1,0))*MIN(15/26*Census!$D108*(1+Assumptions!$B$9)^S$5*(INT((Census!$F108+S$5))+IF((Census!$F108+S$5)-INT((Census!$F108+S$5))&gt;0.5,1,0)),Assumptions!$B$10))</f>
        <v>0</v>
      </c>
      <c r="T108" s="30">
        <f>IF(T$5&gt;$B108,0,INDEX(Decrements!$G$6:$G$58,Census!$G108+T$5-18)/INDEX(Decrements!$G$6:$G$58,Census!$G108-17)*(INDEX(Decrements!$D$6:$D$58,Census!$G108+T$5-18)+IF(T$5=$B108,INDEX(Decrements!$F$6:$F$58,Census!$G108+T$5-18),0)+INDEX(Decrements!$E$6:$E$58,Census!$G108+T$5-18)*IF((Census!$F108+T$5)&gt;=Assumptions!$B$11,1,0))*MIN(15/26*Census!$D108*(1+Assumptions!$B$9)^T$5*(INT((Census!$F108+T$5))+IF((Census!$F108+T$5)-INT((Census!$F108+T$5))&gt;0.5,1,0)),Assumptions!$B$10))</f>
        <v>0</v>
      </c>
      <c r="U108" s="30">
        <f>IF(U$5&gt;$B108,0,INDEX(Decrements!$G$6:$G$58,Census!$G108+U$5-18)/INDEX(Decrements!$G$6:$G$58,Census!$G108-17)*(INDEX(Decrements!$D$6:$D$58,Census!$G108+U$5-18)+IF(U$5=$B108,INDEX(Decrements!$F$6:$F$58,Census!$G108+U$5-18),0)+INDEX(Decrements!$E$6:$E$58,Census!$G108+U$5-18)*IF((Census!$F108+U$5)&gt;=Assumptions!$B$11,1,0))*MIN(15/26*Census!$D108*(1+Assumptions!$B$9)^U$5*(INT((Census!$F108+U$5))+IF((Census!$F108+U$5)-INT((Census!$F108+U$5))&gt;0.5,1,0)),Assumptions!$B$10))</f>
        <v>0</v>
      </c>
      <c r="V108" s="30">
        <f>IF(V$5&gt;$B108,0,INDEX(Decrements!$G$6:$G$58,Census!$G108+V$5-18)/INDEX(Decrements!$G$6:$G$58,Census!$G108-17)*(INDEX(Decrements!$D$6:$D$58,Census!$G108+V$5-18)+IF(V$5=$B108,INDEX(Decrements!$F$6:$F$58,Census!$G108+V$5-18),0)+INDEX(Decrements!$E$6:$E$58,Census!$G108+V$5-18)*IF((Census!$F108+V$5)&gt;=Assumptions!$B$11,1,0))*MIN(15/26*Census!$D108*(1+Assumptions!$B$9)^V$5*(INT((Census!$F108+V$5))+IF((Census!$F108+V$5)-INT((Census!$F108+V$5))&gt;0.5,1,0)),Assumptions!$B$10))</f>
        <v>0</v>
      </c>
      <c r="W108" s="30">
        <f>IF(W$5&gt;$B108,0,INDEX(Decrements!$G$6:$G$58,Census!$G108+W$5-18)/INDEX(Decrements!$G$6:$G$58,Census!$G108-17)*(INDEX(Decrements!$D$6:$D$58,Census!$G108+W$5-18)+IF(W$5=$B108,INDEX(Decrements!$F$6:$F$58,Census!$G108+W$5-18),0)+INDEX(Decrements!$E$6:$E$58,Census!$G108+W$5-18)*IF((Census!$F108+W$5)&gt;=Assumptions!$B$11,1,0))*MIN(15/26*Census!$D108*(1+Assumptions!$B$9)^W$5*(INT((Census!$F108+W$5))+IF((Census!$F108+W$5)-INT((Census!$F108+W$5))&gt;0.5,1,0)),Assumptions!$B$10))</f>
        <v>0</v>
      </c>
      <c r="X108" s="30">
        <f>IF(X$5&gt;$B108,0,INDEX(Decrements!$G$6:$G$58,Census!$G108+X$5-18)/INDEX(Decrements!$G$6:$G$58,Census!$G108-17)*(INDEX(Decrements!$D$6:$D$58,Census!$G108+X$5-18)+IF(X$5=$B108,INDEX(Decrements!$F$6:$F$58,Census!$G108+X$5-18),0)+INDEX(Decrements!$E$6:$E$58,Census!$G108+X$5-18)*IF((Census!$F108+X$5)&gt;=Assumptions!$B$11,1,0))*MIN(15/26*Census!$D108*(1+Assumptions!$B$9)^X$5*(INT((Census!$F108+X$5))+IF((Census!$F108+X$5)-INT((Census!$F108+X$5))&gt;0.5,1,0)),Assumptions!$B$10))</f>
        <v>0</v>
      </c>
      <c r="Y108" s="30">
        <f>IF(Y$5&gt;$B108,0,INDEX(Decrements!$G$6:$G$58,Census!$G108+Y$5-18)/INDEX(Decrements!$G$6:$G$58,Census!$G108-17)*(INDEX(Decrements!$D$6:$D$58,Census!$G108+Y$5-18)+IF(Y$5=$B108,INDEX(Decrements!$F$6:$F$58,Census!$G108+Y$5-18),0)+INDEX(Decrements!$E$6:$E$58,Census!$G108+Y$5-18)*IF((Census!$F108+Y$5)&gt;=Assumptions!$B$11,1,0))*MIN(15/26*Census!$D108*(1+Assumptions!$B$9)^Y$5*(INT((Census!$F108+Y$5))+IF((Census!$F108+Y$5)-INT((Census!$F108+Y$5))&gt;0.5,1,0)),Assumptions!$B$10))</f>
        <v>0</v>
      </c>
      <c r="Z108" s="30">
        <f>IF(Z$5&gt;$B108,0,INDEX(Decrements!$G$6:$G$58,Census!$G108+Z$5-18)/INDEX(Decrements!$G$6:$G$58,Census!$G108-17)*(INDEX(Decrements!$D$6:$D$58,Census!$G108+Z$5-18)+IF(Z$5=$B108,INDEX(Decrements!$F$6:$F$58,Census!$G108+Z$5-18),0)+INDEX(Decrements!$E$6:$E$58,Census!$G108+Z$5-18)*IF((Census!$F108+Z$5)&gt;=Assumptions!$B$11,1,0))*MIN(15/26*Census!$D108*(1+Assumptions!$B$9)^Z$5*(INT((Census!$F108+Z$5))+IF((Census!$F108+Z$5)-INT((Census!$F108+Z$5))&gt;0.5,1,0)),Assumptions!$B$10))</f>
        <v>0</v>
      </c>
      <c r="AA108" s="30">
        <f>IF(AA$5&gt;$B108,0,INDEX(Decrements!$G$6:$G$58,Census!$G108+AA$5-18)/INDEX(Decrements!$G$6:$G$58,Census!$G108-17)*(INDEX(Decrements!$D$6:$D$58,Census!$G108+AA$5-18)+IF(AA$5=$B108,INDEX(Decrements!$F$6:$F$58,Census!$G108+AA$5-18),0)+INDEX(Decrements!$E$6:$E$58,Census!$G108+AA$5-18)*IF((Census!$F108+AA$5)&gt;=Assumptions!$B$11,1,0))*MIN(15/26*Census!$D108*(1+Assumptions!$B$9)^AA$5*(INT((Census!$F108+AA$5))+IF((Census!$F108+AA$5)-INT((Census!$F108+AA$5))&gt;0.5,1,0)),Assumptions!$B$10))</f>
        <v>0</v>
      </c>
      <c r="AB108" s="30">
        <f>IF(AB$5&gt;$B108,0,INDEX(Decrements!$G$6:$G$58,Census!$G108+AB$5-18)/INDEX(Decrements!$G$6:$G$58,Census!$G108-17)*(INDEX(Decrements!$D$6:$D$58,Census!$G108+AB$5-18)+IF(AB$5=$B108,INDEX(Decrements!$F$6:$F$58,Census!$G108+AB$5-18),0)+INDEX(Decrements!$E$6:$E$58,Census!$G108+AB$5-18)*IF((Census!$F108+AB$5)&gt;=Assumptions!$B$11,1,0))*MIN(15/26*Census!$D108*(1+Assumptions!$B$9)^AB$5*(INT((Census!$F108+AB$5))+IF((Census!$F108+AB$5)-INT((Census!$F108+AB$5))&gt;0.5,1,0)),Assumptions!$B$10))</f>
        <v>0</v>
      </c>
      <c r="AC108" s="30">
        <f>IF(AC$5&gt;$B108,0,INDEX(Decrements!$G$6:$G$58,Census!$G108+AC$5-18)/INDEX(Decrements!$G$6:$G$58,Census!$G108-17)*(INDEX(Decrements!$D$6:$D$58,Census!$G108+AC$5-18)+IF(AC$5=$B108,INDEX(Decrements!$F$6:$F$58,Census!$G108+AC$5-18),0)+INDEX(Decrements!$E$6:$E$58,Census!$G108+AC$5-18)*IF((Census!$F108+AC$5)&gt;=Assumptions!$B$11,1,0))*MIN(15/26*Census!$D108*(1+Assumptions!$B$9)^AC$5*(INT((Census!$F108+AC$5))+IF((Census!$F108+AC$5)-INT((Census!$F108+AC$5))&gt;0.5,1,0)),Assumptions!$B$10))</f>
        <v>0</v>
      </c>
      <c r="AD108" s="30">
        <f>IF(AD$5&gt;$B108,0,INDEX(Decrements!$G$6:$G$58,Census!$G108+AD$5-18)/INDEX(Decrements!$G$6:$G$58,Census!$G108-17)*(INDEX(Decrements!$D$6:$D$58,Census!$G108+AD$5-18)+IF(AD$5=$B108,INDEX(Decrements!$F$6:$F$58,Census!$G108+AD$5-18),0)+INDEX(Decrements!$E$6:$E$58,Census!$G108+AD$5-18)*IF((Census!$F108+AD$5)&gt;=Assumptions!$B$11,1,0))*MIN(15/26*Census!$D108*(1+Assumptions!$B$9)^AD$5*(INT((Census!$F108+AD$5))+IF((Census!$F108+AD$5)-INT((Census!$F108+AD$5))&gt;0.5,1,0)),Assumptions!$B$10))</f>
        <v>0</v>
      </c>
      <c r="AE108" s="30">
        <f>IF(AE$5&gt;$B108,0,INDEX(Decrements!$G$6:$G$58,Census!$G108+AE$5-18)/INDEX(Decrements!$G$6:$G$58,Census!$G108-17)*(INDEX(Decrements!$D$6:$D$58,Census!$G108+AE$5-18)+IF(AE$5=$B108,INDEX(Decrements!$F$6:$F$58,Census!$G108+AE$5-18),0)+INDEX(Decrements!$E$6:$E$58,Census!$G108+AE$5-18)*IF((Census!$F108+AE$5)&gt;=Assumptions!$B$11,1,0))*MIN(15/26*Census!$D108*(1+Assumptions!$B$9)^AE$5*(INT((Census!$F108+AE$5))+IF((Census!$F108+AE$5)-INT((Census!$F108+AE$5))&gt;0.5,1,0)),Assumptions!$B$10))</f>
        <v>0</v>
      </c>
      <c r="AF108" s="30">
        <f>IF(AF$5&gt;$B108,0,INDEX(Decrements!$G$6:$G$58,Census!$G108+AF$5-18)/INDEX(Decrements!$G$6:$G$58,Census!$G108-17)*(INDEX(Decrements!$D$6:$D$58,Census!$G108+AF$5-18)+IF(AF$5=$B108,INDEX(Decrements!$F$6:$F$58,Census!$G108+AF$5-18),0)+INDEX(Decrements!$E$6:$E$58,Census!$G108+AF$5-18)*IF((Census!$F108+AF$5)&gt;=Assumptions!$B$11,1,0))*MIN(15/26*Census!$D108*(1+Assumptions!$B$9)^AF$5*(INT((Census!$F108+AF$5))+IF((Census!$F108+AF$5)-INT((Census!$F108+AF$5))&gt;0.5,1,0)),Assumptions!$B$10))</f>
        <v>0</v>
      </c>
      <c r="AG108" s="30">
        <f>IF(AG$5&gt;$B108,0,INDEX(Decrements!$G$6:$G$58,Census!$G108+AG$5-18)/INDEX(Decrements!$G$6:$G$58,Census!$G108-17)*(INDEX(Decrements!$D$6:$D$58,Census!$G108+AG$5-18)+IF(AG$5=$B108,INDEX(Decrements!$F$6:$F$58,Census!$G108+AG$5-18),0)+INDEX(Decrements!$E$6:$E$58,Census!$G108+AG$5-18)*IF((Census!$F108+AG$5)&gt;=Assumptions!$B$11,1,0))*MIN(15/26*Census!$D108*(1+Assumptions!$B$9)^AG$5*(INT((Census!$F108+AG$5))+IF((Census!$F108+AG$5)-INT((Census!$F108+AG$5))&gt;0.5,1,0)),Assumptions!$B$10))</f>
        <v>0</v>
      </c>
      <c r="AH108" s="30">
        <f>IF(AH$5&gt;$B108,0,INDEX(Decrements!$G$6:$G$58,Census!$G108+AH$5-18)/INDEX(Decrements!$G$6:$G$58,Census!$G108-17)*(INDEX(Decrements!$D$6:$D$58,Census!$G108+AH$5-18)+IF(AH$5=$B108,INDEX(Decrements!$F$6:$F$58,Census!$G108+AH$5-18),0)+INDEX(Decrements!$E$6:$E$58,Census!$G108+AH$5-18)*IF((Census!$F108+AH$5)&gt;=Assumptions!$B$11,1,0))*MIN(15/26*Census!$D108*(1+Assumptions!$B$9)^AH$5*(INT((Census!$F108+AH$5))+IF((Census!$F108+AH$5)-INT((Census!$F108+AH$5))&gt;0.5,1,0)),Assumptions!$B$10))</f>
        <v>0</v>
      </c>
      <c r="AI108" s="30">
        <f>IF(AI$5&gt;$B108,0,INDEX(Decrements!$G$6:$G$58,Census!$G108+AI$5-18)/INDEX(Decrements!$G$6:$G$58,Census!$G108-17)*(INDEX(Decrements!$D$6:$D$58,Census!$G108+AI$5-18)+IF(AI$5=$B108,INDEX(Decrements!$F$6:$F$58,Census!$G108+AI$5-18),0)+INDEX(Decrements!$E$6:$E$58,Census!$G108+AI$5-18)*IF((Census!$F108+AI$5)&gt;=Assumptions!$B$11,1,0))*MIN(15/26*Census!$D108*(1+Assumptions!$B$9)^AI$5*(INT((Census!$F108+AI$5))+IF((Census!$F108+AI$5)-INT((Census!$F108+AI$5))&gt;0.5,1,0)),Assumptions!$B$10))</f>
        <v>0</v>
      </c>
      <c r="AJ108" s="30">
        <f>IF(AJ$5&gt;$B108,0,INDEX(Decrements!$G$6:$G$58,Census!$G108+AJ$5-18)/INDEX(Decrements!$G$6:$G$58,Census!$G108-17)*(INDEX(Decrements!$D$6:$D$58,Census!$G108+AJ$5-18)+IF(AJ$5=$B108,INDEX(Decrements!$F$6:$F$58,Census!$G108+AJ$5-18),0)+INDEX(Decrements!$E$6:$E$58,Census!$G108+AJ$5-18)*IF((Census!$F108+AJ$5)&gt;=Assumptions!$B$11,1,0))*MIN(15/26*Census!$D108*(1+Assumptions!$B$9)^AJ$5*(INT((Census!$F108+AJ$5))+IF((Census!$F108+AJ$5)-INT((Census!$F108+AJ$5))&gt;0.5,1,0)),Assumptions!$B$10))</f>
        <v>0</v>
      </c>
      <c r="AK108" s="30">
        <f>IF(AK$5&gt;$B108,0,INDEX(Decrements!$G$6:$G$58,Census!$G108+AK$5-18)/INDEX(Decrements!$G$6:$G$58,Census!$G108-17)*(INDEX(Decrements!$D$6:$D$58,Census!$G108+AK$5-18)+IF(AK$5=$B108,INDEX(Decrements!$F$6:$F$58,Census!$G108+AK$5-18),0)+INDEX(Decrements!$E$6:$E$58,Census!$G108+AK$5-18)*IF((Census!$F108+AK$5)&gt;=Assumptions!$B$11,1,0))*MIN(15/26*Census!$D108*(1+Assumptions!$B$9)^AK$5*(INT((Census!$F108+AK$5))+IF((Census!$F108+AK$5)-INT((Census!$F108+AK$5))&gt;0.5,1,0)),Assumptions!$B$10))</f>
        <v>0</v>
      </c>
      <c r="AL108" s="30">
        <f>IF(AL$5&gt;$B108,0,INDEX(Decrements!$G$6:$G$58,Census!$G108+AL$5-18)/INDEX(Decrements!$G$6:$G$58,Census!$G108-17)*(INDEX(Decrements!$D$6:$D$58,Census!$G108+AL$5-18)+IF(AL$5=$B108,INDEX(Decrements!$F$6:$F$58,Census!$G108+AL$5-18),0)+INDEX(Decrements!$E$6:$E$58,Census!$G108+AL$5-18)*IF((Census!$F108+AL$5)&gt;=Assumptions!$B$11,1,0))*MIN(15/26*Census!$D108*(1+Assumptions!$B$9)^AL$5*(INT((Census!$F108+AL$5))+IF((Census!$F108+AL$5)-INT((Census!$F108+AL$5))&gt;0.5,1,0)),Assumptions!$B$10))</f>
        <v>0</v>
      </c>
      <c r="AM108" s="30">
        <f>IF(AM$5&gt;$B108,0,INDEX(Decrements!$G$6:$G$58,Census!$G108+AM$5-18)/INDEX(Decrements!$G$6:$G$58,Census!$G108-17)*(INDEX(Decrements!$D$6:$D$58,Census!$G108+AM$5-18)+IF(AM$5=$B108,INDEX(Decrements!$F$6:$F$58,Census!$G108+AM$5-18),0)+INDEX(Decrements!$E$6:$E$58,Census!$G108+AM$5-18)*IF((Census!$F108+AM$5)&gt;=Assumptions!$B$11,1,0))*MIN(15/26*Census!$D108*(1+Assumptions!$B$9)^AM$5*(INT((Census!$F108+AM$5))+IF((Census!$F108+AM$5)-INT((Census!$F108+AM$5))&gt;0.5,1,0)),Assumptions!$B$10))</f>
        <v>0</v>
      </c>
      <c r="AN108" s="30">
        <f>IF(AN$5&gt;$B108,0,INDEX(Decrements!$G$6:$G$58,Census!$G108+AN$5-18)/INDEX(Decrements!$G$6:$G$58,Census!$G108-17)*(INDEX(Decrements!$D$6:$D$58,Census!$G108+AN$5-18)+IF(AN$5=$B108,INDEX(Decrements!$F$6:$F$58,Census!$G108+AN$5-18),0)+INDEX(Decrements!$E$6:$E$58,Census!$G108+AN$5-18)*IF((Census!$F108+AN$5)&gt;=Assumptions!$B$11,1,0))*MIN(15/26*Census!$D108*(1+Assumptions!$B$9)^AN$5*(INT((Census!$F108+AN$5))+IF((Census!$F108+AN$5)-INT((Census!$F108+AN$5))&gt;0.5,1,0)),Assumptions!$B$10))</f>
        <v>0</v>
      </c>
      <c r="AO108" s="30">
        <f>IF(AO$5&gt;$B108,0,INDEX(Decrements!$G$6:$G$58,Census!$G108+AO$5-18)/INDEX(Decrements!$G$6:$G$58,Census!$G108-17)*(INDEX(Decrements!$D$6:$D$58,Census!$G108+AO$5-18)+IF(AO$5=$B108,INDEX(Decrements!$F$6:$F$58,Census!$G108+AO$5-18),0)+INDEX(Decrements!$E$6:$E$58,Census!$G108+AO$5-18)*IF((Census!$F108+AO$5)&gt;=Assumptions!$B$11,1,0))*MIN(15/26*Census!$D108*(1+Assumptions!$B$9)^AO$5*(INT((Census!$F108+AO$5))+IF((Census!$F108+AO$5)-INT((Census!$F108+AO$5))&gt;0.5,1,0)),Assumptions!$B$10))</f>
        <v>0</v>
      </c>
      <c r="AP108" s="30">
        <f>IF(AP$5&gt;$B108,0,INDEX(Decrements!$G$6:$G$58,Census!$G108+AP$5-18)/INDEX(Decrements!$G$6:$G$58,Census!$G108-17)*(INDEX(Decrements!$D$6:$D$58,Census!$G108+AP$5-18)+IF(AP$5=$B108,INDEX(Decrements!$F$6:$F$58,Census!$G108+AP$5-18),0)+INDEX(Decrements!$E$6:$E$58,Census!$G108+AP$5-18)*IF((Census!$F108+AP$5)&gt;=Assumptions!$B$11,1,0))*MIN(15/26*Census!$D108*(1+Assumptions!$B$9)^AP$5*(INT((Census!$F108+AP$5))+IF((Census!$F108+AP$5)-INT((Census!$F108+AP$5))&gt;0.5,1,0)),Assumptions!$B$10))</f>
        <v>0</v>
      </c>
      <c r="AQ108" s="30">
        <f>IF(AQ$5&gt;$B108,0,INDEX(Decrements!$G$6:$G$58,Census!$G108+AQ$5-18)/INDEX(Decrements!$G$6:$G$58,Census!$G108-17)*(INDEX(Decrements!$D$6:$D$58,Census!$G108+AQ$5-18)+IF(AQ$5=$B108,INDEX(Decrements!$F$6:$F$58,Census!$G108+AQ$5-18),0)+INDEX(Decrements!$E$6:$E$58,Census!$G108+AQ$5-18)*IF((Census!$F108+AQ$5)&gt;=Assumptions!$B$11,1,0))*MIN(15/26*Census!$D108*(1+Assumptions!$B$9)^AQ$5*(INT((Census!$F108+AQ$5))+IF((Census!$F108+AQ$5)-INT((Census!$F108+AQ$5))&gt;0.5,1,0)),Assumptions!$B$10))</f>
        <v>0</v>
      </c>
      <c r="AR108" s="30">
        <f>IF(AR$5&gt;$B108,0,INDEX(Decrements!$G$6:$G$58,Census!$G108+AR$5-18)/INDEX(Decrements!$G$6:$G$58,Census!$G108-17)*(INDEX(Decrements!$D$6:$D$58,Census!$G108+AR$5-18)+IF(AR$5=$B108,INDEX(Decrements!$F$6:$F$58,Census!$G108+AR$5-18),0)+INDEX(Decrements!$E$6:$E$58,Census!$G108+AR$5-18)*IF((Census!$F108+AR$5)&gt;=Assumptions!$B$11,1,0))*MIN(15/26*Census!$D108*(1+Assumptions!$B$9)^AR$5*(INT((Census!$F108+AR$5))+IF((Census!$F108+AR$5)-INT((Census!$F108+AR$5))&gt;0.5,1,0)),Assumptions!$B$10))</f>
        <v>0</v>
      </c>
      <c r="AS108" s="30">
        <f>IF(AS$5&gt;$B108,0,INDEX(Decrements!$G$6:$G$58,Census!$G108+AS$5-18)/INDEX(Decrements!$G$6:$G$58,Census!$G108-17)*(INDEX(Decrements!$D$6:$D$58,Census!$G108+AS$5-18)+IF(AS$5=$B108,INDEX(Decrements!$F$6:$F$58,Census!$G108+AS$5-18),0)+INDEX(Decrements!$E$6:$E$58,Census!$G108+AS$5-18)*IF((Census!$F108+AS$5)&gt;=Assumptions!$B$11,1,0))*MIN(15/26*Census!$D108*(1+Assumptions!$B$9)^AS$5*(INT((Census!$F108+AS$5))+IF((Census!$F108+AS$5)-INT((Census!$F108+AS$5))&gt;0.5,1,0)),Assumptions!$B$10))</f>
        <v>0</v>
      </c>
      <c r="AT108" s="30">
        <f>IF(AT$5&gt;$B108,0,INDEX(Decrements!$G$6:$G$58,Census!$G108+AT$5-18)/INDEX(Decrements!$G$6:$G$58,Census!$G108-17)*(INDEX(Decrements!$D$6:$D$58,Census!$G108+AT$5-18)+IF(AT$5=$B108,INDEX(Decrements!$F$6:$F$58,Census!$G108+AT$5-18),0)+INDEX(Decrements!$E$6:$E$58,Census!$G108+AT$5-18)*IF((Census!$F108+AT$5)&gt;=Assumptions!$B$11,1,0))*MIN(15/26*Census!$D108*(1+Assumptions!$B$9)^AT$5*(INT((Census!$F108+AT$5))+IF((Census!$F108+AT$5)-INT((Census!$F108+AT$5))&gt;0.5,1,0)),Assumptions!$B$10))</f>
        <v>0</v>
      </c>
      <c r="AU108" s="30">
        <f>IF(AU$5&gt;$B108,0,INDEX(Decrements!$G$6:$G$58,Census!$G108+AU$5-18)/INDEX(Decrements!$G$6:$G$58,Census!$G108-17)*(INDEX(Decrements!$D$6:$D$58,Census!$G108+AU$5-18)+IF(AU$5=$B108,INDEX(Decrements!$F$6:$F$58,Census!$G108+AU$5-18),0)+INDEX(Decrements!$E$6:$E$58,Census!$G108+AU$5-18)*IF((Census!$F108+AU$5)&gt;=Assumptions!$B$11,1,0))*MIN(15/26*Census!$D108*(1+Assumptions!$B$9)^AU$5*(INT((Census!$F108+AU$5))+IF((Census!$F108+AU$5)-INT((Census!$F108+AU$5))&gt;0.5,1,0)),Assumptions!$B$10))</f>
        <v>0</v>
      </c>
    </row>
    <row r="109" spans="1:47" x14ac:dyDescent="0.3">
      <c r="A109" s="10" t="str">
        <f>Census!A109</f>
        <v>E104</v>
      </c>
      <c r="B109" s="29">
        <f>Census!H109</f>
        <v>17</v>
      </c>
      <c r="C109" s="30">
        <f>IF(C$5&gt;$B109,0,INDEX(Decrements!$G$6:$G$58,Census!$G109+C$5-18)/INDEX(Decrements!$G$6:$G$58,Census!$G109-17)*(INDEX(Decrements!$D$6:$D$58,Census!$G109+C$5-18)+IF(C$5=$B109,INDEX(Decrements!$F$6:$F$58,Census!$G109+C$5-18),0)+INDEX(Decrements!$E$6:$E$58,Census!$G109+C$5-18)*IF((Census!$F109+C$5)&gt;=Assumptions!$B$11,1,0))*MIN(15/26*Census!$D109*(1+Assumptions!$B$9)^C$5*(INT((Census!$F109+C$5))+IF((Census!$F109+C$5)-INT((Census!$F109+C$5))&gt;0.5,1,0)),Assumptions!$B$10))</f>
        <v>16878.897118178626</v>
      </c>
      <c r="D109" s="30">
        <f>IF(D$5&gt;$B109,0,INDEX(Decrements!$G$6:$G$58,Census!$G109+D$5-18)/INDEX(Decrements!$G$6:$G$58,Census!$G109-17)*(INDEX(Decrements!$D$6:$D$58,Census!$G109+D$5-18)+IF(D$5=$B109,INDEX(Decrements!$F$6:$F$58,Census!$G109+D$5-18),0)+INDEX(Decrements!$E$6:$E$58,Census!$G109+D$5-18)*IF((Census!$F109+D$5)&gt;=Assumptions!$B$11,1,0))*MIN(15/26*Census!$D109*(1+Assumptions!$B$9)^D$5*(INT((Census!$F109+D$5))+IF((Census!$F109+D$5)-INT((Census!$F109+D$5))&gt;0.5,1,0)),Assumptions!$B$10))</f>
        <v>18662.147593752485</v>
      </c>
      <c r="E109" s="30">
        <f>IF(E$5&gt;$B109,0,INDEX(Decrements!$G$6:$G$58,Census!$G109+E$5-18)/INDEX(Decrements!$G$6:$G$58,Census!$G109-17)*(INDEX(Decrements!$D$6:$D$58,Census!$G109+E$5-18)+IF(E$5=$B109,INDEX(Decrements!$F$6:$F$58,Census!$G109+E$5-18),0)+INDEX(Decrements!$E$6:$E$58,Census!$G109+E$5-18)*IF((Census!$F109+E$5)&gt;=Assumptions!$B$11,1,0))*MIN(15/26*Census!$D109*(1+Assumptions!$B$9)^E$5*(INT((Census!$F109+E$5))+IF((Census!$F109+E$5)-INT((Census!$F109+E$5))&gt;0.5,1,0)),Assumptions!$B$10))</f>
        <v>12623.760599100213</v>
      </c>
      <c r="F109" s="30">
        <f>IF(F$5&gt;$B109,0,INDEX(Decrements!$G$6:$G$58,Census!$G109+F$5-18)/INDEX(Decrements!$G$6:$G$58,Census!$G109-17)*(INDEX(Decrements!$D$6:$D$58,Census!$G109+F$5-18)+IF(F$5=$B109,INDEX(Decrements!$F$6:$F$58,Census!$G109+F$5-18),0)+INDEX(Decrements!$E$6:$E$58,Census!$G109+F$5-18)*IF((Census!$F109+F$5)&gt;=Assumptions!$B$11,1,0))*MIN(15/26*Census!$D109*(1+Assumptions!$B$9)^F$5*(INT((Census!$F109+F$5))+IF((Census!$F109+F$5)-INT((Census!$F109+F$5))&gt;0.5,1,0)),Assumptions!$B$10))</f>
        <v>14144.514527348256</v>
      </c>
      <c r="G109" s="30">
        <f>IF(G$5&gt;$B109,0,INDEX(Decrements!$G$6:$G$58,Census!$G109+G$5-18)/INDEX(Decrements!$G$6:$G$58,Census!$G109-17)*(INDEX(Decrements!$D$6:$D$58,Census!$G109+G$5-18)+IF(G$5=$B109,INDEX(Decrements!$F$6:$F$58,Census!$G109+G$5-18),0)+INDEX(Decrements!$E$6:$E$58,Census!$G109+G$5-18)*IF((Census!$F109+G$5)&gt;=Assumptions!$B$11,1,0))*MIN(15/26*Census!$D109*(1+Assumptions!$B$9)^G$5*(INT((Census!$F109+G$5))+IF((Census!$F109+G$5)-INT((Census!$F109+G$5))&gt;0.5,1,0)),Assumptions!$B$10))</f>
        <v>15791.062774296459</v>
      </c>
      <c r="H109" s="30">
        <f>IF(H$5&gt;$B109,0,INDEX(Decrements!$G$6:$G$58,Census!$G109+H$5-18)/INDEX(Decrements!$G$6:$G$58,Census!$G109-17)*(INDEX(Decrements!$D$6:$D$58,Census!$G109+H$5-18)+IF(H$5=$B109,INDEX(Decrements!$F$6:$F$58,Census!$G109+H$5-18),0)+INDEX(Decrements!$E$6:$E$58,Census!$G109+H$5-18)*IF((Census!$F109+H$5)&gt;=Assumptions!$B$11,1,0))*MIN(15/26*Census!$D109*(1+Assumptions!$B$9)^H$5*(INT((Census!$F109+H$5))+IF((Census!$F109+H$5)-INT((Census!$F109+H$5))&gt;0.5,1,0)),Assumptions!$B$10))</f>
        <v>17573.704255251636</v>
      </c>
      <c r="I109" s="30">
        <f>IF(I$5&gt;$B109,0,INDEX(Decrements!$G$6:$G$58,Census!$G109+I$5-18)/INDEX(Decrements!$G$6:$G$58,Census!$G109-17)*(INDEX(Decrements!$D$6:$D$58,Census!$G109+I$5-18)+IF(I$5=$B109,INDEX(Decrements!$F$6:$F$58,Census!$G109+I$5-18),0)+INDEX(Decrements!$E$6:$E$58,Census!$G109+I$5-18)*IF((Census!$F109+I$5)&gt;=Assumptions!$B$11,1,0))*MIN(15/26*Census!$D109*(1+Assumptions!$B$9)^I$5*(INT((Census!$F109+I$5))+IF((Census!$F109+I$5)-INT((Census!$F109+I$5))&gt;0.5,1,0)),Assumptions!$B$10))</f>
        <v>19503.725133884578</v>
      </c>
      <c r="J109" s="30">
        <f>IF(J$5&gt;$B109,0,INDEX(Decrements!$G$6:$G$58,Census!$G109+J$5-18)/INDEX(Decrements!$G$6:$G$58,Census!$G109-17)*(INDEX(Decrements!$D$6:$D$58,Census!$G109+J$5-18)+IF(J$5=$B109,INDEX(Decrements!$F$6:$F$58,Census!$G109+J$5-18),0)+INDEX(Decrements!$E$6:$E$58,Census!$G109+J$5-18)*IF((Census!$F109+J$5)&gt;=Assumptions!$B$11,1,0))*MIN(15/26*Census!$D109*(1+Assumptions!$B$9)^J$5*(INT((Census!$F109+J$5))+IF((Census!$F109+J$5)-INT((Census!$F109+J$5))&gt;0.5,1,0)),Assumptions!$B$10))</f>
        <v>15023.634179374962</v>
      </c>
      <c r="K109" s="30">
        <f>IF(K$5&gt;$B109,0,INDEX(Decrements!$G$6:$G$58,Census!$G109+K$5-18)/INDEX(Decrements!$G$6:$G$58,Census!$G109-17)*(INDEX(Decrements!$D$6:$D$58,Census!$G109+K$5-18)+IF(K$5=$B109,INDEX(Decrements!$F$6:$F$58,Census!$G109+K$5-18),0)+INDEX(Decrements!$E$6:$E$58,Census!$G109+K$5-18)*IF((Census!$F109+K$5)&gt;=Assumptions!$B$11,1,0))*MIN(15/26*Census!$D109*(1+Assumptions!$B$9)^K$5*(INT((Census!$F109+K$5))+IF((Census!$F109+K$5)-INT((Census!$F109+K$5))&gt;0.5,1,0)),Assumptions!$B$10))</f>
        <v>16824.058791665411</v>
      </c>
      <c r="L109" s="30">
        <f>IF(L$5&gt;$B109,0,INDEX(Decrements!$G$6:$G$58,Census!$G109+L$5-18)/INDEX(Decrements!$G$6:$G$58,Census!$G109-17)*(INDEX(Decrements!$D$6:$D$58,Census!$G109+L$5-18)+IF(L$5=$B109,INDEX(Decrements!$F$6:$F$58,Census!$G109+L$5-18),0)+INDEX(Decrements!$E$6:$E$58,Census!$G109+L$5-18)*IF((Census!$F109+L$5)&gt;=Assumptions!$B$11,1,0))*MIN(15/26*Census!$D109*(1+Assumptions!$B$9)^L$5*(INT((Census!$F109+L$5))+IF((Census!$F109+L$5)-INT((Census!$F109+L$5))&gt;0.5,1,0)),Assumptions!$B$10))</f>
        <v>18810.212831425684</v>
      </c>
      <c r="M109" s="30">
        <f>IF(M$5&gt;$B109,0,INDEX(Decrements!$G$6:$G$58,Census!$G109+M$5-18)/INDEX(Decrements!$G$6:$G$58,Census!$G109-17)*(INDEX(Decrements!$D$6:$D$58,Census!$G109+M$5-18)+IF(M$5=$B109,INDEX(Decrements!$F$6:$F$58,Census!$G109+M$5-18),0)+INDEX(Decrements!$E$6:$E$58,Census!$G109+M$5-18)*IF((Census!$F109+M$5)&gt;=Assumptions!$B$11,1,0))*MIN(15/26*Census!$D109*(1+Assumptions!$B$9)^M$5*(INT((Census!$F109+M$5))+IF((Census!$F109+M$5)-INT((Census!$F109+M$5))&gt;0.5,1,0)),Assumptions!$B$10))</f>
        <v>21002.480142267163</v>
      </c>
      <c r="N109" s="30">
        <f>IF(N$5&gt;$B109,0,INDEX(Decrements!$G$6:$G$58,Census!$G109+N$5-18)/INDEX(Decrements!$G$6:$G$58,Census!$G109-17)*(INDEX(Decrements!$D$6:$D$58,Census!$G109+N$5-18)+IF(N$5=$B109,INDEX(Decrements!$F$6:$F$58,Census!$G109+N$5-18),0)+INDEX(Decrements!$E$6:$E$58,Census!$G109+N$5-18)*IF((Census!$F109+N$5)&gt;=Assumptions!$B$11,1,0))*MIN(15/26*Census!$D109*(1+Assumptions!$B$9)^N$5*(INT((Census!$F109+N$5))+IF((Census!$F109+N$5)-INT((Census!$F109+N$5))&gt;0.5,1,0)),Assumptions!$B$10))</f>
        <v>23423.791313217193</v>
      </c>
      <c r="O109" s="30">
        <f>IF(O$5&gt;$B109,0,INDEX(Decrements!$G$6:$G$58,Census!$G109+O$5-18)/INDEX(Decrements!$G$6:$G$58,Census!$G109-17)*(INDEX(Decrements!$D$6:$D$58,Census!$G109+O$5-18)+IF(O$5=$B109,INDEX(Decrements!$F$6:$F$58,Census!$G109+O$5-18),0)+INDEX(Decrements!$E$6:$E$58,Census!$G109+O$5-18)*IF((Census!$F109+O$5)&gt;=Assumptions!$B$11,1,0))*MIN(15/26*Census!$D109*(1+Assumptions!$B$9)^O$5*(INT((Census!$F109+O$5))+IF((Census!$F109+O$5)-INT((Census!$F109+O$5))&gt;0.5,1,0)),Assumptions!$B$10))</f>
        <v>15393.07370224815</v>
      </c>
      <c r="P109" s="30">
        <f>IF(P$5&gt;$B109,0,INDEX(Decrements!$G$6:$G$58,Census!$G109+P$5-18)/INDEX(Decrements!$G$6:$G$58,Census!$G109-17)*(INDEX(Decrements!$D$6:$D$58,Census!$G109+P$5-18)+IF(P$5=$B109,INDEX(Decrements!$F$6:$F$58,Census!$G109+P$5-18),0)+INDEX(Decrements!$E$6:$E$58,Census!$G109+P$5-18)*IF((Census!$F109+P$5)&gt;=Assumptions!$B$11,1,0))*MIN(15/26*Census!$D109*(1+Assumptions!$B$9)^P$5*(INT((Census!$F109+P$5))+IF((Census!$F109+P$5)-INT((Census!$F109+P$5))&gt;0.5,1,0)),Assumptions!$B$10))</f>
        <v>17507.491206329669</v>
      </c>
      <c r="Q109" s="30">
        <f>IF(Q$5&gt;$B109,0,INDEX(Decrements!$G$6:$G$58,Census!$G109+Q$5-18)/INDEX(Decrements!$G$6:$G$58,Census!$G109-17)*(INDEX(Decrements!$D$6:$D$58,Census!$G109+Q$5-18)+IF(Q$5=$B109,INDEX(Decrements!$F$6:$F$58,Census!$G109+Q$5-18),0)+INDEX(Decrements!$E$6:$E$58,Census!$G109+Q$5-18)*IF((Census!$F109+Q$5)&gt;=Assumptions!$B$11,1,0))*MIN(15/26*Census!$D109*(1+Assumptions!$B$9)^Q$5*(INT((Census!$F109+Q$5))+IF((Census!$F109+Q$5)-INT((Census!$F109+Q$5))&gt;0.5,1,0)),Assumptions!$B$10))</f>
        <v>19912.158207575674</v>
      </c>
      <c r="R109" s="30">
        <f>IF(R$5&gt;$B109,0,INDEX(Decrements!$G$6:$G$58,Census!$G109+R$5-18)/INDEX(Decrements!$G$6:$G$58,Census!$G109-17)*(INDEX(Decrements!$D$6:$D$58,Census!$G109+R$5-18)+IF(R$5=$B109,INDEX(Decrements!$F$6:$F$58,Census!$G109+R$5-18),0)+INDEX(Decrements!$E$6:$E$58,Census!$G109+R$5-18)*IF((Census!$F109+R$5)&gt;=Assumptions!$B$11,1,0))*MIN(15/26*Census!$D109*(1+Assumptions!$B$9)^R$5*(INT((Census!$F109+R$5))+IF((Census!$F109+R$5)-INT((Census!$F109+R$5))&gt;0.5,1,0)),Assumptions!$B$10))</f>
        <v>20261.00399485631</v>
      </c>
      <c r="S109" s="30">
        <f>IF(S$5&gt;$B109,0,INDEX(Decrements!$G$6:$G$58,Census!$G109+S$5-18)/INDEX(Decrements!$G$6:$G$58,Census!$G109-17)*(INDEX(Decrements!$D$6:$D$58,Census!$G109+S$5-18)+IF(S$5=$B109,INDEX(Decrements!$F$6:$F$58,Census!$G109+S$5-18),0)+INDEX(Decrements!$E$6:$E$58,Census!$G109+S$5-18)*IF((Census!$F109+S$5)&gt;=Assumptions!$B$11,1,0))*MIN(15/26*Census!$D109*(1+Assumptions!$B$9)^S$5*(INT((Census!$F109+S$5))+IF((Census!$F109+S$5)-INT((Census!$F109+S$5))&gt;0.5,1,0)),Assumptions!$B$10))</f>
        <v>1277884.7494882199</v>
      </c>
      <c r="T109" s="30">
        <f>IF(T$5&gt;$B109,0,INDEX(Decrements!$G$6:$G$58,Census!$G109+T$5-18)/INDEX(Decrements!$G$6:$G$58,Census!$G109-17)*(INDEX(Decrements!$D$6:$D$58,Census!$G109+T$5-18)+IF(T$5=$B109,INDEX(Decrements!$F$6:$F$58,Census!$G109+T$5-18),0)+INDEX(Decrements!$E$6:$E$58,Census!$G109+T$5-18)*IF((Census!$F109+T$5)&gt;=Assumptions!$B$11,1,0))*MIN(15/26*Census!$D109*(1+Assumptions!$B$9)^T$5*(INT((Census!$F109+T$5))+IF((Census!$F109+T$5)-INT((Census!$F109+T$5))&gt;0.5,1,0)),Assumptions!$B$10))</f>
        <v>0</v>
      </c>
      <c r="U109" s="30">
        <f>IF(U$5&gt;$B109,0,INDEX(Decrements!$G$6:$G$58,Census!$G109+U$5-18)/INDEX(Decrements!$G$6:$G$58,Census!$G109-17)*(INDEX(Decrements!$D$6:$D$58,Census!$G109+U$5-18)+IF(U$5=$B109,INDEX(Decrements!$F$6:$F$58,Census!$G109+U$5-18),0)+INDEX(Decrements!$E$6:$E$58,Census!$G109+U$5-18)*IF((Census!$F109+U$5)&gt;=Assumptions!$B$11,1,0))*MIN(15/26*Census!$D109*(1+Assumptions!$B$9)^U$5*(INT((Census!$F109+U$5))+IF((Census!$F109+U$5)-INT((Census!$F109+U$5))&gt;0.5,1,0)),Assumptions!$B$10))</f>
        <v>0</v>
      </c>
      <c r="V109" s="30">
        <f>IF(V$5&gt;$B109,0,INDEX(Decrements!$G$6:$G$58,Census!$G109+V$5-18)/INDEX(Decrements!$G$6:$G$58,Census!$G109-17)*(INDEX(Decrements!$D$6:$D$58,Census!$G109+V$5-18)+IF(V$5=$B109,INDEX(Decrements!$F$6:$F$58,Census!$G109+V$5-18),0)+INDEX(Decrements!$E$6:$E$58,Census!$G109+V$5-18)*IF((Census!$F109+V$5)&gt;=Assumptions!$B$11,1,0))*MIN(15/26*Census!$D109*(1+Assumptions!$B$9)^V$5*(INT((Census!$F109+V$5))+IF((Census!$F109+V$5)-INT((Census!$F109+V$5))&gt;0.5,1,0)),Assumptions!$B$10))</f>
        <v>0</v>
      </c>
      <c r="W109" s="30">
        <f>IF(W$5&gt;$B109,0,INDEX(Decrements!$G$6:$G$58,Census!$G109+W$5-18)/INDEX(Decrements!$G$6:$G$58,Census!$G109-17)*(INDEX(Decrements!$D$6:$D$58,Census!$G109+W$5-18)+IF(W$5=$B109,INDEX(Decrements!$F$6:$F$58,Census!$G109+W$5-18),0)+INDEX(Decrements!$E$6:$E$58,Census!$G109+W$5-18)*IF((Census!$F109+W$5)&gt;=Assumptions!$B$11,1,0))*MIN(15/26*Census!$D109*(1+Assumptions!$B$9)^W$5*(INT((Census!$F109+W$5))+IF((Census!$F109+W$5)-INT((Census!$F109+W$5))&gt;0.5,1,0)),Assumptions!$B$10))</f>
        <v>0</v>
      </c>
      <c r="X109" s="30">
        <f>IF(X$5&gt;$B109,0,INDEX(Decrements!$G$6:$G$58,Census!$G109+X$5-18)/INDEX(Decrements!$G$6:$G$58,Census!$G109-17)*(INDEX(Decrements!$D$6:$D$58,Census!$G109+X$5-18)+IF(X$5=$B109,INDEX(Decrements!$F$6:$F$58,Census!$G109+X$5-18),0)+INDEX(Decrements!$E$6:$E$58,Census!$G109+X$5-18)*IF((Census!$F109+X$5)&gt;=Assumptions!$B$11,1,0))*MIN(15/26*Census!$D109*(1+Assumptions!$B$9)^X$5*(INT((Census!$F109+X$5))+IF((Census!$F109+X$5)-INT((Census!$F109+X$5))&gt;0.5,1,0)),Assumptions!$B$10))</f>
        <v>0</v>
      </c>
      <c r="Y109" s="30">
        <f>IF(Y$5&gt;$B109,0,INDEX(Decrements!$G$6:$G$58,Census!$G109+Y$5-18)/INDEX(Decrements!$G$6:$G$58,Census!$G109-17)*(INDEX(Decrements!$D$6:$D$58,Census!$G109+Y$5-18)+IF(Y$5=$B109,INDEX(Decrements!$F$6:$F$58,Census!$G109+Y$5-18),0)+INDEX(Decrements!$E$6:$E$58,Census!$G109+Y$5-18)*IF((Census!$F109+Y$5)&gt;=Assumptions!$B$11,1,0))*MIN(15/26*Census!$D109*(1+Assumptions!$B$9)^Y$5*(INT((Census!$F109+Y$5))+IF((Census!$F109+Y$5)-INT((Census!$F109+Y$5))&gt;0.5,1,0)),Assumptions!$B$10))</f>
        <v>0</v>
      </c>
      <c r="Z109" s="30">
        <f>IF(Z$5&gt;$B109,0,INDEX(Decrements!$G$6:$G$58,Census!$G109+Z$5-18)/INDEX(Decrements!$G$6:$G$58,Census!$G109-17)*(INDEX(Decrements!$D$6:$D$58,Census!$G109+Z$5-18)+IF(Z$5=$B109,INDEX(Decrements!$F$6:$F$58,Census!$G109+Z$5-18),0)+INDEX(Decrements!$E$6:$E$58,Census!$G109+Z$5-18)*IF((Census!$F109+Z$5)&gt;=Assumptions!$B$11,1,0))*MIN(15/26*Census!$D109*(1+Assumptions!$B$9)^Z$5*(INT((Census!$F109+Z$5))+IF((Census!$F109+Z$5)-INT((Census!$F109+Z$5))&gt;0.5,1,0)),Assumptions!$B$10))</f>
        <v>0</v>
      </c>
      <c r="AA109" s="30">
        <f>IF(AA$5&gt;$B109,0,INDEX(Decrements!$G$6:$G$58,Census!$G109+AA$5-18)/INDEX(Decrements!$G$6:$G$58,Census!$G109-17)*(INDEX(Decrements!$D$6:$D$58,Census!$G109+AA$5-18)+IF(AA$5=$B109,INDEX(Decrements!$F$6:$F$58,Census!$G109+AA$5-18),0)+INDEX(Decrements!$E$6:$E$58,Census!$G109+AA$5-18)*IF((Census!$F109+AA$5)&gt;=Assumptions!$B$11,1,0))*MIN(15/26*Census!$D109*(1+Assumptions!$B$9)^AA$5*(INT((Census!$F109+AA$5))+IF((Census!$F109+AA$5)-INT((Census!$F109+AA$5))&gt;0.5,1,0)),Assumptions!$B$10))</f>
        <v>0</v>
      </c>
      <c r="AB109" s="30">
        <f>IF(AB$5&gt;$B109,0,INDEX(Decrements!$G$6:$G$58,Census!$G109+AB$5-18)/INDEX(Decrements!$G$6:$G$58,Census!$G109-17)*(INDEX(Decrements!$D$6:$D$58,Census!$G109+AB$5-18)+IF(AB$5=$B109,INDEX(Decrements!$F$6:$F$58,Census!$G109+AB$5-18),0)+INDEX(Decrements!$E$6:$E$58,Census!$G109+AB$5-18)*IF((Census!$F109+AB$5)&gt;=Assumptions!$B$11,1,0))*MIN(15/26*Census!$D109*(1+Assumptions!$B$9)^AB$5*(INT((Census!$F109+AB$5))+IF((Census!$F109+AB$5)-INT((Census!$F109+AB$5))&gt;0.5,1,0)),Assumptions!$B$10))</f>
        <v>0</v>
      </c>
      <c r="AC109" s="30">
        <f>IF(AC$5&gt;$B109,0,INDEX(Decrements!$G$6:$G$58,Census!$G109+AC$5-18)/INDEX(Decrements!$G$6:$G$58,Census!$G109-17)*(INDEX(Decrements!$D$6:$D$58,Census!$G109+AC$5-18)+IF(AC$5=$B109,INDEX(Decrements!$F$6:$F$58,Census!$G109+AC$5-18),0)+INDEX(Decrements!$E$6:$E$58,Census!$G109+AC$5-18)*IF((Census!$F109+AC$5)&gt;=Assumptions!$B$11,1,0))*MIN(15/26*Census!$D109*(1+Assumptions!$B$9)^AC$5*(INT((Census!$F109+AC$5))+IF((Census!$F109+AC$5)-INT((Census!$F109+AC$5))&gt;0.5,1,0)),Assumptions!$B$10))</f>
        <v>0</v>
      </c>
      <c r="AD109" s="30">
        <f>IF(AD$5&gt;$B109,0,INDEX(Decrements!$G$6:$G$58,Census!$G109+AD$5-18)/INDEX(Decrements!$G$6:$G$58,Census!$G109-17)*(INDEX(Decrements!$D$6:$D$58,Census!$G109+AD$5-18)+IF(AD$5=$B109,INDEX(Decrements!$F$6:$F$58,Census!$G109+AD$5-18),0)+INDEX(Decrements!$E$6:$E$58,Census!$G109+AD$5-18)*IF((Census!$F109+AD$5)&gt;=Assumptions!$B$11,1,0))*MIN(15/26*Census!$D109*(1+Assumptions!$B$9)^AD$5*(INT((Census!$F109+AD$5))+IF((Census!$F109+AD$5)-INT((Census!$F109+AD$5))&gt;0.5,1,0)),Assumptions!$B$10))</f>
        <v>0</v>
      </c>
      <c r="AE109" s="30">
        <f>IF(AE$5&gt;$B109,0,INDEX(Decrements!$G$6:$G$58,Census!$G109+AE$5-18)/INDEX(Decrements!$G$6:$G$58,Census!$G109-17)*(INDEX(Decrements!$D$6:$D$58,Census!$G109+AE$5-18)+IF(AE$5=$B109,INDEX(Decrements!$F$6:$F$58,Census!$G109+AE$5-18),0)+INDEX(Decrements!$E$6:$E$58,Census!$G109+AE$5-18)*IF((Census!$F109+AE$5)&gt;=Assumptions!$B$11,1,0))*MIN(15/26*Census!$D109*(1+Assumptions!$B$9)^AE$5*(INT((Census!$F109+AE$5))+IF((Census!$F109+AE$5)-INT((Census!$F109+AE$5))&gt;0.5,1,0)),Assumptions!$B$10))</f>
        <v>0</v>
      </c>
      <c r="AF109" s="30">
        <f>IF(AF$5&gt;$B109,0,INDEX(Decrements!$G$6:$G$58,Census!$G109+AF$5-18)/INDEX(Decrements!$G$6:$G$58,Census!$G109-17)*(INDEX(Decrements!$D$6:$D$58,Census!$G109+AF$5-18)+IF(AF$5=$B109,INDEX(Decrements!$F$6:$F$58,Census!$G109+AF$5-18),0)+INDEX(Decrements!$E$6:$E$58,Census!$G109+AF$5-18)*IF((Census!$F109+AF$5)&gt;=Assumptions!$B$11,1,0))*MIN(15/26*Census!$D109*(1+Assumptions!$B$9)^AF$5*(INT((Census!$F109+AF$5))+IF((Census!$F109+AF$5)-INT((Census!$F109+AF$5))&gt;0.5,1,0)),Assumptions!$B$10))</f>
        <v>0</v>
      </c>
      <c r="AG109" s="30">
        <f>IF(AG$5&gt;$B109,0,INDEX(Decrements!$G$6:$G$58,Census!$G109+AG$5-18)/INDEX(Decrements!$G$6:$G$58,Census!$G109-17)*(INDEX(Decrements!$D$6:$D$58,Census!$G109+AG$5-18)+IF(AG$5=$B109,INDEX(Decrements!$F$6:$F$58,Census!$G109+AG$5-18),0)+INDEX(Decrements!$E$6:$E$58,Census!$G109+AG$5-18)*IF((Census!$F109+AG$5)&gt;=Assumptions!$B$11,1,0))*MIN(15/26*Census!$D109*(1+Assumptions!$B$9)^AG$5*(INT((Census!$F109+AG$5))+IF((Census!$F109+AG$5)-INT((Census!$F109+AG$5))&gt;0.5,1,0)),Assumptions!$B$10))</f>
        <v>0</v>
      </c>
      <c r="AH109" s="30">
        <f>IF(AH$5&gt;$B109,0,INDEX(Decrements!$G$6:$G$58,Census!$G109+AH$5-18)/INDEX(Decrements!$G$6:$G$58,Census!$G109-17)*(INDEX(Decrements!$D$6:$D$58,Census!$G109+AH$5-18)+IF(AH$5=$B109,INDEX(Decrements!$F$6:$F$58,Census!$G109+AH$5-18),0)+INDEX(Decrements!$E$6:$E$58,Census!$G109+AH$5-18)*IF((Census!$F109+AH$5)&gt;=Assumptions!$B$11,1,0))*MIN(15/26*Census!$D109*(1+Assumptions!$B$9)^AH$5*(INT((Census!$F109+AH$5))+IF((Census!$F109+AH$5)-INT((Census!$F109+AH$5))&gt;0.5,1,0)),Assumptions!$B$10))</f>
        <v>0</v>
      </c>
      <c r="AI109" s="30">
        <f>IF(AI$5&gt;$B109,0,INDEX(Decrements!$G$6:$G$58,Census!$G109+AI$5-18)/INDEX(Decrements!$G$6:$G$58,Census!$G109-17)*(INDEX(Decrements!$D$6:$D$58,Census!$G109+AI$5-18)+IF(AI$5=$B109,INDEX(Decrements!$F$6:$F$58,Census!$G109+AI$5-18),0)+INDEX(Decrements!$E$6:$E$58,Census!$G109+AI$5-18)*IF((Census!$F109+AI$5)&gt;=Assumptions!$B$11,1,0))*MIN(15/26*Census!$D109*(1+Assumptions!$B$9)^AI$5*(INT((Census!$F109+AI$5))+IF((Census!$F109+AI$5)-INT((Census!$F109+AI$5))&gt;0.5,1,0)),Assumptions!$B$10))</f>
        <v>0</v>
      </c>
      <c r="AJ109" s="30">
        <f>IF(AJ$5&gt;$B109,0,INDEX(Decrements!$G$6:$G$58,Census!$G109+AJ$5-18)/INDEX(Decrements!$G$6:$G$58,Census!$G109-17)*(INDEX(Decrements!$D$6:$D$58,Census!$G109+AJ$5-18)+IF(AJ$5=$B109,INDEX(Decrements!$F$6:$F$58,Census!$G109+AJ$5-18),0)+INDEX(Decrements!$E$6:$E$58,Census!$G109+AJ$5-18)*IF((Census!$F109+AJ$5)&gt;=Assumptions!$B$11,1,0))*MIN(15/26*Census!$D109*(1+Assumptions!$B$9)^AJ$5*(INT((Census!$F109+AJ$5))+IF((Census!$F109+AJ$5)-INT((Census!$F109+AJ$5))&gt;0.5,1,0)),Assumptions!$B$10))</f>
        <v>0</v>
      </c>
      <c r="AK109" s="30">
        <f>IF(AK$5&gt;$B109,0,INDEX(Decrements!$G$6:$G$58,Census!$G109+AK$5-18)/INDEX(Decrements!$G$6:$G$58,Census!$G109-17)*(INDEX(Decrements!$D$6:$D$58,Census!$G109+AK$5-18)+IF(AK$5=$B109,INDEX(Decrements!$F$6:$F$58,Census!$G109+AK$5-18),0)+INDEX(Decrements!$E$6:$E$58,Census!$G109+AK$5-18)*IF((Census!$F109+AK$5)&gt;=Assumptions!$B$11,1,0))*MIN(15/26*Census!$D109*(1+Assumptions!$B$9)^AK$5*(INT((Census!$F109+AK$5))+IF((Census!$F109+AK$5)-INT((Census!$F109+AK$5))&gt;0.5,1,0)),Assumptions!$B$10))</f>
        <v>0</v>
      </c>
      <c r="AL109" s="30">
        <f>IF(AL$5&gt;$B109,0,INDEX(Decrements!$G$6:$G$58,Census!$G109+AL$5-18)/INDEX(Decrements!$G$6:$G$58,Census!$G109-17)*(INDEX(Decrements!$D$6:$D$58,Census!$G109+AL$5-18)+IF(AL$5=$B109,INDEX(Decrements!$F$6:$F$58,Census!$G109+AL$5-18),0)+INDEX(Decrements!$E$6:$E$58,Census!$G109+AL$5-18)*IF((Census!$F109+AL$5)&gt;=Assumptions!$B$11,1,0))*MIN(15/26*Census!$D109*(1+Assumptions!$B$9)^AL$5*(INT((Census!$F109+AL$5))+IF((Census!$F109+AL$5)-INT((Census!$F109+AL$5))&gt;0.5,1,0)),Assumptions!$B$10))</f>
        <v>0</v>
      </c>
      <c r="AM109" s="30">
        <f>IF(AM$5&gt;$B109,0,INDEX(Decrements!$G$6:$G$58,Census!$G109+AM$5-18)/INDEX(Decrements!$G$6:$G$58,Census!$G109-17)*(INDEX(Decrements!$D$6:$D$58,Census!$G109+AM$5-18)+IF(AM$5=$B109,INDEX(Decrements!$F$6:$F$58,Census!$G109+AM$5-18),0)+INDEX(Decrements!$E$6:$E$58,Census!$G109+AM$5-18)*IF((Census!$F109+AM$5)&gt;=Assumptions!$B$11,1,0))*MIN(15/26*Census!$D109*(1+Assumptions!$B$9)^AM$5*(INT((Census!$F109+AM$5))+IF((Census!$F109+AM$5)-INT((Census!$F109+AM$5))&gt;0.5,1,0)),Assumptions!$B$10))</f>
        <v>0</v>
      </c>
      <c r="AN109" s="30">
        <f>IF(AN$5&gt;$B109,0,INDEX(Decrements!$G$6:$G$58,Census!$G109+AN$5-18)/INDEX(Decrements!$G$6:$G$58,Census!$G109-17)*(INDEX(Decrements!$D$6:$D$58,Census!$G109+AN$5-18)+IF(AN$5=$B109,INDEX(Decrements!$F$6:$F$58,Census!$G109+AN$5-18),0)+INDEX(Decrements!$E$6:$E$58,Census!$G109+AN$5-18)*IF((Census!$F109+AN$5)&gt;=Assumptions!$B$11,1,0))*MIN(15/26*Census!$D109*(1+Assumptions!$B$9)^AN$5*(INT((Census!$F109+AN$5))+IF((Census!$F109+AN$5)-INT((Census!$F109+AN$5))&gt;0.5,1,0)),Assumptions!$B$10))</f>
        <v>0</v>
      </c>
      <c r="AO109" s="30">
        <f>IF(AO$5&gt;$B109,0,INDEX(Decrements!$G$6:$G$58,Census!$G109+AO$5-18)/INDEX(Decrements!$G$6:$G$58,Census!$G109-17)*(INDEX(Decrements!$D$6:$D$58,Census!$G109+AO$5-18)+IF(AO$5=$B109,INDEX(Decrements!$F$6:$F$58,Census!$G109+AO$5-18),0)+INDEX(Decrements!$E$6:$E$58,Census!$G109+AO$5-18)*IF((Census!$F109+AO$5)&gt;=Assumptions!$B$11,1,0))*MIN(15/26*Census!$D109*(1+Assumptions!$B$9)^AO$5*(INT((Census!$F109+AO$5))+IF((Census!$F109+AO$5)-INT((Census!$F109+AO$5))&gt;0.5,1,0)),Assumptions!$B$10))</f>
        <v>0</v>
      </c>
      <c r="AP109" s="30">
        <f>IF(AP$5&gt;$B109,0,INDEX(Decrements!$G$6:$G$58,Census!$G109+AP$5-18)/INDEX(Decrements!$G$6:$G$58,Census!$G109-17)*(INDEX(Decrements!$D$6:$D$58,Census!$G109+AP$5-18)+IF(AP$5=$B109,INDEX(Decrements!$F$6:$F$58,Census!$G109+AP$5-18),0)+INDEX(Decrements!$E$6:$E$58,Census!$G109+AP$5-18)*IF((Census!$F109+AP$5)&gt;=Assumptions!$B$11,1,0))*MIN(15/26*Census!$D109*(1+Assumptions!$B$9)^AP$5*(INT((Census!$F109+AP$5))+IF((Census!$F109+AP$5)-INT((Census!$F109+AP$5))&gt;0.5,1,0)),Assumptions!$B$10))</f>
        <v>0</v>
      </c>
      <c r="AQ109" s="30">
        <f>IF(AQ$5&gt;$B109,0,INDEX(Decrements!$G$6:$G$58,Census!$G109+AQ$5-18)/INDEX(Decrements!$G$6:$G$58,Census!$G109-17)*(INDEX(Decrements!$D$6:$D$58,Census!$G109+AQ$5-18)+IF(AQ$5=$B109,INDEX(Decrements!$F$6:$F$58,Census!$G109+AQ$5-18),0)+INDEX(Decrements!$E$6:$E$58,Census!$G109+AQ$5-18)*IF((Census!$F109+AQ$5)&gt;=Assumptions!$B$11,1,0))*MIN(15/26*Census!$D109*(1+Assumptions!$B$9)^AQ$5*(INT((Census!$F109+AQ$5))+IF((Census!$F109+AQ$5)-INT((Census!$F109+AQ$5))&gt;0.5,1,0)),Assumptions!$B$10))</f>
        <v>0</v>
      </c>
      <c r="AR109" s="30">
        <f>IF(AR$5&gt;$B109,0,INDEX(Decrements!$G$6:$G$58,Census!$G109+AR$5-18)/INDEX(Decrements!$G$6:$G$58,Census!$G109-17)*(INDEX(Decrements!$D$6:$D$58,Census!$G109+AR$5-18)+IF(AR$5=$B109,INDEX(Decrements!$F$6:$F$58,Census!$G109+AR$5-18),0)+INDEX(Decrements!$E$6:$E$58,Census!$G109+AR$5-18)*IF((Census!$F109+AR$5)&gt;=Assumptions!$B$11,1,0))*MIN(15/26*Census!$D109*(1+Assumptions!$B$9)^AR$5*(INT((Census!$F109+AR$5))+IF((Census!$F109+AR$5)-INT((Census!$F109+AR$5))&gt;0.5,1,0)),Assumptions!$B$10))</f>
        <v>0</v>
      </c>
      <c r="AS109" s="30">
        <f>IF(AS$5&gt;$B109,0,INDEX(Decrements!$G$6:$G$58,Census!$G109+AS$5-18)/INDEX(Decrements!$G$6:$G$58,Census!$G109-17)*(INDEX(Decrements!$D$6:$D$58,Census!$G109+AS$5-18)+IF(AS$5=$B109,INDEX(Decrements!$F$6:$F$58,Census!$G109+AS$5-18),0)+INDEX(Decrements!$E$6:$E$58,Census!$G109+AS$5-18)*IF((Census!$F109+AS$5)&gt;=Assumptions!$B$11,1,0))*MIN(15/26*Census!$D109*(1+Assumptions!$B$9)^AS$5*(INT((Census!$F109+AS$5))+IF((Census!$F109+AS$5)-INT((Census!$F109+AS$5))&gt;0.5,1,0)),Assumptions!$B$10))</f>
        <v>0</v>
      </c>
      <c r="AT109" s="30">
        <f>IF(AT$5&gt;$B109,0,INDEX(Decrements!$G$6:$G$58,Census!$G109+AT$5-18)/INDEX(Decrements!$G$6:$G$58,Census!$G109-17)*(INDEX(Decrements!$D$6:$D$58,Census!$G109+AT$5-18)+IF(AT$5=$B109,INDEX(Decrements!$F$6:$F$58,Census!$G109+AT$5-18),0)+INDEX(Decrements!$E$6:$E$58,Census!$G109+AT$5-18)*IF((Census!$F109+AT$5)&gt;=Assumptions!$B$11,1,0))*MIN(15/26*Census!$D109*(1+Assumptions!$B$9)^AT$5*(INT((Census!$F109+AT$5))+IF((Census!$F109+AT$5)-INT((Census!$F109+AT$5))&gt;0.5,1,0)),Assumptions!$B$10))</f>
        <v>0</v>
      </c>
      <c r="AU109" s="30">
        <f>IF(AU$5&gt;$B109,0,INDEX(Decrements!$G$6:$G$58,Census!$G109+AU$5-18)/INDEX(Decrements!$G$6:$G$58,Census!$G109-17)*(INDEX(Decrements!$D$6:$D$58,Census!$G109+AU$5-18)+IF(AU$5=$B109,INDEX(Decrements!$F$6:$F$58,Census!$G109+AU$5-18),0)+INDEX(Decrements!$E$6:$E$58,Census!$G109+AU$5-18)*IF((Census!$F109+AU$5)&gt;=Assumptions!$B$11,1,0))*MIN(15/26*Census!$D109*(1+Assumptions!$B$9)^AU$5*(INT((Census!$F109+AU$5))+IF((Census!$F109+AU$5)-INT((Census!$F109+AU$5))&gt;0.5,1,0)),Assumptions!$B$10))</f>
        <v>0</v>
      </c>
    </row>
    <row r="110" spans="1:47" x14ac:dyDescent="0.3">
      <c r="A110" s="10" t="str">
        <f>Census!A110</f>
        <v>E105</v>
      </c>
      <c r="B110" s="29">
        <f>Census!H110</f>
        <v>37</v>
      </c>
      <c r="C110" s="30">
        <f>IF(C$5&gt;$B110,0,INDEX(Decrements!$G$6:$G$58,Census!$G110+C$5-18)/INDEX(Decrements!$G$6:$G$58,Census!$G110-17)*(INDEX(Decrements!$D$6:$D$58,Census!$G110+C$5-18)+IF(C$5=$B110,INDEX(Decrements!$F$6:$F$58,Census!$G110+C$5-18),0)+INDEX(Decrements!$E$6:$E$58,Census!$G110+C$5-18)*IF((Census!$F110+C$5)&gt;=Assumptions!$B$11,1,0))*MIN(15/26*Census!$D110*(1+Assumptions!$B$9)^C$5*(INT((Census!$F110+C$5))+IF((Census!$F110+C$5)-INT((Census!$F110+C$5))&gt;0.5,1,0)),Assumptions!$B$10))</f>
        <v>36.715022088553987</v>
      </c>
      <c r="D110" s="30">
        <f>IF(D$5&gt;$B110,0,INDEX(Decrements!$G$6:$G$58,Census!$G110+D$5-18)/INDEX(Decrements!$G$6:$G$58,Census!$G110-17)*(INDEX(Decrements!$D$6:$D$58,Census!$G110+D$5-18)+IF(D$5=$B110,INDEX(Decrements!$F$6:$F$58,Census!$G110+D$5-18),0)+INDEX(Decrements!$E$6:$E$58,Census!$G110+D$5-18)*IF((Census!$F110+D$5)&gt;=Assumptions!$B$11,1,0))*MIN(15/26*Census!$D110*(1+Assumptions!$B$9)^D$5*(INT((Census!$F110+D$5))+IF((Census!$F110+D$5)-INT((Census!$F110+D$5))&gt;0.5,1,0)),Assumptions!$B$10))</f>
        <v>49.074138036100322</v>
      </c>
      <c r="E110" s="30">
        <f>IF(E$5&gt;$B110,0,INDEX(Decrements!$G$6:$G$58,Census!$G110+E$5-18)/INDEX(Decrements!$G$6:$G$58,Census!$G110-17)*(INDEX(Decrements!$D$6:$D$58,Census!$G110+E$5-18)+IF(E$5=$B110,INDEX(Decrements!$F$6:$F$58,Census!$G110+E$5-18),0)+INDEX(Decrements!$E$6:$E$58,Census!$G110+E$5-18)*IF((Census!$F110+E$5)&gt;=Assumptions!$B$11,1,0))*MIN(15/26*Census!$D110*(1+Assumptions!$B$9)^E$5*(INT((Census!$F110+E$5))+IF((Census!$F110+E$5)-INT((Census!$F110+E$5))&gt;0.5,1,0)),Assumptions!$B$10))</f>
        <v>60.046212105682116</v>
      </c>
      <c r="F110" s="30">
        <f>IF(F$5&gt;$B110,0,INDEX(Decrements!$G$6:$G$58,Census!$G110+F$5-18)/INDEX(Decrements!$G$6:$G$58,Census!$G110-17)*(INDEX(Decrements!$D$6:$D$58,Census!$G110+F$5-18)+IF(F$5=$B110,INDEX(Decrements!$F$6:$F$58,Census!$G110+F$5-18),0)+INDEX(Decrements!$E$6:$E$58,Census!$G110+F$5-18)*IF((Census!$F110+F$5)&gt;=Assumptions!$B$11,1,0))*MIN(15/26*Census!$D110*(1+Assumptions!$B$9)^F$5*(INT((Census!$F110+F$5))+IF((Census!$F110+F$5)-INT((Census!$F110+F$5))&gt;0.5,1,0)),Assumptions!$B$10))</f>
        <v>17870.366221785403</v>
      </c>
      <c r="G110" s="30">
        <f>IF(G$5&gt;$B110,0,INDEX(Decrements!$G$6:$G$58,Census!$G110+G$5-18)/INDEX(Decrements!$G$6:$G$58,Census!$G110-17)*(INDEX(Decrements!$D$6:$D$58,Census!$G110+G$5-18)+IF(G$5=$B110,INDEX(Decrements!$F$6:$F$58,Census!$G110+G$5-18),0)+INDEX(Decrements!$E$6:$E$58,Census!$G110+G$5-18)*IF((Census!$F110+G$5)&gt;=Assumptions!$B$11,1,0))*MIN(15/26*Census!$D110*(1+Assumptions!$B$9)^G$5*(INT((Census!$F110+G$5))+IF((Census!$F110+G$5)-INT((Census!$F110+G$5))&gt;0.5,1,0)),Assumptions!$B$10))</f>
        <v>19675.977869933693</v>
      </c>
      <c r="H110" s="30">
        <f>IF(H$5&gt;$B110,0,INDEX(Decrements!$G$6:$G$58,Census!$G110+H$5-18)/INDEX(Decrements!$G$6:$G$58,Census!$G110-17)*(INDEX(Decrements!$D$6:$D$58,Census!$G110+H$5-18)+IF(H$5=$B110,INDEX(Decrements!$F$6:$F$58,Census!$G110+H$5-18),0)+INDEX(Decrements!$E$6:$E$58,Census!$G110+H$5-18)*IF((Census!$F110+H$5)&gt;=Assumptions!$B$11,1,0))*MIN(15/26*Census!$D110*(1+Assumptions!$B$9)^H$5*(INT((Census!$F110+H$5))+IF((Census!$F110+H$5)-INT((Census!$F110+H$5))&gt;0.5,1,0)),Assumptions!$B$10))</f>
        <v>21062.018810825859</v>
      </c>
      <c r="I110" s="30">
        <f>IF(I$5&gt;$B110,0,INDEX(Decrements!$G$6:$G$58,Census!$G110+I$5-18)/INDEX(Decrements!$G$6:$G$58,Census!$G110-17)*(INDEX(Decrements!$D$6:$D$58,Census!$G110+I$5-18)+IF(I$5=$B110,INDEX(Decrements!$F$6:$F$58,Census!$G110+I$5-18),0)+INDEX(Decrements!$E$6:$E$58,Census!$G110+I$5-18)*IF((Census!$F110+I$5)&gt;=Assumptions!$B$11,1,0))*MIN(15/26*Census!$D110*(1+Assumptions!$B$9)^I$5*(INT((Census!$F110+I$5))+IF((Census!$F110+I$5)-INT((Census!$F110+I$5))&gt;0.5,1,0)),Assumptions!$B$10))</f>
        <v>22085.315212452086</v>
      </c>
      <c r="J110" s="30">
        <f>IF(J$5&gt;$B110,0,INDEX(Decrements!$G$6:$G$58,Census!$G110+J$5-18)/INDEX(Decrements!$G$6:$G$58,Census!$G110-17)*(INDEX(Decrements!$D$6:$D$58,Census!$G110+J$5-18)+IF(J$5=$B110,INDEX(Decrements!$F$6:$F$58,Census!$G110+J$5-18),0)+INDEX(Decrements!$E$6:$E$58,Census!$G110+J$5-18)*IF((Census!$F110+J$5)&gt;=Assumptions!$B$11,1,0))*MIN(15/26*Census!$D110*(1+Assumptions!$B$9)^J$5*(INT((Census!$F110+J$5))+IF((Census!$F110+J$5)-INT((Census!$F110+J$5))&gt;0.5,1,0)),Assumptions!$B$10))</f>
        <v>16748.100870529306</v>
      </c>
      <c r="K110" s="30">
        <f>IF(K$5&gt;$B110,0,INDEX(Decrements!$G$6:$G$58,Census!$G110+K$5-18)/INDEX(Decrements!$G$6:$G$58,Census!$G110-17)*(INDEX(Decrements!$D$6:$D$58,Census!$G110+K$5-18)+IF(K$5=$B110,INDEX(Decrements!$F$6:$F$58,Census!$G110+K$5-18),0)+INDEX(Decrements!$E$6:$E$58,Census!$G110+K$5-18)*IF((Census!$F110+K$5)&gt;=Assumptions!$B$11,1,0))*MIN(15/26*Census!$D110*(1+Assumptions!$B$9)^K$5*(INT((Census!$F110+K$5))+IF((Census!$F110+K$5)-INT((Census!$F110+K$5))&gt;0.5,1,0)),Assumptions!$B$10))</f>
        <v>17878.531036345423</v>
      </c>
      <c r="L110" s="30">
        <f>IF(L$5&gt;$B110,0,INDEX(Decrements!$G$6:$G$58,Census!$G110+L$5-18)/INDEX(Decrements!$G$6:$G$58,Census!$G110-17)*(INDEX(Decrements!$D$6:$D$58,Census!$G110+L$5-18)+IF(L$5=$B110,INDEX(Decrements!$F$6:$F$58,Census!$G110+L$5-18),0)+INDEX(Decrements!$E$6:$E$58,Census!$G110+L$5-18)*IF((Census!$F110+L$5)&gt;=Assumptions!$B$11,1,0))*MIN(15/26*Census!$D110*(1+Assumptions!$B$9)^L$5*(INT((Census!$F110+L$5))+IF((Census!$F110+L$5)-INT((Census!$F110+L$5))&gt;0.5,1,0)),Assumptions!$B$10))</f>
        <v>18894.269967223725</v>
      </c>
      <c r="M110" s="30">
        <f>IF(M$5&gt;$B110,0,INDEX(Decrements!$G$6:$G$58,Census!$G110+M$5-18)/INDEX(Decrements!$G$6:$G$58,Census!$G110-17)*(INDEX(Decrements!$D$6:$D$58,Census!$G110+M$5-18)+IF(M$5=$B110,INDEX(Decrements!$F$6:$F$58,Census!$G110+M$5-18),0)+INDEX(Decrements!$E$6:$E$58,Census!$G110+M$5-18)*IF((Census!$F110+M$5)&gt;=Assumptions!$B$11,1,0))*MIN(15/26*Census!$D110*(1+Assumptions!$B$9)^M$5*(INT((Census!$F110+M$5))+IF((Census!$F110+M$5)-INT((Census!$F110+M$5))&gt;0.5,1,0)),Assumptions!$B$10))</f>
        <v>19802.534208708104</v>
      </c>
      <c r="N110" s="30">
        <f>IF(N$5&gt;$B110,0,INDEX(Decrements!$G$6:$G$58,Census!$G110+N$5-18)/INDEX(Decrements!$G$6:$G$58,Census!$G110-17)*(INDEX(Decrements!$D$6:$D$58,Census!$G110+N$5-18)+IF(N$5=$B110,INDEX(Decrements!$F$6:$F$58,Census!$G110+N$5-18),0)+INDEX(Decrements!$E$6:$E$58,Census!$G110+N$5-18)*IF((Census!$F110+N$5)&gt;=Assumptions!$B$11,1,0))*MIN(15/26*Census!$D110*(1+Assumptions!$B$9)^N$5*(INT((Census!$F110+N$5))+IF((Census!$F110+N$5)-INT((Census!$F110+N$5))&gt;0.5,1,0)),Assumptions!$B$10))</f>
        <v>20610.147842154129</v>
      </c>
      <c r="O110" s="30">
        <f>IF(O$5&gt;$B110,0,INDEX(Decrements!$G$6:$G$58,Census!$G110+O$5-18)/INDEX(Decrements!$G$6:$G$58,Census!$G110-17)*(INDEX(Decrements!$D$6:$D$58,Census!$G110+O$5-18)+IF(O$5=$B110,INDEX(Decrements!$F$6:$F$58,Census!$G110+O$5-18),0)+INDEX(Decrements!$E$6:$E$58,Census!$G110+O$5-18)*IF((Census!$F110+O$5)&gt;=Assumptions!$B$11,1,0))*MIN(15/26*Census!$D110*(1+Assumptions!$B$9)^O$5*(INT((Census!$F110+O$5))+IF((Census!$F110+O$5)-INT((Census!$F110+O$5))&gt;0.5,1,0)),Assumptions!$B$10))</f>
        <v>15559.927931621522</v>
      </c>
      <c r="P110" s="30">
        <f>IF(P$5&gt;$B110,0,INDEX(Decrements!$G$6:$G$58,Census!$G110+P$5-18)/INDEX(Decrements!$G$6:$G$58,Census!$G110-17)*(INDEX(Decrements!$D$6:$D$58,Census!$G110+P$5-18)+IF(P$5=$B110,INDEX(Decrements!$F$6:$F$58,Census!$G110+P$5-18),0)+INDEX(Decrements!$E$6:$E$58,Census!$G110+P$5-18)*IF((Census!$F110+P$5)&gt;=Assumptions!$B$11,1,0))*MIN(15/26*Census!$D110*(1+Assumptions!$B$9)^P$5*(INT((Census!$F110+P$5))+IF((Census!$F110+P$5)-INT((Census!$F110+P$5))&gt;0.5,1,0)),Assumptions!$B$10))</f>
        <v>16559.353548047289</v>
      </c>
      <c r="Q110" s="30">
        <f>IF(Q$5&gt;$B110,0,INDEX(Decrements!$G$6:$G$58,Census!$G110+Q$5-18)/INDEX(Decrements!$G$6:$G$58,Census!$G110-17)*(INDEX(Decrements!$D$6:$D$58,Census!$G110+Q$5-18)+IF(Q$5=$B110,INDEX(Decrements!$F$6:$F$58,Census!$G110+Q$5-18),0)+INDEX(Decrements!$E$6:$E$58,Census!$G110+Q$5-18)*IF((Census!$F110+Q$5)&gt;=Assumptions!$B$11,1,0))*MIN(15/26*Census!$D110*(1+Assumptions!$B$9)^Q$5*(INT((Census!$F110+Q$5))+IF((Census!$F110+Q$5)-INT((Census!$F110+Q$5))&gt;0.5,1,0)),Assumptions!$B$10))</f>
        <v>17544.779021419934</v>
      </c>
      <c r="R110" s="30">
        <f>IF(R$5&gt;$B110,0,INDEX(Decrements!$G$6:$G$58,Census!$G110+R$5-18)/INDEX(Decrements!$G$6:$G$58,Census!$G110-17)*(INDEX(Decrements!$D$6:$D$58,Census!$G110+R$5-18)+IF(R$5=$B110,INDEX(Decrements!$F$6:$F$58,Census!$G110+R$5-18),0)+INDEX(Decrements!$E$6:$E$58,Census!$G110+R$5-18)*IF((Census!$F110+R$5)&gt;=Assumptions!$B$11,1,0))*MIN(15/26*Census!$D110*(1+Assumptions!$B$9)^R$5*(INT((Census!$F110+R$5))+IF((Census!$F110+R$5)-INT((Census!$F110+R$5))&gt;0.5,1,0)),Assumptions!$B$10))</f>
        <v>18516.382339228549</v>
      </c>
      <c r="S110" s="30">
        <f>IF(S$5&gt;$B110,0,INDEX(Decrements!$G$6:$G$58,Census!$G110+S$5-18)/INDEX(Decrements!$G$6:$G$58,Census!$G110-17)*(INDEX(Decrements!$D$6:$D$58,Census!$G110+S$5-18)+IF(S$5=$B110,INDEX(Decrements!$F$6:$F$58,Census!$G110+S$5-18),0)+INDEX(Decrements!$E$6:$E$58,Census!$G110+S$5-18)*IF((Census!$F110+S$5)&gt;=Assumptions!$B$11,1,0))*MIN(15/26*Census!$D110*(1+Assumptions!$B$9)^S$5*(INT((Census!$F110+S$5))+IF((Census!$F110+S$5)-INT((Census!$F110+S$5))&gt;0.5,1,0)),Assumptions!$B$10))</f>
        <v>18198.825029194675</v>
      </c>
      <c r="T110" s="30">
        <f>IF(T$5&gt;$B110,0,INDEX(Decrements!$G$6:$G$58,Census!$G110+T$5-18)/INDEX(Decrements!$G$6:$G$58,Census!$G110-17)*(INDEX(Decrements!$D$6:$D$58,Census!$G110+T$5-18)+IF(T$5=$B110,INDEX(Decrements!$F$6:$F$58,Census!$G110+T$5-18),0)+INDEX(Decrements!$E$6:$E$58,Census!$G110+T$5-18)*IF((Census!$F110+T$5)&gt;=Assumptions!$B$11,1,0))*MIN(15/26*Census!$D110*(1+Assumptions!$B$9)^T$5*(INT((Census!$F110+T$5))+IF((Census!$F110+T$5)-INT((Census!$F110+T$5))&gt;0.5,1,0)),Assumptions!$B$10))</f>
        <v>10565.538741644825</v>
      </c>
      <c r="U110" s="30">
        <f>IF(U$5&gt;$B110,0,INDEX(Decrements!$G$6:$G$58,Census!$G110+U$5-18)/INDEX(Decrements!$G$6:$G$58,Census!$G110-17)*(INDEX(Decrements!$D$6:$D$58,Census!$G110+U$5-18)+IF(U$5=$B110,INDEX(Decrements!$F$6:$F$58,Census!$G110+U$5-18),0)+INDEX(Decrements!$E$6:$E$58,Census!$G110+U$5-18)*IF((Census!$F110+U$5)&gt;=Assumptions!$B$11,1,0))*MIN(15/26*Census!$D110*(1+Assumptions!$B$9)^U$5*(INT((Census!$F110+U$5))+IF((Census!$F110+U$5)-INT((Census!$F110+U$5))&gt;0.5,1,0)),Assumptions!$B$10))</f>
        <v>10041.334407578632</v>
      </c>
      <c r="V110" s="30">
        <f>IF(V$5&gt;$B110,0,INDEX(Decrements!$G$6:$G$58,Census!$G110+V$5-18)/INDEX(Decrements!$G$6:$G$58,Census!$G110-17)*(INDEX(Decrements!$D$6:$D$58,Census!$G110+V$5-18)+IF(V$5=$B110,INDEX(Decrements!$F$6:$F$58,Census!$G110+V$5-18),0)+INDEX(Decrements!$E$6:$E$58,Census!$G110+V$5-18)*IF((Census!$F110+V$5)&gt;=Assumptions!$B$11,1,0))*MIN(15/26*Census!$D110*(1+Assumptions!$B$9)^V$5*(INT((Census!$F110+V$5))+IF((Census!$F110+V$5)-INT((Census!$F110+V$5))&gt;0.5,1,0)),Assumptions!$B$10))</f>
        <v>9543.8713833068687</v>
      </c>
      <c r="W110" s="30">
        <f>IF(W$5&gt;$B110,0,INDEX(Decrements!$G$6:$G$58,Census!$G110+W$5-18)/INDEX(Decrements!$G$6:$G$58,Census!$G110-17)*(INDEX(Decrements!$D$6:$D$58,Census!$G110+W$5-18)+IF(W$5=$B110,INDEX(Decrements!$F$6:$F$58,Census!$G110+W$5-18),0)+INDEX(Decrements!$E$6:$E$58,Census!$G110+W$5-18)*IF((Census!$F110+W$5)&gt;=Assumptions!$B$11,1,0))*MIN(15/26*Census!$D110*(1+Assumptions!$B$9)^W$5*(INT((Census!$F110+W$5))+IF((Census!$F110+W$5)-INT((Census!$F110+W$5))&gt;0.5,1,0)),Assumptions!$B$10))</f>
        <v>9071.8130425393629</v>
      </c>
      <c r="X110" s="30">
        <f>IF(X$5&gt;$B110,0,INDEX(Decrements!$G$6:$G$58,Census!$G110+X$5-18)/INDEX(Decrements!$G$6:$G$58,Census!$G110-17)*(INDEX(Decrements!$D$6:$D$58,Census!$G110+X$5-18)+IF(X$5=$B110,INDEX(Decrements!$F$6:$F$58,Census!$G110+X$5-18),0)+INDEX(Decrements!$E$6:$E$58,Census!$G110+X$5-18)*IF((Census!$F110+X$5)&gt;=Assumptions!$B$11,1,0))*MIN(15/26*Census!$D110*(1+Assumptions!$B$9)^X$5*(INT((Census!$F110+X$5))+IF((Census!$F110+X$5)-INT((Census!$F110+X$5))&gt;0.5,1,0)),Assumptions!$B$10))</f>
        <v>8623.8899607412568</v>
      </c>
      <c r="Y110" s="30">
        <f>IF(Y$5&gt;$B110,0,INDEX(Decrements!$G$6:$G$58,Census!$G110+Y$5-18)/INDEX(Decrements!$G$6:$G$58,Census!$G110-17)*(INDEX(Decrements!$D$6:$D$58,Census!$G110+Y$5-18)+IF(Y$5=$B110,INDEX(Decrements!$F$6:$F$58,Census!$G110+Y$5-18),0)+INDEX(Decrements!$E$6:$E$58,Census!$G110+Y$5-18)*IF((Census!$F110+Y$5)&gt;=Assumptions!$B$11,1,0))*MIN(15/26*Census!$D110*(1+Assumptions!$B$9)^Y$5*(INT((Census!$F110+Y$5))+IF((Census!$F110+Y$5)-INT((Census!$F110+Y$5))&gt;0.5,1,0)),Assumptions!$B$10))</f>
        <v>5041.3094619477879</v>
      </c>
      <c r="Z110" s="30">
        <f>IF(Z$5&gt;$B110,0,INDEX(Decrements!$G$6:$G$58,Census!$G110+Z$5-18)/INDEX(Decrements!$G$6:$G$58,Census!$G110-17)*(INDEX(Decrements!$D$6:$D$58,Census!$G110+Z$5-18)+IF(Z$5=$B110,INDEX(Decrements!$F$6:$F$58,Census!$G110+Z$5-18),0)+INDEX(Decrements!$E$6:$E$58,Census!$G110+Z$5-18)*IF((Census!$F110+Z$5)&gt;=Assumptions!$B$11,1,0))*MIN(15/26*Census!$D110*(1+Assumptions!$B$9)^Z$5*(INT((Census!$F110+Z$5))+IF((Census!$F110+Z$5)-INT((Census!$F110+Z$5))&gt;0.5,1,0)),Assumptions!$B$10))</f>
        <v>4903.3192952993613</v>
      </c>
      <c r="AA110" s="30">
        <f>IF(AA$5&gt;$B110,0,INDEX(Decrements!$G$6:$G$58,Census!$G110+AA$5-18)/INDEX(Decrements!$G$6:$G$58,Census!$G110-17)*(INDEX(Decrements!$D$6:$D$58,Census!$G110+AA$5-18)+IF(AA$5=$B110,INDEX(Decrements!$F$6:$F$58,Census!$G110+AA$5-18),0)+INDEX(Decrements!$E$6:$E$58,Census!$G110+AA$5-18)*IF((Census!$F110+AA$5)&gt;=Assumptions!$B$11,1,0))*MIN(15/26*Census!$D110*(1+Assumptions!$B$9)^AA$5*(INT((Census!$F110+AA$5))+IF((Census!$F110+AA$5)-INT((Census!$F110+AA$5))&gt;0.5,1,0)),Assumptions!$B$10))</f>
        <v>4770.4658843857851</v>
      </c>
      <c r="AB110" s="30">
        <f>IF(AB$5&gt;$B110,0,INDEX(Decrements!$G$6:$G$58,Census!$G110+AB$5-18)/INDEX(Decrements!$G$6:$G$58,Census!$G110-17)*(INDEX(Decrements!$D$6:$D$58,Census!$G110+AB$5-18)+IF(AB$5=$B110,INDEX(Decrements!$F$6:$F$58,Census!$G110+AB$5-18),0)+INDEX(Decrements!$E$6:$E$58,Census!$G110+AB$5-18)*IF((Census!$F110+AB$5)&gt;=Assumptions!$B$11,1,0))*MIN(15/26*Census!$D110*(1+Assumptions!$B$9)^AB$5*(INT((Census!$F110+AB$5))+IF((Census!$F110+AB$5)-INT((Census!$F110+AB$5))&gt;0.5,1,0)),Assumptions!$B$10))</f>
        <v>4642.6442734430657</v>
      </c>
      <c r="AC110" s="30">
        <f>IF(AC$5&gt;$B110,0,INDEX(Decrements!$G$6:$G$58,Census!$G110+AC$5-18)/INDEX(Decrements!$G$6:$G$58,Census!$G110-17)*(INDEX(Decrements!$D$6:$D$58,Census!$G110+AC$5-18)+IF(AC$5=$B110,INDEX(Decrements!$F$6:$F$58,Census!$G110+AC$5-18),0)+INDEX(Decrements!$E$6:$E$58,Census!$G110+AC$5-18)*IF((Census!$F110+AC$5)&gt;=Assumptions!$B$11,1,0))*MIN(15/26*Census!$D110*(1+Assumptions!$B$9)^AC$5*(INT((Census!$F110+AC$5))+IF((Census!$F110+AC$5)-INT((Census!$F110+AC$5))&gt;0.5,1,0)),Assumptions!$B$10))</f>
        <v>4519.7541440947507</v>
      </c>
      <c r="AD110" s="30">
        <f>IF(AD$5&gt;$B110,0,INDEX(Decrements!$G$6:$G$58,Census!$G110+AD$5-18)/INDEX(Decrements!$G$6:$G$58,Census!$G110-17)*(INDEX(Decrements!$D$6:$D$58,Census!$G110+AD$5-18)+IF(AD$5=$B110,INDEX(Decrements!$F$6:$F$58,Census!$G110+AD$5-18),0)+INDEX(Decrements!$E$6:$E$58,Census!$G110+AD$5-18)*IF((Census!$F110+AD$5)&gt;=Assumptions!$B$11,1,0))*MIN(15/26*Census!$D110*(1+Assumptions!$B$9)^AD$5*(INT((Census!$F110+AD$5))+IF((Census!$F110+AD$5)-INT((Census!$F110+AD$5))&gt;0.5,1,0)),Assumptions!$B$10))</f>
        <v>3062.471767937905</v>
      </c>
      <c r="AE110" s="30">
        <f>IF(AE$5&gt;$B110,0,INDEX(Decrements!$G$6:$G$58,Census!$G110+AE$5-18)/INDEX(Decrements!$G$6:$G$58,Census!$G110-17)*(INDEX(Decrements!$D$6:$D$58,Census!$G110+AE$5-18)+IF(AE$5=$B110,INDEX(Decrements!$F$6:$F$58,Census!$G110+AE$5-18),0)+INDEX(Decrements!$E$6:$E$58,Census!$G110+AE$5-18)*IF((Census!$F110+AE$5)&gt;=Assumptions!$B$11,1,0))*MIN(15/26*Census!$D110*(1+Assumptions!$B$9)^AE$5*(INT((Census!$F110+AE$5))+IF((Census!$F110+AE$5)-INT((Census!$F110+AE$5))&gt;0.5,1,0)),Assumptions!$B$10))</f>
        <v>3024.22999420529</v>
      </c>
      <c r="AF110" s="30">
        <f>IF(AF$5&gt;$B110,0,INDEX(Decrements!$G$6:$G$58,Census!$G110+AF$5-18)/INDEX(Decrements!$G$6:$G$58,Census!$G110-17)*(INDEX(Decrements!$D$6:$D$58,Census!$G110+AF$5-18)+IF(AF$5=$B110,INDEX(Decrements!$F$6:$F$58,Census!$G110+AF$5-18),0)+INDEX(Decrements!$E$6:$E$58,Census!$G110+AF$5-18)*IF((Census!$F110+AF$5)&gt;=Assumptions!$B$11,1,0))*MIN(15/26*Census!$D110*(1+Assumptions!$B$9)^AF$5*(INT((Census!$F110+AF$5))+IF((Census!$F110+AF$5)-INT((Census!$F110+AF$5))&gt;0.5,1,0)),Assumptions!$B$10))</f>
        <v>2988.4817427165976</v>
      </c>
      <c r="AG110" s="30">
        <f>IF(AG$5&gt;$B110,0,INDEX(Decrements!$G$6:$G$58,Census!$G110+AG$5-18)/INDEX(Decrements!$G$6:$G$58,Census!$G110-17)*(INDEX(Decrements!$D$6:$D$58,Census!$G110+AG$5-18)+IF(AG$5=$B110,INDEX(Decrements!$F$6:$F$58,Census!$G110+AG$5-18),0)+INDEX(Decrements!$E$6:$E$58,Census!$G110+AG$5-18)*IF((Census!$F110+AG$5)&gt;=Assumptions!$B$11,1,0))*MIN(15/26*Census!$D110*(1+Assumptions!$B$9)^AG$5*(INT((Census!$F110+AG$5))+IF((Census!$F110+AG$5)-INT((Census!$F110+AG$5))&gt;0.5,1,0)),Assumptions!$B$10))</f>
        <v>2955.2795569041455</v>
      </c>
      <c r="AH110" s="30">
        <f>IF(AH$5&gt;$B110,0,INDEX(Decrements!$G$6:$G$58,Census!$G110+AH$5-18)/INDEX(Decrements!$G$6:$G$58,Census!$G110-17)*(INDEX(Decrements!$D$6:$D$58,Census!$G110+AH$5-18)+IF(AH$5=$B110,INDEX(Decrements!$F$6:$F$58,Census!$G110+AH$5-18),0)+INDEX(Decrements!$E$6:$E$58,Census!$G110+AH$5-18)*IF((Census!$F110+AH$5)&gt;=Assumptions!$B$11,1,0))*MIN(15/26*Census!$D110*(1+Assumptions!$B$9)^AH$5*(INT((Census!$F110+AH$5))+IF((Census!$F110+AH$5)-INT((Census!$F110+AH$5))&gt;0.5,1,0)),Assumptions!$B$10))</f>
        <v>2924.677714128316</v>
      </c>
      <c r="AI110" s="30">
        <f>IF(AI$5&gt;$B110,0,INDEX(Decrements!$G$6:$G$58,Census!$G110+AI$5-18)/INDEX(Decrements!$G$6:$G$58,Census!$G110-17)*(INDEX(Decrements!$D$6:$D$58,Census!$G110+AI$5-18)+IF(AI$5=$B110,INDEX(Decrements!$F$6:$F$58,Census!$G110+AI$5-18),0)+INDEX(Decrements!$E$6:$E$58,Census!$G110+AI$5-18)*IF((Census!$F110+AI$5)&gt;=Assumptions!$B$11,1,0))*MIN(15/26*Census!$D110*(1+Assumptions!$B$9)^AI$5*(INT((Census!$F110+AI$5))+IF((Census!$F110+AI$5)-INT((Census!$F110+AI$5))&gt;0.5,1,0)),Assumptions!$B$10))</f>
        <v>1708.4160859987314</v>
      </c>
      <c r="AJ110" s="30">
        <f>IF(AJ$5&gt;$B110,0,INDEX(Decrements!$G$6:$G$58,Census!$G110+AJ$5-18)/INDEX(Decrements!$G$6:$G$58,Census!$G110-17)*(INDEX(Decrements!$D$6:$D$58,Census!$G110+AJ$5-18)+IF(AJ$5=$B110,INDEX(Decrements!$F$6:$F$58,Census!$G110+AJ$5-18),0)+INDEX(Decrements!$E$6:$E$58,Census!$G110+AJ$5-18)*IF((Census!$F110+AJ$5)&gt;=Assumptions!$B$11,1,0))*MIN(15/26*Census!$D110*(1+Assumptions!$B$9)^AJ$5*(INT((Census!$F110+AJ$5))+IF((Census!$F110+AJ$5)-INT((Census!$F110+AJ$5))&gt;0.5,1,0)),Assumptions!$B$10))</f>
        <v>1729.9562706208974</v>
      </c>
      <c r="AK110" s="30">
        <f>IF(AK$5&gt;$B110,0,INDEX(Decrements!$G$6:$G$58,Census!$G110+AK$5-18)/INDEX(Decrements!$G$6:$G$58,Census!$G110-17)*(INDEX(Decrements!$D$6:$D$58,Census!$G110+AK$5-18)+IF(AK$5=$B110,INDEX(Decrements!$F$6:$F$58,Census!$G110+AK$5-18),0)+INDEX(Decrements!$E$6:$E$58,Census!$G110+AK$5-18)*IF((Census!$F110+AK$5)&gt;=Assumptions!$B$11,1,0))*MIN(15/26*Census!$D110*(1+Assumptions!$B$9)^AK$5*(INT((Census!$F110+AK$5))+IF((Census!$F110+AK$5)-INT((Census!$F110+AK$5))&gt;0.5,1,0)),Assumptions!$B$10))</f>
        <v>1754.346484522704</v>
      </c>
      <c r="AL110" s="30">
        <f>IF(AL$5&gt;$B110,0,INDEX(Decrements!$G$6:$G$58,Census!$G110+AL$5-18)/INDEX(Decrements!$G$6:$G$58,Census!$G110-17)*(INDEX(Decrements!$D$6:$D$58,Census!$G110+AL$5-18)+IF(AL$5=$B110,INDEX(Decrements!$F$6:$F$58,Census!$G110+AL$5-18),0)+INDEX(Decrements!$E$6:$E$58,Census!$G110+AL$5-18)*IF((Census!$F110+AL$5)&gt;=Assumptions!$B$11,1,0))*MIN(15/26*Census!$D110*(1+Assumptions!$B$9)^AL$5*(INT((Census!$F110+AL$5))+IF((Census!$F110+AL$5)-INT((Census!$F110+AL$5))&gt;0.5,1,0)),Assumptions!$B$10))</f>
        <v>1781.7524961839222</v>
      </c>
      <c r="AM110" s="30">
        <f>IF(AM$5&gt;$B110,0,INDEX(Decrements!$G$6:$G$58,Census!$G110+AM$5-18)/INDEX(Decrements!$G$6:$G$58,Census!$G110-17)*(INDEX(Decrements!$D$6:$D$58,Census!$G110+AM$5-18)+IF(AM$5=$B110,INDEX(Decrements!$F$6:$F$58,Census!$G110+AM$5-18),0)+INDEX(Decrements!$E$6:$E$58,Census!$G110+AM$5-18)*IF((Census!$F110+AM$5)&gt;=Assumptions!$B$11,1,0))*MIN(15/26*Census!$D110*(1+Assumptions!$B$9)^AM$5*(INT((Census!$F110+AM$5))+IF((Census!$F110+AM$5)-INT((Census!$F110+AM$5))&gt;0.5,1,0)),Assumptions!$B$10))</f>
        <v>112377.17256331597</v>
      </c>
      <c r="AN110" s="30">
        <f>IF(AN$5&gt;$B110,0,INDEX(Decrements!$G$6:$G$58,Census!$G110+AN$5-18)/INDEX(Decrements!$G$6:$G$58,Census!$G110-17)*(INDEX(Decrements!$D$6:$D$58,Census!$G110+AN$5-18)+IF(AN$5=$B110,INDEX(Decrements!$F$6:$F$58,Census!$G110+AN$5-18),0)+INDEX(Decrements!$E$6:$E$58,Census!$G110+AN$5-18)*IF((Census!$F110+AN$5)&gt;=Assumptions!$B$11,1,0))*MIN(15/26*Census!$D110*(1+Assumptions!$B$9)^AN$5*(INT((Census!$F110+AN$5))+IF((Census!$F110+AN$5)-INT((Census!$F110+AN$5))&gt;0.5,1,0)),Assumptions!$B$10))</f>
        <v>0</v>
      </c>
      <c r="AO110" s="30">
        <f>IF(AO$5&gt;$B110,0,INDEX(Decrements!$G$6:$G$58,Census!$G110+AO$5-18)/INDEX(Decrements!$G$6:$G$58,Census!$G110-17)*(INDEX(Decrements!$D$6:$D$58,Census!$G110+AO$5-18)+IF(AO$5=$B110,INDEX(Decrements!$F$6:$F$58,Census!$G110+AO$5-18),0)+INDEX(Decrements!$E$6:$E$58,Census!$G110+AO$5-18)*IF((Census!$F110+AO$5)&gt;=Assumptions!$B$11,1,0))*MIN(15/26*Census!$D110*(1+Assumptions!$B$9)^AO$5*(INT((Census!$F110+AO$5))+IF((Census!$F110+AO$5)-INT((Census!$F110+AO$5))&gt;0.5,1,0)),Assumptions!$B$10))</f>
        <v>0</v>
      </c>
      <c r="AP110" s="30">
        <f>IF(AP$5&gt;$B110,0,INDEX(Decrements!$G$6:$G$58,Census!$G110+AP$5-18)/INDEX(Decrements!$G$6:$G$58,Census!$G110-17)*(INDEX(Decrements!$D$6:$D$58,Census!$G110+AP$5-18)+IF(AP$5=$B110,INDEX(Decrements!$F$6:$F$58,Census!$G110+AP$5-18),0)+INDEX(Decrements!$E$6:$E$58,Census!$G110+AP$5-18)*IF((Census!$F110+AP$5)&gt;=Assumptions!$B$11,1,0))*MIN(15/26*Census!$D110*(1+Assumptions!$B$9)^AP$5*(INT((Census!$F110+AP$5))+IF((Census!$F110+AP$5)-INT((Census!$F110+AP$5))&gt;0.5,1,0)),Assumptions!$B$10))</f>
        <v>0</v>
      </c>
      <c r="AQ110" s="30">
        <f>IF(AQ$5&gt;$B110,0,INDEX(Decrements!$G$6:$G$58,Census!$G110+AQ$5-18)/INDEX(Decrements!$G$6:$G$58,Census!$G110-17)*(INDEX(Decrements!$D$6:$D$58,Census!$G110+AQ$5-18)+IF(AQ$5=$B110,INDEX(Decrements!$F$6:$F$58,Census!$G110+AQ$5-18),0)+INDEX(Decrements!$E$6:$E$58,Census!$G110+AQ$5-18)*IF((Census!$F110+AQ$5)&gt;=Assumptions!$B$11,1,0))*MIN(15/26*Census!$D110*(1+Assumptions!$B$9)^AQ$5*(INT((Census!$F110+AQ$5))+IF((Census!$F110+AQ$5)-INT((Census!$F110+AQ$5))&gt;0.5,1,0)),Assumptions!$B$10))</f>
        <v>0</v>
      </c>
      <c r="AR110" s="30">
        <f>IF(AR$5&gt;$B110,0,INDEX(Decrements!$G$6:$G$58,Census!$G110+AR$5-18)/INDEX(Decrements!$G$6:$G$58,Census!$G110-17)*(INDEX(Decrements!$D$6:$D$58,Census!$G110+AR$5-18)+IF(AR$5=$B110,INDEX(Decrements!$F$6:$F$58,Census!$G110+AR$5-18),0)+INDEX(Decrements!$E$6:$E$58,Census!$G110+AR$5-18)*IF((Census!$F110+AR$5)&gt;=Assumptions!$B$11,1,0))*MIN(15/26*Census!$D110*(1+Assumptions!$B$9)^AR$5*(INT((Census!$F110+AR$5))+IF((Census!$F110+AR$5)-INT((Census!$F110+AR$5))&gt;0.5,1,0)),Assumptions!$B$10))</f>
        <v>0</v>
      </c>
      <c r="AS110" s="30">
        <f>IF(AS$5&gt;$B110,0,INDEX(Decrements!$G$6:$G$58,Census!$G110+AS$5-18)/INDEX(Decrements!$G$6:$G$58,Census!$G110-17)*(INDEX(Decrements!$D$6:$D$58,Census!$G110+AS$5-18)+IF(AS$5=$B110,INDEX(Decrements!$F$6:$F$58,Census!$G110+AS$5-18),0)+INDEX(Decrements!$E$6:$E$58,Census!$G110+AS$5-18)*IF((Census!$F110+AS$5)&gt;=Assumptions!$B$11,1,0))*MIN(15/26*Census!$D110*(1+Assumptions!$B$9)^AS$5*(INT((Census!$F110+AS$5))+IF((Census!$F110+AS$5)-INT((Census!$F110+AS$5))&gt;0.5,1,0)),Assumptions!$B$10))</f>
        <v>0</v>
      </c>
      <c r="AT110" s="30">
        <f>IF(AT$5&gt;$B110,0,INDEX(Decrements!$G$6:$G$58,Census!$G110+AT$5-18)/INDEX(Decrements!$G$6:$G$58,Census!$G110-17)*(INDEX(Decrements!$D$6:$D$58,Census!$G110+AT$5-18)+IF(AT$5=$B110,INDEX(Decrements!$F$6:$F$58,Census!$G110+AT$5-18),0)+INDEX(Decrements!$E$6:$E$58,Census!$G110+AT$5-18)*IF((Census!$F110+AT$5)&gt;=Assumptions!$B$11,1,0))*MIN(15/26*Census!$D110*(1+Assumptions!$B$9)^AT$5*(INT((Census!$F110+AT$5))+IF((Census!$F110+AT$5)-INT((Census!$F110+AT$5))&gt;0.5,1,0)),Assumptions!$B$10))</f>
        <v>0</v>
      </c>
      <c r="AU110" s="30">
        <f>IF(AU$5&gt;$B110,0,INDEX(Decrements!$G$6:$G$58,Census!$G110+AU$5-18)/INDEX(Decrements!$G$6:$G$58,Census!$G110-17)*(INDEX(Decrements!$D$6:$D$58,Census!$G110+AU$5-18)+IF(AU$5=$B110,INDEX(Decrements!$F$6:$F$58,Census!$G110+AU$5-18),0)+INDEX(Decrements!$E$6:$E$58,Census!$G110+AU$5-18)*IF((Census!$F110+AU$5)&gt;=Assumptions!$B$11,1,0))*MIN(15/26*Census!$D110*(1+Assumptions!$B$9)^AU$5*(INT((Census!$F110+AU$5))+IF((Census!$F110+AU$5)-INT((Census!$F110+AU$5))&gt;0.5,1,0)),Assumptions!$B$10))</f>
        <v>0</v>
      </c>
    </row>
    <row r="111" spans="1:47" x14ac:dyDescent="0.3">
      <c r="A111" s="10" t="str">
        <f>Census!A111</f>
        <v>E106</v>
      </c>
      <c r="B111" s="29">
        <f>Census!H111</f>
        <v>28</v>
      </c>
      <c r="C111" s="30">
        <f>IF(C$5&gt;$B111,0,INDEX(Decrements!$G$6:$G$58,Census!$G111+C$5-18)/INDEX(Decrements!$G$6:$G$58,Census!$G111-17)*(INDEX(Decrements!$D$6:$D$58,Census!$G111+C$5-18)+IF(C$5=$B111,INDEX(Decrements!$F$6:$F$58,Census!$G111+C$5-18),0)+INDEX(Decrements!$E$6:$E$58,Census!$G111+C$5-18)*IF((Census!$F111+C$5)&gt;=Assumptions!$B$11,1,0))*MIN(15/26*Census!$D111*(1+Assumptions!$B$9)^C$5*(INT((Census!$F111+C$5))+IF((Census!$F111+C$5)-INT((Census!$F111+C$5))&gt;0.5,1,0)),Assumptions!$B$10))</f>
        <v>27257.279299589074</v>
      </c>
      <c r="D111" s="30">
        <f>IF(D$5&gt;$B111,0,INDEX(Decrements!$G$6:$G$58,Census!$G111+D$5-18)/INDEX(Decrements!$G$6:$G$58,Census!$G111-17)*(INDEX(Decrements!$D$6:$D$58,Census!$G111+D$5-18)+IF(D$5=$B111,INDEX(Decrements!$F$6:$F$58,Census!$G111+D$5-18),0)+INDEX(Decrements!$E$6:$E$58,Census!$G111+D$5-18)*IF((Census!$F111+D$5)&gt;=Assumptions!$B$11,1,0))*MIN(15/26*Census!$D111*(1+Assumptions!$B$9)^D$5*(INT((Census!$F111+D$5))+IF((Census!$F111+D$5)-INT((Census!$F111+D$5))&gt;0.5,1,0)),Assumptions!$B$10))</f>
        <v>28805.623790984526</v>
      </c>
      <c r="E111" s="30">
        <f>IF(E$5&gt;$B111,0,INDEX(Decrements!$G$6:$G$58,Census!$G111+E$5-18)/INDEX(Decrements!$G$6:$G$58,Census!$G111-17)*(INDEX(Decrements!$D$6:$D$58,Census!$G111+E$5-18)+IF(E$5=$B111,INDEX(Decrements!$F$6:$F$58,Census!$G111+E$5-18),0)+INDEX(Decrements!$E$6:$E$58,Census!$G111+E$5-18)*IF((Census!$F111+E$5)&gt;=Assumptions!$B$11,1,0))*MIN(15/26*Census!$D111*(1+Assumptions!$B$9)^E$5*(INT((Census!$F111+E$5))+IF((Census!$F111+E$5)-INT((Census!$F111+E$5))&gt;0.5,1,0)),Assumptions!$B$10))</f>
        <v>30190.066796824369</v>
      </c>
      <c r="F111" s="30">
        <f>IF(F$5&gt;$B111,0,INDEX(Decrements!$G$6:$G$58,Census!$G111+F$5-18)/INDEX(Decrements!$G$6:$G$58,Census!$G111-17)*(INDEX(Decrements!$D$6:$D$58,Census!$G111+F$5-18)+IF(F$5=$B111,INDEX(Decrements!$F$6:$F$58,Census!$G111+F$5-18),0)+INDEX(Decrements!$E$6:$E$58,Census!$G111+F$5-18)*IF((Census!$F111+F$5)&gt;=Assumptions!$B$11,1,0))*MIN(15/26*Census!$D111*(1+Assumptions!$B$9)^F$5*(INT((Census!$F111+F$5))+IF((Census!$F111+F$5)-INT((Census!$F111+F$5))&gt;0.5,1,0)),Assumptions!$B$10))</f>
        <v>22928.094912851753</v>
      </c>
      <c r="G111" s="30">
        <f>IF(G$5&gt;$B111,0,INDEX(Decrements!$G$6:$G$58,Census!$G111+G$5-18)/INDEX(Decrements!$G$6:$G$58,Census!$G111-17)*(INDEX(Decrements!$D$6:$D$58,Census!$G111+G$5-18)+IF(G$5=$B111,INDEX(Decrements!$F$6:$F$58,Census!$G111+G$5-18),0)+INDEX(Decrements!$E$6:$E$58,Census!$G111+G$5-18)*IF((Census!$F111+G$5)&gt;=Assumptions!$B$11,1,0))*MIN(15/26*Census!$D111*(1+Assumptions!$B$9)^G$5*(INT((Census!$F111+G$5))+IF((Census!$F111+G$5)-INT((Census!$F111+G$5))&gt;0.5,1,0)),Assumptions!$B$10))</f>
        <v>24525.915536390741</v>
      </c>
      <c r="H111" s="30">
        <f>IF(H$5&gt;$B111,0,INDEX(Decrements!$G$6:$G$58,Census!$G111+H$5-18)/INDEX(Decrements!$G$6:$G$58,Census!$G111-17)*(INDEX(Decrements!$D$6:$D$58,Census!$G111+H$5-18)+IF(H$5=$B111,INDEX(Decrements!$F$6:$F$58,Census!$G111+H$5-18),0)+INDEX(Decrements!$E$6:$E$58,Census!$G111+H$5-18)*IF((Census!$F111+H$5)&gt;=Assumptions!$B$11,1,0))*MIN(15/26*Census!$D111*(1+Assumptions!$B$9)^H$5*(INT((Census!$F111+H$5))+IF((Census!$F111+H$5)-INT((Census!$F111+H$5))&gt;0.5,1,0)),Assumptions!$B$10))</f>
        <v>26101.427037433034</v>
      </c>
      <c r="I111" s="30">
        <f>IF(I$5&gt;$B111,0,INDEX(Decrements!$G$6:$G$58,Census!$G111+I$5-18)/INDEX(Decrements!$G$6:$G$58,Census!$G111-17)*(INDEX(Decrements!$D$6:$D$58,Census!$G111+I$5-18)+IF(I$5=$B111,INDEX(Decrements!$F$6:$F$58,Census!$G111+I$5-18),0)+INDEX(Decrements!$E$6:$E$58,Census!$G111+I$5-18)*IF((Census!$F111+I$5)&gt;=Assumptions!$B$11,1,0))*MIN(15/26*Census!$D111*(1+Assumptions!$B$9)^I$5*(INT((Census!$F111+I$5))+IF((Census!$F111+I$5)-INT((Census!$F111+I$5))&gt;0.5,1,0)),Assumptions!$B$10))</f>
        <v>27654.91157491555</v>
      </c>
      <c r="J111" s="30">
        <f>IF(J$5&gt;$B111,0,INDEX(Decrements!$G$6:$G$58,Census!$G111+J$5-18)/INDEX(Decrements!$G$6:$G$58,Census!$G111-17)*(INDEX(Decrements!$D$6:$D$58,Census!$G111+J$5-18)+IF(J$5=$B111,INDEX(Decrements!$F$6:$F$58,Census!$G111+J$5-18),0)+INDEX(Decrements!$E$6:$E$58,Census!$G111+J$5-18)*IF((Census!$F111+J$5)&gt;=Assumptions!$B$11,1,0))*MIN(15/26*Census!$D111*(1+Assumptions!$B$9)^J$5*(INT((Census!$F111+J$5))+IF((Census!$F111+J$5)-INT((Census!$F111+J$5))&gt;0.5,1,0)),Assumptions!$B$10))</f>
        <v>29186.653204576967</v>
      </c>
      <c r="K111" s="30">
        <f>IF(K$5&gt;$B111,0,INDEX(Decrements!$G$6:$G$58,Census!$G111+K$5-18)/INDEX(Decrements!$G$6:$G$58,Census!$G111-17)*(INDEX(Decrements!$D$6:$D$58,Census!$G111+K$5-18)+IF(K$5=$B111,INDEX(Decrements!$F$6:$F$58,Census!$G111+K$5-18),0)+INDEX(Decrements!$E$6:$E$58,Census!$G111+K$5-18)*IF((Census!$F111+K$5)&gt;=Assumptions!$B$11,1,0))*MIN(15/26*Census!$D111*(1+Assumptions!$B$9)^K$5*(INT((Census!$F111+K$5))+IF((Census!$F111+K$5)-INT((Census!$F111+K$5))&gt;0.5,1,0)),Assumptions!$B$10))</f>
        <v>19376.705310322115</v>
      </c>
      <c r="L111" s="30">
        <f>IF(L$5&gt;$B111,0,INDEX(Decrements!$G$6:$G$58,Census!$G111+L$5-18)/INDEX(Decrements!$G$6:$G$58,Census!$G111-17)*(INDEX(Decrements!$D$6:$D$58,Census!$G111+L$5-18)+IF(L$5=$B111,INDEX(Decrements!$F$6:$F$58,Census!$G111+L$5-18),0)+INDEX(Decrements!$E$6:$E$58,Census!$G111+L$5-18)*IF((Census!$F111+L$5)&gt;=Assumptions!$B$11,1,0))*MIN(15/26*Census!$D111*(1+Assumptions!$B$9)^L$5*(INT((Census!$F111+L$5))+IF((Census!$F111+L$5)-INT((Census!$F111+L$5))&gt;0.5,1,0)),Assumptions!$B$10))</f>
        <v>20993.486470037333</v>
      </c>
      <c r="M111" s="30">
        <f>IF(M$5&gt;$B111,0,INDEX(Decrements!$G$6:$G$58,Census!$G111+M$5-18)/INDEX(Decrements!$G$6:$G$58,Census!$G111-17)*(INDEX(Decrements!$D$6:$D$58,Census!$G111+M$5-18)+IF(M$5=$B111,INDEX(Decrements!$F$6:$F$58,Census!$G111+M$5-18),0)+INDEX(Decrements!$E$6:$E$58,Census!$G111+M$5-18)*IF((Census!$F111+M$5)&gt;=Assumptions!$B$11,1,0))*MIN(15/26*Census!$D111*(1+Assumptions!$B$9)^M$5*(INT((Census!$F111+M$5))+IF((Census!$F111+M$5)-INT((Census!$F111+M$5))&gt;0.5,1,0)),Assumptions!$B$10))</f>
        <v>22683.90746893164</v>
      </c>
      <c r="N111" s="30">
        <f>IF(N$5&gt;$B111,0,INDEX(Decrements!$G$6:$G$58,Census!$G111+N$5-18)/INDEX(Decrements!$G$6:$G$58,Census!$G111-17)*(INDEX(Decrements!$D$6:$D$58,Census!$G111+N$5-18)+IF(N$5=$B111,INDEX(Decrements!$F$6:$F$58,Census!$G111+N$5-18),0)+INDEX(Decrements!$E$6:$E$58,Census!$G111+N$5-18)*IF((Census!$F111+N$5)&gt;=Assumptions!$B$11,1,0))*MIN(15/26*Census!$D111*(1+Assumptions!$B$9)^N$5*(INT((Census!$F111+N$5))+IF((Census!$F111+N$5)-INT((Census!$F111+N$5))&gt;0.5,1,0)),Assumptions!$B$10))</f>
        <v>24451.2144729151</v>
      </c>
      <c r="O111" s="30">
        <f>IF(O$5&gt;$B111,0,INDEX(Decrements!$G$6:$G$58,Census!$G111+O$5-18)/INDEX(Decrements!$G$6:$G$58,Census!$G111-17)*(INDEX(Decrements!$D$6:$D$58,Census!$G111+O$5-18)+IF(O$5=$B111,INDEX(Decrements!$F$6:$F$58,Census!$G111+O$5-18),0)+INDEX(Decrements!$E$6:$E$58,Census!$G111+O$5-18)*IF((Census!$F111+O$5)&gt;=Assumptions!$B$11,1,0))*MIN(15/26*Census!$D111*(1+Assumptions!$B$9)^O$5*(INT((Census!$F111+O$5))+IF((Census!$F111+O$5)-INT((Census!$F111+O$5))&gt;0.5,1,0)),Assumptions!$B$10))</f>
        <v>26298.845976376102</v>
      </c>
      <c r="P111" s="30">
        <f>IF(P$5&gt;$B111,0,INDEX(Decrements!$G$6:$G$58,Census!$G111+P$5-18)/INDEX(Decrements!$G$6:$G$58,Census!$G111-17)*(INDEX(Decrements!$D$6:$D$58,Census!$G111+P$5-18)+IF(P$5=$B111,INDEX(Decrements!$F$6:$F$58,Census!$G111+P$5-18),0)+INDEX(Decrements!$E$6:$E$58,Census!$G111+P$5-18)*IF((Census!$F111+P$5)&gt;=Assumptions!$B$11,1,0))*MIN(15/26*Census!$D111*(1+Assumptions!$B$9)^P$5*(INT((Census!$F111+P$5))+IF((Census!$F111+P$5)-INT((Census!$F111+P$5))&gt;0.5,1,0)),Assumptions!$B$10))</f>
        <v>17358.242584358159</v>
      </c>
      <c r="Q111" s="30">
        <f>IF(Q$5&gt;$B111,0,INDEX(Decrements!$G$6:$G$58,Census!$G111+Q$5-18)/INDEX(Decrements!$G$6:$G$58,Census!$G111-17)*(INDEX(Decrements!$D$6:$D$58,Census!$G111+Q$5-18)+IF(Q$5=$B111,INDEX(Decrements!$F$6:$F$58,Census!$G111+Q$5-18),0)+INDEX(Decrements!$E$6:$E$58,Census!$G111+Q$5-18)*IF((Census!$F111+Q$5)&gt;=Assumptions!$B$11,1,0))*MIN(15/26*Census!$D111*(1+Assumptions!$B$9)^Q$5*(INT((Census!$F111+Q$5))+IF((Census!$F111+Q$5)-INT((Census!$F111+Q$5))&gt;0.5,1,0)),Assumptions!$B$10))</f>
        <v>19026.536198787602</v>
      </c>
      <c r="R111" s="30">
        <f>IF(R$5&gt;$B111,0,INDEX(Decrements!$G$6:$G$58,Census!$G111+R$5-18)/INDEX(Decrements!$G$6:$G$58,Census!$G111-17)*(INDEX(Decrements!$D$6:$D$58,Census!$G111+R$5-18)+IF(R$5=$B111,INDEX(Decrements!$F$6:$F$58,Census!$G111+R$5-18),0)+INDEX(Decrements!$E$6:$E$58,Census!$G111+R$5-18)*IF((Census!$F111+R$5)&gt;=Assumptions!$B$11,1,0))*MIN(15/26*Census!$D111*(1+Assumptions!$B$9)^R$5*(INT((Census!$F111+R$5))+IF((Census!$F111+R$5)-INT((Census!$F111+R$5))&gt;0.5,1,0)),Assumptions!$B$10))</f>
        <v>20824.897567150321</v>
      </c>
      <c r="S111" s="30">
        <f>IF(S$5&gt;$B111,0,INDEX(Decrements!$G$6:$G$58,Census!$G111+S$5-18)/INDEX(Decrements!$G$6:$G$58,Census!$G111-17)*(INDEX(Decrements!$D$6:$D$58,Census!$G111+S$5-18)+IF(S$5=$B111,INDEX(Decrements!$F$6:$F$58,Census!$G111+S$5-18),0)+INDEX(Decrements!$E$6:$E$58,Census!$G111+S$5-18)*IF((Census!$F111+S$5)&gt;=Assumptions!$B$11,1,0))*MIN(15/26*Census!$D111*(1+Assumptions!$B$9)^S$5*(INT((Census!$F111+S$5))+IF((Census!$F111+S$5)-INT((Census!$F111+S$5))&gt;0.5,1,0)),Assumptions!$B$10))</f>
        <v>20767.412084971365</v>
      </c>
      <c r="T111" s="30">
        <f>IF(T$5&gt;$B111,0,INDEX(Decrements!$G$6:$G$58,Census!$G111+T$5-18)/INDEX(Decrements!$G$6:$G$58,Census!$G111-17)*(INDEX(Decrements!$D$6:$D$58,Census!$G111+T$5-18)+IF(T$5=$B111,INDEX(Decrements!$F$6:$F$58,Census!$G111+T$5-18),0)+INDEX(Decrements!$E$6:$E$58,Census!$G111+T$5-18)*IF((Census!$F111+T$5)&gt;=Assumptions!$B$11,1,0))*MIN(15/26*Census!$D111*(1+Assumptions!$B$9)^T$5*(INT((Census!$F111+T$5))+IF((Census!$F111+T$5)-INT((Census!$F111+T$5))&gt;0.5,1,0)),Assumptions!$B$10))</f>
        <v>20217.701659826253</v>
      </c>
      <c r="U111" s="30">
        <f>IF(U$5&gt;$B111,0,INDEX(Decrements!$G$6:$G$58,Census!$G111+U$5-18)/INDEX(Decrements!$G$6:$G$58,Census!$G111-17)*(INDEX(Decrements!$D$6:$D$58,Census!$G111+U$5-18)+IF(U$5=$B111,INDEX(Decrements!$F$6:$F$58,Census!$G111+U$5-18),0)+INDEX(Decrements!$E$6:$E$58,Census!$G111+U$5-18)*IF((Census!$F111+U$5)&gt;=Assumptions!$B$11,1,0))*MIN(15/26*Census!$D111*(1+Assumptions!$B$9)^U$5*(INT((Census!$F111+U$5))+IF((Census!$F111+U$5)-INT((Census!$F111+U$5))&gt;0.5,1,0)),Assumptions!$B$10))</f>
        <v>13699.006311373214</v>
      </c>
      <c r="V111" s="30">
        <f>IF(V$5&gt;$B111,0,INDEX(Decrements!$G$6:$G$58,Census!$G111+V$5-18)/INDEX(Decrements!$G$6:$G$58,Census!$G111-17)*(INDEX(Decrements!$D$6:$D$58,Census!$G111+V$5-18)+IF(V$5=$B111,INDEX(Decrements!$F$6:$F$58,Census!$G111+V$5-18),0)+INDEX(Decrements!$E$6:$E$58,Census!$G111+V$5-18)*IF((Census!$F111+V$5)&gt;=Assumptions!$B$11,1,0))*MIN(15/26*Census!$D111*(1+Assumptions!$B$9)^V$5*(INT((Census!$F111+V$5))+IF((Census!$F111+V$5)-INT((Census!$F111+V$5))&gt;0.5,1,0)),Assumptions!$B$10))</f>
        <v>13527.943738582888</v>
      </c>
      <c r="W111" s="30">
        <f>IF(W$5&gt;$B111,0,INDEX(Decrements!$G$6:$G$58,Census!$G111+W$5-18)/INDEX(Decrements!$G$6:$G$58,Census!$G111-17)*(INDEX(Decrements!$D$6:$D$58,Census!$G111+W$5-18)+IF(W$5=$B111,INDEX(Decrements!$F$6:$F$58,Census!$G111+W$5-18),0)+INDEX(Decrements!$E$6:$E$58,Census!$G111+W$5-18)*IF((Census!$F111+W$5)&gt;=Assumptions!$B$11,1,0))*MIN(15/26*Census!$D111*(1+Assumptions!$B$9)^W$5*(INT((Census!$F111+W$5))+IF((Census!$F111+W$5)-INT((Census!$F111+W$5))&gt;0.5,1,0)),Assumptions!$B$10))</f>
        <v>13368.035154970408</v>
      </c>
      <c r="X111" s="30">
        <f>IF(X$5&gt;$B111,0,INDEX(Decrements!$G$6:$G$58,Census!$G111+X$5-18)/INDEX(Decrements!$G$6:$G$58,Census!$G111-17)*(INDEX(Decrements!$D$6:$D$58,Census!$G111+X$5-18)+IF(X$5=$B111,INDEX(Decrements!$F$6:$F$58,Census!$G111+X$5-18),0)+INDEX(Decrements!$E$6:$E$58,Census!$G111+X$5-18)*IF((Census!$F111+X$5)&gt;=Assumptions!$B$11,1,0))*MIN(15/26*Census!$D111*(1+Assumptions!$B$9)^X$5*(INT((Census!$F111+X$5))+IF((Census!$F111+X$5)-INT((Census!$F111+X$5))&gt;0.5,1,0)),Assumptions!$B$10))</f>
        <v>13219.515597089739</v>
      </c>
      <c r="Y111" s="30">
        <f>IF(Y$5&gt;$B111,0,INDEX(Decrements!$G$6:$G$58,Census!$G111+Y$5-18)/INDEX(Decrements!$G$6:$G$58,Census!$G111-17)*(INDEX(Decrements!$D$6:$D$58,Census!$G111+Y$5-18)+IF(Y$5=$B111,INDEX(Decrements!$F$6:$F$58,Census!$G111+Y$5-18),0)+INDEX(Decrements!$E$6:$E$58,Census!$G111+Y$5-18)*IF((Census!$F111+Y$5)&gt;=Assumptions!$B$11,1,0))*MIN(15/26*Census!$D111*(1+Assumptions!$B$9)^Y$5*(INT((Census!$F111+Y$5))+IF((Census!$F111+Y$5)-INT((Census!$F111+Y$5))&gt;0.5,1,0)),Assumptions!$B$10))</f>
        <v>13082.627857677857</v>
      </c>
      <c r="Z111" s="30">
        <f>IF(Z$5&gt;$B111,0,INDEX(Decrements!$G$6:$G$58,Census!$G111+Z$5-18)/INDEX(Decrements!$G$6:$G$58,Census!$G111-17)*(INDEX(Decrements!$D$6:$D$58,Census!$G111+Z$5-18)+IF(Z$5=$B111,INDEX(Decrements!$F$6:$F$58,Census!$G111+Z$5-18),0)+INDEX(Decrements!$E$6:$E$58,Census!$G111+Z$5-18)*IF((Census!$F111+Z$5)&gt;=Assumptions!$B$11,1,0))*MIN(15/26*Census!$D111*(1+Assumptions!$B$9)^Z$5*(INT((Census!$F111+Z$5))+IF((Census!$F111+Z$5)-INT((Census!$F111+Z$5))&gt;0.5,1,0)),Assumptions!$B$10))</f>
        <v>7642.0631822858595</v>
      </c>
      <c r="AA111" s="30">
        <f>IF(AA$5&gt;$B111,0,INDEX(Decrements!$G$6:$G$58,Census!$G111+AA$5-18)/INDEX(Decrements!$G$6:$G$58,Census!$G111-17)*(INDEX(Decrements!$D$6:$D$58,Census!$G111+AA$5-18)+IF(AA$5=$B111,INDEX(Decrements!$F$6:$F$58,Census!$G111+AA$5-18),0)+INDEX(Decrements!$E$6:$E$58,Census!$G111+AA$5-18)*IF((Census!$F111+AA$5)&gt;=Assumptions!$B$11,1,0))*MIN(15/26*Census!$D111*(1+Assumptions!$B$9)^AA$5*(INT((Census!$F111+AA$5))+IF((Census!$F111+AA$5)-INT((Census!$F111+AA$5))&gt;0.5,1,0)),Assumptions!$B$10))</f>
        <v>7738.416437906526</v>
      </c>
      <c r="AB111" s="30">
        <f>IF(AB$5&gt;$B111,0,INDEX(Decrements!$G$6:$G$58,Census!$G111+AB$5-18)/INDEX(Decrements!$G$6:$G$58,Census!$G111-17)*(INDEX(Decrements!$D$6:$D$58,Census!$G111+AB$5-18)+IF(AB$5=$B111,INDEX(Decrements!$F$6:$F$58,Census!$G111+AB$5-18),0)+INDEX(Decrements!$E$6:$E$58,Census!$G111+AB$5-18)*IF((Census!$F111+AB$5)&gt;=Assumptions!$B$11,1,0))*MIN(15/26*Census!$D111*(1+Assumptions!$B$9)^AB$5*(INT((Census!$F111+AB$5))+IF((Census!$F111+AB$5)-INT((Census!$F111+AB$5))&gt;0.5,1,0)),Assumptions!$B$10))</f>
        <v>7847.5184050412518</v>
      </c>
      <c r="AC111" s="30">
        <f>IF(AC$5&gt;$B111,0,INDEX(Decrements!$G$6:$G$58,Census!$G111+AC$5-18)/INDEX(Decrements!$G$6:$G$58,Census!$G111-17)*(INDEX(Decrements!$D$6:$D$58,Census!$G111+AC$5-18)+IF(AC$5=$B111,INDEX(Decrements!$F$6:$F$58,Census!$G111+AC$5-18),0)+INDEX(Decrements!$E$6:$E$58,Census!$G111+AC$5-18)*IF((Census!$F111+AC$5)&gt;=Assumptions!$B$11,1,0))*MIN(15/26*Census!$D111*(1+Assumptions!$B$9)^AC$5*(INT((Census!$F111+AC$5))+IF((Census!$F111+AC$5)-INT((Census!$F111+AC$5))&gt;0.5,1,0)),Assumptions!$B$10))</f>
        <v>7970.1105969586306</v>
      </c>
      <c r="AD111" s="30">
        <f>IF(AD$5&gt;$B111,0,INDEX(Decrements!$G$6:$G$58,Census!$G111+AD$5-18)/INDEX(Decrements!$G$6:$G$58,Census!$G111-17)*(INDEX(Decrements!$D$6:$D$58,Census!$G111+AD$5-18)+IF(AD$5=$B111,INDEX(Decrements!$F$6:$F$58,Census!$G111+AD$5-18),0)+INDEX(Decrements!$E$6:$E$58,Census!$G111+AD$5-18)*IF((Census!$F111+AD$5)&gt;=Assumptions!$B$11,1,0))*MIN(15/26*Census!$D111*(1+Assumptions!$B$9)^AD$5*(INT((Census!$F111+AD$5))+IF((Census!$F111+AD$5)-INT((Census!$F111+AD$5))&gt;0.5,1,0)),Assumptions!$B$10))</f>
        <v>502684.01240992476</v>
      </c>
      <c r="AE111" s="30">
        <f>IF(AE$5&gt;$B111,0,INDEX(Decrements!$G$6:$G$58,Census!$G111+AE$5-18)/INDEX(Decrements!$G$6:$G$58,Census!$G111-17)*(INDEX(Decrements!$D$6:$D$58,Census!$G111+AE$5-18)+IF(AE$5=$B111,INDEX(Decrements!$F$6:$F$58,Census!$G111+AE$5-18),0)+INDEX(Decrements!$E$6:$E$58,Census!$G111+AE$5-18)*IF((Census!$F111+AE$5)&gt;=Assumptions!$B$11,1,0))*MIN(15/26*Census!$D111*(1+Assumptions!$B$9)^AE$5*(INT((Census!$F111+AE$5))+IF((Census!$F111+AE$5)-INT((Census!$F111+AE$5))&gt;0.5,1,0)),Assumptions!$B$10))</f>
        <v>0</v>
      </c>
      <c r="AF111" s="30">
        <f>IF(AF$5&gt;$B111,0,INDEX(Decrements!$G$6:$G$58,Census!$G111+AF$5-18)/INDEX(Decrements!$G$6:$G$58,Census!$G111-17)*(INDEX(Decrements!$D$6:$D$58,Census!$G111+AF$5-18)+IF(AF$5=$B111,INDEX(Decrements!$F$6:$F$58,Census!$G111+AF$5-18),0)+INDEX(Decrements!$E$6:$E$58,Census!$G111+AF$5-18)*IF((Census!$F111+AF$5)&gt;=Assumptions!$B$11,1,0))*MIN(15/26*Census!$D111*(1+Assumptions!$B$9)^AF$5*(INT((Census!$F111+AF$5))+IF((Census!$F111+AF$5)-INT((Census!$F111+AF$5))&gt;0.5,1,0)),Assumptions!$B$10))</f>
        <v>0</v>
      </c>
      <c r="AG111" s="30">
        <f>IF(AG$5&gt;$B111,0,INDEX(Decrements!$G$6:$G$58,Census!$G111+AG$5-18)/INDEX(Decrements!$G$6:$G$58,Census!$G111-17)*(INDEX(Decrements!$D$6:$D$58,Census!$G111+AG$5-18)+IF(AG$5=$B111,INDEX(Decrements!$F$6:$F$58,Census!$G111+AG$5-18),0)+INDEX(Decrements!$E$6:$E$58,Census!$G111+AG$5-18)*IF((Census!$F111+AG$5)&gt;=Assumptions!$B$11,1,0))*MIN(15/26*Census!$D111*(1+Assumptions!$B$9)^AG$5*(INT((Census!$F111+AG$5))+IF((Census!$F111+AG$5)-INT((Census!$F111+AG$5))&gt;0.5,1,0)),Assumptions!$B$10))</f>
        <v>0</v>
      </c>
      <c r="AH111" s="30">
        <f>IF(AH$5&gt;$B111,0,INDEX(Decrements!$G$6:$G$58,Census!$G111+AH$5-18)/INDEX(Decrements!$G$6:$G$58,Census!$G111-17)*(INDEX(Decrements!$D$6:$D$58,Census!$G111+AH$5-18)+IF(AH$5=$B111,INDEX(Decrements!$F$6:$F$58,Census!$G111+AH$5-18),0)+INDEX(Decrements!$E$6:$E$58,Census!$G111+AH$5-18)*IF((Census!$F111+AH$5)&gt;=Assumptions!$B$11,1,0))*MIN(15/26*Census!$D111*(1+Assumptions!$B$9)^AH$5*(INT((Census!$F111+AH$5))+IF((Census!$F111+AH$5)-INT((Census!$F111+AH$5))&gt;0.5,1,0)),Assumptions!$B$10))</f>
        <v>0</v>
      </c>
      <c r="AI111" s="30">
        <f>IF(AI$5&gt;$B111,0,INDEX(Decrements!$G$6:$G$58,Census!$G111+AI$5-18)/INDEX(Decrements!$G$6:$G$58,Census!$G111-17)*(INDEX(Decrements!$D$6:$D$58,Census!$G111+AI$5-18)+IF(AI$5=$B111,INDEX(Decrements!$F$6:$F$58,Census!$G111+AI$5-18),0)+INDEX(Decrements!$E$6:$E$58,Census!$G111+AI$5-18)*IF((Census!$F111+AI$5)&gt;=Assumptions!$B$11,1,0))*MIN(15/26*Census!$D111*(1+Assumptions!$B$9)^AI$5*(INT((Census!$F111+AI$5))+IF((Census!$F111+AI$5)-INT((Census!$F111+AI$5))&gt;0.5,1,0)),Assumptions!$B$10))</f>
        <v>0</v>
      </c>
      <c r="AJ111" s="30">
        <f>IF(AJ$5&gt;$B111,0,INDEX(Decrements!$G$6:$G$58,Census!$G111+AJ$5-18)/INDEX(Decrements!$G$6:$G$58,Census!$G111-17)*(INDEX(Decrements!$D$6:$D$58,Census!$G111+AJ$5-18)+IF(AJ$5=$B111,INDEX(Decrements!$F$6:$F$58,Census!$G111+AJ$5-18),0)+INDEX(Decrements!$E$6:$E$58,Census!$G111+AJ$5-18)*IF((Census!$F111+AJ$5)&gt;=Assumptions!$B$11,1,0))*MIN(15/26*Census!$D111*(1+Assumptions!$B$9)^AJ$5*(INT((Census!$F111+AJ$5))+IF((Census!$F111+AJ$5)-INT((Census!$F111+AJ$5))&gt;0.5,1,0)),Assumptions!$B$10))</f>
        <v>0</v>
      </c>
      <c r="AK111" s="30">
        <f>IF(AK$5&gt;$B111,0,INDEX(Decrements!$G$6:$G$58,Census!$G111+AK$5-18)/INDEX(Decrements!$G$6:$G$58,Census!$G111-17)*(INDEX(Decrements!$D$6:$D$58,Census!$G111+AK$5-18)+IF(AK$5=$B111,INDEX(Decrements!$F$6:$F$58,Census!$G111+AK$5-18),0)+INDEX(Decrements!$E$6:$E$58,Census!$G111+AK$5-18)*IF((Census!$F111+AK$5)&gt;=Assumptions!$B$11,1,0))*MIN(15/26*Census!$D111*(1+Assumptions!$B$9)^AK$5*(INT((Census!$F111+AK$5))+IF((Census!$F111+AK$5)-INT((Census!$F111+AK$5))&gt;0.5,1,0)),Assumptions!$B$10))</f>
        <v>0</v>
      </c>
      <c r="AL111" s="30">
        <f>IF(AL$5&gt;$B111,0,INDEX(Decrements!$G$6:$G$58,Census!$G111+AL$5-18)/INDEX(Decrements!$G$6:$G$58,Census!$G111-17)*(INDEX(Decrements!$D$6:$D$58,Census!$G111+AL$5-18)+IF(AL$5=$B111,INDEX(Decrements!$F$6:$F$58,Census!$G111+AL$5-18),0)+INDEX(Decrements!$E$6:$E$58,Census!$G111+AL$5-18)*IF((Census!$F111+AL$5)&gt;=Assumptions!$B$11,1,0))*MIN(15/26*Census!$D111*(1+Assumptions!$B$9)^AL$5*(INT((Census!$F111+AL$5))+IF((Census!$F111+AL$5)-INT((Census!$F111+AL$5))&gt;0.5,1,0)),Assumptions!$B$10))</f>
        <v>0</v>
      </c>
      <c r="AM111" s="30">
        <f>IF(AM$5&gt;$B111,0,INDEX(Decrements!$G$6:$G$58,Census!$G111+AM$5-18)/INDEX(Decrements!$G$6:$G$58,Census!$G111-17)*(INDEX(Decrements!$D$6:$D$58,Census!$G111+AM$5-18)+IF(AM$5=$B111,INDEX(Decrements!$F$6:$F$58,Census!$G111+AM$5-18),0)+INDEX(Decrements!$E$6:$E$58,Census!$G111+AM$5-18)*IF((Census!$F111+AM$5)&gt;=Assumptions!$B$11,1,0))*MIN(15/26*Census!$D111*(1+Assumptions!$B$9)^AM$5*(INT((Census!$F111+AM$5))+IF((Census!$F111+AM$5)-INT((Census!$F111+AM$5))&gt;0.5,1,0)),Assumptions!$B$10))</f>
        <v>0</v>
      </c>
      <c r="AN111" s="30">
        <f>IF(AN$5&gt;$B111,0,INDEX(Decrements!$G$6:$G$58,Census!$G111+AN$5-18)/INDEX(Decrements!$G$6:$G$58,Census!$G111-17)*(INDEX(Decrements!$D$6:$D$58,Census!$G111+AN$5-18)+IF(AN$5=$B111,INDEX(Decrements!$F$6:$F$58,Census!$G111+AN$5-18),0)+INDEX(Decrements!$E$6:$E$58,Census!$G111+AN$5-18)*IF((Census!$F111+AN$5)&gt;=Assumptions!$B$11,1,0))*MIN(15/26*Census!$D111*(1+Assumptions!$B$9)^AN$5*(INT((Census!$F111+AN$5))+IF((Census!$F111+AN$5)-INT((Census!$F111+AN$5))&gt;0.5,1,0)),Assumptions!$B$10))</f>
        <v>0</v>
      </c>
      <c r="AO111" s="30">
        <f>IF(AO$5&gt;$B111,0,INDEX(Decrements!$G$6:$G$58,Census!$G111+AO$5-18)/INDEX(Decrements!$G$6:$G$58,Census!$G111-17)*(INDEX(Decrements!$D$6:$D$58,Census!$G111+AO$5-18)+IF(AO$5=$B111,INDEX(Decrements!$F$6:$F$58,Census!$G111+AO$5-18),0)+INDEX(Decrements!$E$6:$E$58,Census!$G111+AO$5-18)*IF((Census!$F111+AO$5)&gt;=Assumptions!$B$11,1,0))*MIN(15/26*Census!$D111*(1+Assumptions!$B$9)^AO$5*(INT((Census!$F111+AO$5))+IF((Census!$F111+AO$5)-INT((Census!$F111+AO$5))&gt;0.5,1,0)),Assumptions!$B$10))</f>
        <v>0</v>
      </c>
      <c r="AP111" s="30">
        <f>IF(AP$5&gt;$B111,0,INDEX(Decrements!$G$6:$G$58,Census!$G111+AP$5-18)/INDEX(Decrements!$G$6:$G$58,Census!$G111-17)*(INDEX(Decrements!$D$6:$D$58,Census!$G111+AP$5-18)+IF(AP$5=$B111,INDEX(Decrements!$F$6:$F$58,Census!$G111+AP$5-18),0)+INDEX(Decrements!$E$6:$E$58,Census!$G111+AP$5-18)*IF((Census!$F111+AP$5)&gt;=Assumptions!$B$11,1,0))*MIN(15/26*Census!$D111*(1+Assumptions!$B$9)^AP$5*(INT((Census!$F111+AP$5))+IF((Census!$F111+AP$5)-INT((Census!$F111+AP$5))&gt;0.5,1,0)),Assumptions!$B$10))</f>
        <v>0</v>
      </c>
      <c r="AQ111" s="30">
        <f>IF(AQ$5&gt;$B111,0,INDEX(Decrements!$G$6:$G$58,Census!$G111+AQ$5-18)/INDEX(Decrements!$G$6:$G$58,Census!$G111-17)*(INDEX(Decrements!$D$6:$D$58,Census!$G111+AQ$5-18)+IF(AQ$5=$B111,INDEX(Decrements!$F$6:$F$58,Census!$G111+AQ$5-18),0)+INDEX(Decrements!$E$6:$E$58,Census!$G111+AQ$5-18)*IF((Census!$F111+AQ$5)&gt;=Assumptions!$B$11,1,0))*MIN(15/26*Census!$D111*(1+Assumptions!$B$9)^AQ$5*(INT((Census!$F111+AQ$5))+IF((Census!$F111+AQ$5)-INT((Census!$F111+AQ$5))&gt;0.5,1,0)),Assumptions!$B$10))</f>
        <v>0</v>
      </c>
      <c r="AR111" s="30">
        <f>IF(AR$5&gt;$B111,0,INDEX(Decrements!$G$6:$G$58,Census!$G111+AR$5-18)/INDEX(Decrements!$G$6:$G$58,Census!$G111-17)*(INDEX(Decrements!$D$6:$D$58,Census!$G111+AR$5-18)+IF(AR$5=$B111,INDEX(Decrements!$F$6:$F$58,Census!$G111+AR$5-18),0)+INDEX(Decrements!$E$6:$E$58,Census!$G111+AR$5-18)*IF((Census!$F111+AR$5)&gt;=Assumptions!$B$11,1,0))*MIN(15/26*Census!$D111*(1+Assumptions!$B$9)^AR$5*(INT((Census!$F111+AR$5))+IF((Census!$F111+AR$5)-INT((Census!$F111+AR$5))&gt;0.5,1,0)),Assumptions!$B$10))</f>
        <v>0</v>
      </c>
      <c r="AS111" s="30">
        <f>IF(AS$5&gt;$B111,0,INDEX(Decrements!$G$6:$G$58,Census!$G111+AS$5-18)/INDEX(Decrements!$G$6:$G$58,Census!$G111-17)*(INDEX(Decrements!$D$6:$D$58,Census!$G111+AS$5-18)+IF(AS$5=$B111,INDEX(Decrements!$F$6:$F$58,Census!$G111+AS$5-18),0)+INDEX(Decrements!$E$6:$E$58,Census!$G111+AS$5-18)*IF((Census!$F111+AS$5)&gt;=Assumptions!$B$11,1,0))*MIN(15/26*Census!$D111*(1+Assumptions!$B$9)^AS$5*(INT((Census!$F111+AS$5))+IF((Census!$F111+AS$5)-INT((Census!$F111+AS$5))&gt;0.5,1,0)),Assumptions!$B$10))</f>
        <v>0</v>
      </c>
      <c r="AT111" s="30">
        <f>IF(AT$5&gt;$B111,0,INDEX(Decrements!$G$6:$G$58,Census!$G111+AT$5-18)/INDEX(Decrements!$G$6:$G$58,Census!$G111-17)*(INDEX(Decrements!$D$6:$D$58,Census!$G111+AT$5-18)+IF(AT$5=$B111,INDEX(Decrements!$F$6:$F$58,Census!$G111+AT$5-18),0)+INDEX(Decrements!$E$6:$E$58,Census!$G111+AT$5-18)*IF((Census!$F111+AT$5)&gt;=Assumptions!$B$11,1,0))*MIN(15/26*Census!$D111*(1+Assumptions!$B$9)^AT$5*(INT((Census!$F111+AT$5))+IF((Census!$F111+AT$5)-INT((Census!$F111+AT$5))&gt;0.5,1,0)),Assumptions!$B$10))</f>
        <v>0</v>
      </c>
      <c r="AU111" s="30">
        <f>IF(AU$5&gt;$B111,0,INDEX(Decrements!$G$6:$G$58,Census!$G111+AU$5-18)/INDEX(Decrements!$G$6:$G$58,Census!$G111-17)*(INDEX(Decrements!$D$6:$D$58,Census!$G111+AU$5-18)+IF(AU$5=$B111,INDEX(Decrements!$F$6:$F$58,Census!$G111+AU$5-18),0)+INDEX(Decrements!$E$6:$E$58,Census!$G111+AU$5-18)*IF((Census!$F111+AU$5)&gt;=Assumptions!$B$11,1,0))*MIN(15/26*Census!$D111*(1+Assumptions!$B$9)^AU$5*(INT((Census!$F111+AU$5))+IF((Census!$F111+AU$5)-INT((Census!$F111+AU$5))&gt;0.5,1,0)),Assumptions!$B$10))</f>
        <v>0</v>
      </c>
    </row>
    <row r="112" spans="1:47" x14ac:dyDescent="0.3">
      <c r="A112" s="10" t="str">
        <f>Census!A112</f>
        <v>E107</v>
      </c>
      <c r="B112" s="29">
        <f>Census!H112</f>
        <v>11</v>
      </c>
      <c r="C112" s="30">
        <f>IF(C$5&gt;$B112,0,INDEX(Decrements!$G$6:$G$58,Census!$G112+C$5-18)/INDEX(Decrements!$G$6:$G$58,Census!$G112-17)*(INDEX(Decrements!$D$6:$D$58,Census!$G112+C$5-18)+IF(C$5=$B112,INDEX(Decrements!$F$6:$F$58,Census!$G112+C$5-18),0)+INDEX(Decrements!$E$6:$E$58,Census!$G112+C$5-18)*IF((Census!$F112+C$5)&gt;=Assumptions!$B$11,1,0))*MIN(15/26*Census!$D112*(1+Assumptions!$B$9)^C$5*(INT((Census!$F112+C$5))+IF((Census!$F112+C$5)-INT((Census!$F112+C$5))&gt;0.5,1,0)),Assumptions!$B$10))</f>
        <v>42051.673540269338</v>
      </c>
      <c r="D112" s="30">
        <f>IF(D$5&gt;$B112,0,INDEX(Decrements!$G$6:$G$58,Census!$G112+D$5-18)/INDEX(Decrements!$G$6:$G$58,Census!$G112-17)*(INDEX(Decrements!$D$6:$D$58,Census!$G112+D$5-18)+IF(D$5=$B112,INDEX(Decrements!$F$6:$F$58,Census!$G112+D$5-18),0)+INDEX(Decrements!$E$6:$E$58,Census!$G112+D$5-18)*IF((Census!$F112+D$5)&gt;=Assumptions!$B$11,1,0))*MIN(15/26*Census!$D112*(1+Assumptions!$B$9)^D$5*(INT((Census!$F112+D$5))+IF((Census!$F112+D$5)-INT((Census!$F112+D$5))&gt;0.5,1,0)),Assumptions!$B$10))</f>
        <v>32824.11650271211</v>
      </c>
      <c r="E112" s="30">
        <f>IF(E$5&gt;$B112,0,INDEX(Decrements!$G$6:$G$58,Census!$G112+E$5-18)/INDEX(Decrements!$G$6:$G$58,Census!$G112-17)*(INDEX(Decrements!$D$6:$D$58,Census!$G112+E$5-18)+IF(E$5=$B112,INDEX(Decrements!$F$6:$F$58,Census!$G112+E$5-18),0)+INDEX(Decrements!$E$6:$E$58,Census!$G112+E$5-18)*IF((Census!$F112+E$5)&gt;=Assumptions!$B$11,1,0))*MIN(15/26*Census!$D112*(1+Assumptions!$B$9)^E$5*(INT((Census!$F112+E$5))+IF((Census!$F112+E$5)-INT((Census!$F112+E$5))&gt;0.5,1,0)),Assumptions!$B$10))</f>
        <v>37195.333948321677</v>
      </c>
      <c r="F112" s="30">
        <f>IF(F$5&gt;$B112,0,INDEX(Decrements!$G$6:$G$58,Census!$G112+F$5-18)/INDEX(Decrements!$G$6:$G$58,Census!$G112-17)*(INDEX(Decrements!$D$6:$D$58,Census!$G112+F$5-18)+IF(F$5=$B112,INDEX(Decrements!$F$6:$F$58,Census!$G112+F$5-18),0)+INDEX(Decrements!$E$6:$E$58,Census!$G112+F$5-18)*IF((Census!$F112+F$5)&gt;=Assumptions!$B$11,1,0))*MIN(15/26*Census!$D112*(1+Assumptions!$B$9)^F$5*(INT((Census!$F112+F$5))+IF((Census!$F112+F$5)-INT((Census!$F112+F$5))&gt;0.5,1,0)),Assumptions!$B$10))</f>
        <v>42031.180901897758</v>
      </c>
      <c r="G112" s="30">
        <f>IF(G$5&gt;$B112,0,INDEX(Decrements!$G$6:$G$58,Census!$G112+G$5-18)/INDEX(Decrements!$G$6:$G$58,Census!$G112-17)*(INDEX(Decrements!$D$6:$D$58,Census!$G112+G$5-18)+IF(G$5=$B112,INDEX(Decrements!$F$6:$F$58,Census!$G112+G$5-18),0)+INDEX(Decrements!$E$6:$E$58,Census!$G112+G$5-18)*IF((Census!$F112+G$5)&gt;=Assumptions!$B$11,1,0))*MIN(15/26*Census!$D112*(1+Assumptions!$B$9)^G$5*(INT((Census!$F112+G$5))+IF((Census!$F112+G$5)-INT((Census!$F112+G$5))&gt;0.5,1,0)),Assumptions!$B$10))</f>
        <v>42575.138471506696</v>
      </c>
      <c r="H112" s="30">
        <f>IF(H$5&gt;$B112,0,INDEX(Decrements!$G$6:$G$58,Census!$G112+H$5-18)/INDEX(Decrements!$G$6:$G$58,Census!$G112-17)*(INDEX(Decrements!$D$6:$D$58,Census!$G112+H$5-18)+IF(H$5=$B112,INDEX(Decrements!$F$6:$F$58,Census!$G112+H$5-18),0)+INDEX(Decrements!$E$6:$E$58,Census!$G112+H$5-18)*IF((Census!$F112+H$5)&gt;=Assumptions!$B$11,1,0))*MIN(15/26*Census!$D112*(1+Assumptions!$B$9)^H$5*(INT((Census!$F112+H$5))+IF((Census!$F112+H$5)-INT((Census!$F112+H$5))&gt;0.5,1,0)),Assumptions!$B$10))</f>
        <v>42134.274022449616</v>
      </c>
      <c r="I112" s="30">
        <f>IF(I$5&gt;$B112,0,INDEX(Decrements!$G$6:$G$58,Census!$G112+I$5-18)/INDEX(Decrements!$G$6:$G$58,Census!$G112-17)*(INDEX(Decrements!$D$6:$D$58,Census!$G112+I$5-18)+IF(I$5=$B112,INDEX(Decrements!$F$6:$F$58,Census!$G112+I$5-18),0)+INDEX(Decrements!$E$6:$E$58,Census!$G112+I$5-18)*IF((Census!$F112+I$5)&gt;=Assumptions!$B$11,1,0))*MIN(15/26*Census!$D112*(1+Assumptions!$B$9)^I$5*(INT((Census!$F112+I$5))+IF((Census!$F112+I$5)-INT((Census!$F112+I$5))&gt;0.5,1,0)),Assumptions!$B$10))</f>
        <v>24612.240577517954</v>
      </c>
      <c r="J112" s="30">
        <f>IF(J$5&gt;$B112,0,INDEX(Decrements!$G$6:$G$58,Census!$G112+J$5-18)/INDEX(Decrements!$G$6:$G$58,Census!$G112-17)*(INDEX(Decrements!$D$6:$D$58,Census!$G112+J$5-18)+IF(J$5=$B112,INDEX(Decrements!$F$6:$F$58,Census!$G112+J$5-18),0)+INDEX(Decrements!$E$6:$E$58,Census!$G112+J$5-18)*IF((Census!$F112+J$5)&gt;=Assumptions!$B$11,1,0))*MIN(15/26*Census!$D112*(1+Assumptions!$B$9)^J$5*(INT((Census!$F112+J$5))+IF((Census!$F112+J$5)-INT((Census!$F112+J$5))&gt;0.5,1,0)),Assumptions!$B$10))</f>
        <v>24922.558544171246</v>
      </c>
      <c r="K112" s="30">
        <f>IF(K$5&gt;$B112,0,INDEX(Decrements!$G$6:$G$58,Census!$G112+K$5-18)/INDEX(Decrements!$G$6:$G$58,Census!$G112-17)*(INDEX(Decrements!$D$6:$D$58,Census!$G112+K$5-18)+IF(K$5=$B112,INDEX(Decrements!$F$6:$F$58,Census!$G112+K$5-18),0)+INDEX(Decrements!$E$6:$E$58,Census!$G112+K$5-18)*IF((Census!$F112+K$5)&gt;=Assumptions!$B$11,1,0))*MIN(15/26*Census!$D112*(1+Assumptions!$B$9)^K$5*(INT((Census!$F112+K$5))+IF((Census!$F112+K$5)-INT((Census!$F112+K$5))&gt;0.5,1,0)),Assumptions!$B$10))</f>
        <v>25273.935364612185</v>
      </c>
      <c r="L112" s="30">
        <f>IF(L$5&gt;$B112,0,INDEX(Decrements!$G$6:$G$58,Census!$G112+L$5-18)/INDEX(Decrements!$G$6:$G$58,Census!$G112-17)*(INDEX(Decrements!$D$6:$D$58,Census!$G112+L$5-18)+IF(L$5=$B112,INDEX(Decrements!$F$6:$F$58,Census!$G112+L$5-18),0)+INDEX(Decrements!$E$6:$E$58,Census!$G112+L$5-18)*IF((Census!$F112+L$5)&gt;=Assumptions!$B$11,1,0))*MIN(15/26*Census!$D112*(1+Assumptions!$B$9)^L$5*(INT((Census!$F112+L$5))+IF((Census!$F112+L$5)-INT((Census!$F112+L$5))&gt;0.5,1,0)),Assumptions!$B$10))</f>
        <v>25668.759177033644</v>
      </c>
      <c r="M112" s="30">
        <f>IF(M$5&gt;$B112,0,INDEX(Decrements!$G$6:$G$58,Census!$G112+M$5-18)/INDEX(Decrements!$G$6:$G$58,Census!$G112-17)*(INDEX(Decrements!$D$6:$D$58,Census!$G112+M$5-18)+IF(M$5=$B112,INDEX(Decrements!$F$6:$F$58,Census!$G112+M$5-18),0)+INDEX(Decrements!$E$6:$E$58,Census!$G112+M$5-18)*IF((Census!$F112+M$5)&gt;=Assumptions!$B$11,1,0))*MIN(15/26*Census!$D112*(1+Assumptions!$B$9)^M$5*(INT((Census!$F112+M$5))+IF((Census!$F112+M$5)-INT((Census!$F112+M$5))&gt;0.5,1,0)),Assumptions!$B$10))</f>
        <v>1618958.0683634679</v>
      </c>
      <c r="N112" s="30">
        <f>IF(N$5&gt;$B112,0,INDEX(Decrements!$G$6:$G$58,Census!$G112+N$5-18)/INDEX(Decrements!$G$6:$G$58,Census!$G112-17)*(INDEX(Decrements!$D$6:$D$58,Census!$G112+N$5-18)+IF(N$5=$B112,INDEX(Decrements!$F$6:$F$58,Census!$G112+N$5-18),0)+INDEX(Decrements!$E$6:$E$58,Census!$G112+N$5-18)*IF((Census!$F112+N$5)&gt;=Assumptions!$B$11,1,0))*MIN(15/26*Census!$D112*(1+Assumptions!$B$9)^N$5*(INT((Census!$F112+N$5))+IF((Census!$F112+N$5)-INT((Census!$F112+N$5))&gt;0.5,1,0)),Assumptions!$B$10))</f>
        <v>0</v>
      </c>
      <c r="O112" s="30">
        <f>IF(O$5&gt;$B112,0,INDEX(Decrements!$G$6:$G$58,Census!$G112+O$5-18)/INDEX(Decrements!$G$6:$G$58,Census!$G112-17)*(INDEX(Decrements!$D$6:$D$58,Census!$G112+O$5-18)+IF(O$5=$B112,INDEX(Decrements!$F$6:$F$58,Census!$G112+O$5-18),0)+INDEX(Decrements!$E$6:$E$58,Census!$G112+O$5-18)*IF((Census!$F112+O$5)&gt;=Assumptions!$B$11,1,0))*MIN(15/26*Census!$D112*(1+Assumptions!$B$9)^O$5*(INT((Census!$F112+O$5))+IF((Census!$F112+O$5)-INT((Census!$F112+O$5))&gt;0.5,1,0)),Assumptions!$B$10))</f>
        <v>0</v>
      </c>
      <c r="P112" s="30">
        <f>IF(P$5&gt;$B112,0,INDEX(Decrements!$G$6:$G$58,Census!$G112+P$5-18)/INDEX(Decrements!$G$6:$G$58,Census!$G112-17)*(INDEX(Decrements!$D$6:$D$58,Census!$G112+P$5-18)+IF(P$5=$B112,INDEX(Decrements!$F$6:$F$58,Census!$G112+P$5-18),0)+INDEX(Decrements!$E$6:$E$58,Census!$G112+P$5-18)*IF((Census!$F112+P$5)&gt;=Assumptions!$B$11,1,0))*MIN(15/26*Census!$D112*(1+Assumptions!$B$9)^P$5*(INT((Census!$F112+P$5))+IF((Census!$F112+P$5)-INT((Census!$F112+P$5))&gt;0.5,1,0)),Assumptions!$B$10))</f>
        <v>0</v>
      </c>
      <c r="Q112" s="30">
        <f>IF(Q$5&gt;$B112,0,INDEX(Decrements!$G$6:$G$58,Census!$G112+Q$5-18)/INDEX(Decrements!$G$6:$G$58,Census!$G112-17)*(INDEX(Decrements!$D$6:$D$58,Census!$G112+Q$5-18)+IF(Q$5=$B112,INDEX(Decrements!$F$6:$F$58,Census!$G112+Q$5-18),0)+INDEX(Decrements!$E$6:$E$58,Census!$G112+Q$5-18)*IF((Census!$F112+Q$5)&gt;=Assumptions!$B$11,1,0))*MIN(15/26*Census!$D112*(1+Assumptions!$B$9)^Q$5*(INT((Census!$F112+Q$5))+IF((Census!$F112+Q$5)-INT((Census!$F112+Q$5))&gt;0.5,1,0)),Assumptions!$B$10))</f>
        <v>0</v>
      </c>
      <c r="R112" s="30">
        <f>IF(R$5&gt;$B112,0,INDEX(Decrements!$G$6:$G$58,Census!$G112+R$5-18)/INDEX(Decrements!$G$6:$G$58,Census!$G112-17)*(INDEX(Decrements!$D$6:$D$58,Census!$G112+R$5-18)+IF(R$5=$B112,INDEX(Decrements!$F$6:$F$58,Census!$G112+R$5-18),0)+INDEX(Decrements!$E$6:$E$58,Census!$G112+R$5-18)*IF((Census!$F112+R$5)&gt;=Assumptions!$B$11,1,0))*MIN(15/26*Census!$D112*(1+Assumptions!$B$9)^R$5*(INT((Census!$F112+R$5))+IF((Census!$F112+R$5)-INT((Census!$F112+R$5))&gt;0.5,1,0)),Assumptions!$B$10))</f>
        <v>0</v>
      </c>
      <c r="S112" s="30">
        <f>IF(S$5&gt;$B112,0,INDEX(Decrements!$G$6:$G$58,Census!$G112+S$5-18)/INDEX(Decrements!$G$6:$G$58,Census!$G112-17)*(INDEX(Decrements!$D$6:$D$58,Census!$G112+S$5-18)+IF(S$5=$B112,INDEX(Decrements!$F$6:$F$58,Census!$G112+S$5-18),0)+INDEX(Decrements!$E$6:$E$58,Census!$G112+S$5-18)*IF((Census!$F112+S$5)&gt;=Assumptions!$B$11,1,0))*MIN(15/26*Census!$D112*(1+Assumptions!$B$9)^S$5*(INT((Census!$F112+S$5))+IF((Census!$F112+S$5)-INT((Census!$F112+S$5))&gt;0.5,1,0)),Assumptions!$B$10))</f>
        <v>0</v>
      </c>
      <c r="T112" s="30">
        <f>IF(T$5&gt;$B112,0,INDEX(Decrements!$G$6:$G$58,Census!$G112+T$5-18)/INDEX(Decrements!$G$6:$G$58,Census!$G112-17)*(INDEX(Decrements!$D$6:$D$58,Census!$G112+T$5-18)+IF(T$5=$B112,INDEX(Decrements!$F$6:$F$58,Census!$G112+T$5-18),0)+INDEX(Decrements!$E$6:$E$58,Census!$G112+T$5-18)*IF((Census!$F112+T$5)&gt;=Assumptions!$B$11,1,0))*MIN(15/26*Census!$D112*(1+Assumptions!$B$9)^T$5*(INT((Census!$F112+T$5))+IF((Census!$F112+T$5)-INT((Census!$F112+T$5))&gt;0.5,1,0)),Assumptions!$B$10))</f>
        <v>0</v>
      </c>
      <c r="U112" s="30">
        <f>IF(U$5&gt;$B112,0,INDEX(Decrements!$G$6:$G$58,Census!$G112+U$5-18)/INDEX(Decrements!$G$6:$G$58,Census!$G112-17)*(INDEX(Decrements!$D$6:$D$58,Census!$G112+U$5-18)+IF(U$5=$B112,INDEX(Decrements!$F$6:$F$58,Census!$G112+U$5-18),0)+INDEX(Decrements!$E$6:$E$58,Census!$G112+U$5-18)*IF((Census!$F112+U$5)&gt;=Assumptions!$B$11,1,0))*MIN(15/26*Census!$D112*(1+Assumptions!$B$9)^U$5*(INT((Census!$F112+U$5))+IF((Census!$F112+U$5)-INT((Census!$F112+U$5))&gt;0.5,1,0)),Assumptions!$B$10))</f>
        <v>0</v>
      </c>
      <c r="V112" s="30">
        <f>IF(V$5&gt;$B112,0,INDEX(Decrements!$G$6:$G$58,Census!$G112+V$5-18)/INDEX(Decrements!$G$6:$G$58,Census!$G112-17)*(INDEX(Decrements!$D$6:$D$58,Census!$G112+V$5-18)+IF(V$5=$B112,INDEX(Decrements!$F$6:$F$58,Census!$G112+V$5-18),0)+INDEX(Decrements!$E$6:$E$58,Census!$G112+V$5-18)*IF((Census!$F112+V$5)&gt;=Assumptions!$B$11,1,0))*MIN(15/26*Census!$D112*(1+Assumptions!$B$9)^V$5*(INT((Census!$F112+V$5))+IF((Census!$F112+V$5)-INT((Census!$F112+V$5))&gt;0.5,1,0)),Assumptions!$B$10))</f>
        <v>0</v>
      </c>
      <c r="W112" s="30">
        <f>IF(W$5&gt;$B112,0,INDEX(Decrements!$G$6:$G$58,Census!$G112+W$5-18)/INDEX(Decrements!$G$6:$G$58,Census!$G112-17)*(INDEX(Decrements!$D$6:$D$58,Census!$G112+W$5-18)+IF(W$5=$B112,INDEX(Decrements!$F$6:$F$58,Census!$G112+W$5-18),0)+INDEX(Decrements!$E$6:$E$58,Census!$G112+W$5-18)*IF((Census!$F112+W$5)&gt;=Assumptions!$B$11,1,0))*MIN(15/26*Census!$D112*(1+Assumptions!$B$9)^W$5*(INT((Census!$F112+W$5))+IF((Census!$F112+W$5)-INT((Census!$F112+W$5))&gt;0.5,1,0)),Assumptions!$B$10))</f>
        <v>0</v>
      </c>
      <c r="X112" s="30">
        <f>IF(X$5&gt;$B112,0,INDEX(Decrements!$G$6:$G$58,Census!$G112+X$5-18)/INDEX(Decrements!$G$6:$G$58,Census!$G112-17)*(INDEX(Decrements!$D$6:$D$58,Census!$G112+X$5-18)+IF(X$5=$B112,INDEX(Decrements!$F$6:$F$58,Census!$G112+X$5-18),0)+INDEX(Decrements!$E$6:$E$58,Census!$G112+X$5-18)*IF((Census!$F112+X$5)&gt;=Assumptions!$B$11,1,0))*MIN(15/26*Census!$D112*(1+Assumptions!$B$9)^X$5*(INT((Census!$F112+X$5))+IF((Census!$F112+X$5)-INT((Census!$F112+X$5))&gt;0.5,1,0)),Assumptions!$B$10))</f>
        <v>0</v>
      </c>
      <c r="Y112" s="30">
        <f>IF(Y$5&gt;$B112,0,INDEX(Decrements!$G$6:$G$58,Census!$G112+Y$5-18)/INDEX(Decrements!$G$6:$G$58,Census!$G112-17)*(INDEX(Decrements!$D$6:$D$58,Census!$G112+Y$5-18)+IF(Y$5=$B112,INDEX(Decrements!$F$6:$F$58,Census!$G112+Y$5-18),0)+INDEX(Decrements!$E$6:$E$58,Census!$G112+Y$5-18)*IF((Census!$F112+Y$5)&gt;=Assumptions!$B$11,1,0))*MIN(15/26*Census!$D112*(1+Assumptions!$B$9)^Y$5*(INT((Census!$F112+Y$5))+IF((Census!$F112+Y$5)-INT((Census!$F112+Y$5))&gt;0.5,1,0)),Assumptions!$B$10))</f>
        <v>0</v>
      </c>
      <c r="Z112" s="30">
        <f>IF(Z$5&gt;$B112,0,INDEX(Decrements!$G$6:$G$58,Census!$G112+Z$5-18)/INDEX(Decrements!$G$6:$G$58,Census!$G112-17)*(INDEX(Decrements!$D$6:$D$58,Census!$G112+Z$5-18)+IF(Z$5=$B112,INDEX(Decrements!$F$6:$F$58,Census!$G112+Z$5-18),0)+INDEX(Decrements!$E$6:$E$58,Census!$G112+Z$5-18)*IF((Census!$F112+Z$5)&gt;=Assumptions!$B$11,1,0))*MIN(15/26*Census!$D112*(1+Assumptions!$B$9)^Z$5*(INT((Census!$F112+Z$5))+IF((Census!$F112+Z$5)-INT((Census!$F112+Z$5))&gt;0.5,1,0)),Assumptions!$B$10))</f>
        <v>0</v>
      </c>
      <c r="AA112" s="30">
        <f>IF(AA$5&gt;$B112,0,INDEX(Decrements!$G$6:$G$58,Census!$G112+AA$5-18)/INDEX(Decrements!$G$6:$G$58,Census!$G112-17)*(INDEX(Decrements!$D$6:$D$58,Census!$G112+AA$5-18)+IF(AA$5=$B112,INDEX(Decrements!$F$6:$F$58,Census!$G112+AA$5-18),0)+INDEX(Decrements!$E$6:$E$58,Census!$G112+AA$5-18)*IF((Census!$F112+AA$5)&gt;=Assumptions!$B$11,1,0))*MIN(15/26*Census!$D112*(1+Assumptions!$B$9)^AA$5*(INT((Census!$F112+AA$5))+IF((Census!$F112+AA$5)-INT((Census!$F112+AA$5))&gt;0.5,1,0)),Assumptions!$B$10))</f>
        <v>0</v>
      </c>
      <c r="AB112" s="30">
        <f>IF(AB$5&gt;$B112,0,INDEX(Decrements!$G$6:$G$58,Census!$G112+AB$5-18)/INDEX(Decrements!$G$6:$G$58,Census!$G112-17)*(INDEX(Decrements!$D$6:$D$58,Census!$G112+AB$5-18)+IF(AB$5=$B112,INDEX(Decrements!$F$6:$F$58,Census!$G112+AB$5-18),0)+INDEX(Decrements!$E$6:$E$58,Census!$G112+AB$5-18)*IF((Census!$F112+AB$5)&gt;=Assumptions!$B$11,1,0))*MIN(15/26*Census!$D112*(1+Assumptions!$B$9)^AB$5*(INT((Census!$F112+AB$5))+IF((Census!$F112+AB$5)-INT((Census!$F112+AB$5))&gt;0.5,1,0)),Assumptions!$B$10))</f>
        <v>0</v>
      </c>
      <c r="AC112" s="30">
        <f>IF(AC$5&gt;$B112,0,INDEX(Decrements!$G$6:$G$58,Census!$G112+AC$5-18)/INDEX(Decrements!$G$6:$G$58,Census!$G112-17)*(INDEX(Decrements!$D$6:$D$58,Census!$G112+AC$5-18)+IF(AC$5=$B112,INDEX(Decrements!$F$6:$F$58,Census!$G112+AC$5-18),0)+INDEX(Decrements!$E$6:$E$58,Census!$G112+AC$5-18)*IF((Census!$F112+AC$5)&gt;=Assumptions!$B$11,1,0))*MIN(15/26*Census!$D112*(1+Assumptions!$B$9)^AC$5*(INT((Census!$F112+AC$5))+IF((Census!$F112+AC$5)-INT((Census!$F112+AC$5))&gt;0.5,1,0)),Assumptions!$B$10))</f>
        <v>0</v>
      </c>
      <c r="AD112" s="30">
        <f>IF(AD$5&gt;$B112,0,INDEX(Decrements!$G$6:$G$58,Census!$G112+AD$5-18)/INDEX(Decrements!$G$6:$G$58,Census!$G112-17)*(INDEX(Decrements!$D$6:$D$58,Census!$G112+AD$5-18)+IF(AD$5=$B112,INDEX(Decrements!$F$6:$F$58,Census!$G112+AD$5-18),0)+INDEX(Decrements!$E$6:$E$58,Census!$G112+AD$5-18)*IF((Census!$F112+AD$5)&gt;=Assumptions!$B$11,1,0))*MIN(15/26*Census!$D112*(1+Assumptions!$B$9)^AD$5*(INT((Census!$F112+AD$5))+IF((Census!$F112+AD$5)-INT((Census!$F112+AD$5))&gt;0.5,1,0)),Assumptions!$B$10))</f>
        <v>0</v>
      </c>
      <c r="AE112" s="30">
        <f>IF(AE$5&gt;$B112,0,INDEX(Decrements!$G$6:$G$58,Census!$G112+AE$5-18)/INDEX(Decrements!$G$6:$G$58,Census!$G112-17)*(INDEX(Decrements!$D$6:$D$58,Census!$G112+AE$5-18)+IF(AE$5=$B112,INDEX(Decrements!$F$6:$F$58,Census!$G112+AE$5-18),0)+INDEX(Decrements!$E$6:$E$58,Census!$G112+AE$5-18)*IF((Census!$F112+AE$5)&gt;=Assumptions!$B$11,1,0))*MIN(15/26*Census!$D112*(1+Assumptions!$B$9)^AE$5*(INT((Census!$F112+AE$5))+IF((Census!$F112+AE$5)-INT((Census!$F112+AE$5))&gt;0.5,1,0)),Assumptions!$B$10))</f>
        <v>0</v>
      </c>
      <c r="AF112" s="30">
        <f>IF(AF$5&gt;$B112,0,INDEX(Decrements!$G$6:$G$58,Census!$G112+AF$5-18)/INDEX(Decrements!$G$6:$G$58,Census!$G112-17)*(INDEX(Decrements!$D$6:$D$58,Census!$G112+AF$5-18)+IF(AF$5=$B112,INDEX(Decrements!$F$6:$F$58,Census!$G112+AF$5-18),0)+INDEX(Decrements!$E$6:$E$58,Census!$G112+AF$5-18)*IF((Census!$F112+AF$5)&gt;=Assumptions!$B$11,1,0))*MIN(15/26*Census!$D112*(1+Assumptions!$B$9)^AF$5*(INT((Census!$F112+AF$5))+IF((Census!$F112+AF$5)-INT((Census!$F112+AF$5))&gt;0.5,1,0)),Assumptions!$B$10))</f>
        <v>0</v>
      </c>
      <c r="AG112" s="30">
        <f>IF(AG$5&gt;$B112,0,INDEX(Decrements!$G$6:$G$58,Census!$G112+AG$5-18)/INDEX(Decrements!$G$6:$G$58,Census!$G112-17)*(INDEX(Decrements!$D$6:$D$58,Census!$G112+AG$5-18)+IF(AG$5=$B112,INDEX(Decrements!$F$6:$F$58,Census!$G112+AG$5-18),0)+INDEX(Decrements!$E$6:$E$58,Census!$G112+AG$5-18)*IF((Census!$F112+AG$5)&gt;=Assumptions!$B$11,1,0))*MIN(15/26*Census!$D112*(1+Assumptions!$B$9)^AG$5*(INT((Census!$F112+AG$5))+IF((Census!$F112+AG$5)-INT((Census!$F112+AG$5))&gt;0.5,1,0)),Assumptions!$B$10))</f>
        <v>0</v>
      </c>
      <c r="AH112" s="30">
        <f>IF(AH$5&gt;$B112,0,INDEX(Decrements!$G$6:$G$58,Census!$G112+AH$5-18)/INDEX(Decrements!$G$6:$G$58,Census!$G112-17)*(INDEX(Decrements!$D$6:$D$58,Census!$G112+AH$5-18)+IF(AH$5=$B112,INDEX(Decrements!$F$6:$F$58,Census!$G112+AH$5-18),0)+INDEX(Decrements!$E$6:$E$58,Census!$G112+AH$5-18)*IF((Census!$F112+AH$5)&gt;=Assumptions!$B$11,1,0))*MIN(15/26*Census!$D112*(1+Assumptions!$B$9)^AH$5*(INT((Census!$F112+AH$5))+IF((Census!$F112+AH$5)-INT((Census!$F112+AH$5))&gt;0.5,1,0)),Assumptions!$B$10))</f>
        <v>0</v>
      </c>
      <c r="AI112" s="30">
        <f>IF(AI$5&gt;$B112,0,INDEX(Decrements!$G$6:$G$58,Census!$G112+AI$5-18)/INDEX(Decrements!$G$6:$G$58,Census!$G112-17)*(INDEX(Decrements!$D$6:$D$58,Census!$G112+AI$5-18)+IF(AI$5=$B112,INDEX(Decrements!$F$6:$F$58,Census!$G112+AI$5-18),0)+INDEX(Decrements!$E$6:$E$58,Census!$G112+AI$5-18)*IF((Census!$F112+AI$5)&gt;=Assumptions!$B$11,1,0))*MIN(15/26*Census!$D112*(1+Assumptions!$B$9)^AI$5*(INT((Census!$F112+AI$5))+IF((Census!$F112+AI$5)-INT((Census!$F112+AI$5))&gt;0.5,1,0)),Assumptions!$B$10))</f>
        <v>0</v>
      </c>
      <c r="AJ112" s="30">
        <f>IF(AJ$5&gt;$B112,0,INDEX(Decrements!$G$6:$G$58,Census!$G112+AJ$5-18)/INDEX(Decrements!$G$6:$G$58,Census!$G112-17)*(INDEX(Decrements!$D$6:$D$58,Census!$G112+AJ$5-18)+IF(AJ$5=$B112,INDEX(Decrements!$F$6:$F$58,Census!$G112+AJ$5-18),0)+INDEX(Decrements!$E$6:$E$58,Census!$G112+AJ$5-18)*IF((Census!$F112+AJ$5)&gt;=Assumptions!$B$11,1,0))*MIN(15/26*Census!$D112*(1+Assumptions!$B$9)^AJ$5*(INT((Census!$F112+AJ$5))+IF((Census!$F112+AJ$5)-INT((Census!$F112+AJ$5))&gt;0.5,1,0)),Assumptions!$B$10))</f>
        <v>0</v>
      </c>
      <c r="AK112" s="30">
        <f>IF(AK$5&gt;$B112,0,INDEX(Decrements!$G$6:$G$58,Census!$G112+AK$5-18)/INDEX(Decrements!$G$6:$G$58,Census!$G112-17)*(INDEX(Decrements!$D$6:$D$58,Census!$G112+AK$5-18)+IF(AK$5=$B112,INDEX(Decrements!$F$6:$F$58,Census!$G112+AK$5-18),0)+INDEX(Decrements!$E$6:$E$58,Census!$G112+AK$5-18)*IF((Census!$F112+AK$5)&gt;=Assumptions!$B$11,1,0))*MIN(15/26*Census!$D112*(1+Assumptions!$B$9)^AK$5*(INT((Census!$F112+AK$5))+IF((Census!$F112+AK$5)-INT((Census!$F112+AK$5))&gt;0.5,1,0)),Assumptions!$B$10))</f>
        <v>0</v>
      </c>
      <c r="AL112" s="30">
        <f>IF(AL$5&gt;$B112,0,INDEX(Decrements!$G$6:$G$58,Census!$G112+AL$5-18)/INDEX(Decrements!$G$6:$G$58,Census!$G112-17)*(INDEX(Decrements!$D$6:$D$58,Census!$G112+AL$5-18)+IF(AL$5=$B112,INDEX(Decrements!$F$6:$F$58,Census!$G112+AL$5-18),0)+INDEX(Decrements!$E$6:$E$58,Census!$G112+AL$5-18)*IF((Census!$F112+AL$5)&gt;=Assumptions!$B$11,1,0))*MIN(15/26*Census!$D112*(1+Assumptions!$B$9)^AL$5*(INT((Census!$F112+AL$5))+IF((Census!$F112+AL$5)-INT((Census!$F112+AL$5))&gt;0.5,1,0)),Assumptions!$B$10))</f>
        <v>0</v>
      </c>
      <c r="AM112" s="30">
        <f>IF(AM$5&gt;$B112,0,INDEX(Decrements!$G$6:$G$58,Census!$G112+AM$5-18)/INDEX(Decrements!$G$6:$G$58,Census!$G112-17)*(INDEX(Decrements!$D$6:$D$58,Census!$G112+AM$5-18)+IF(AM$5=$B112,INDEX(Decrements!$F$6:$F$58,Census!$G112+AM$5-18),0)+INDEX(Decrements!$E$6:$E$58,Census!$G112+AM$5-18)*IF((Census!$F112+AM$5)&gt;=Assumptions!$B$11,1,0))*MIN(15/26*Census!$D112*(1+Assumptions!$B$9)^AM$5*(INT((Census!$F112+AM$5))+IF((Census!$F112+AM$5)-INT((Census!$F112+AM$5))&gt;0.5,1,0)),Assumptions!$B$10))</f>
        <v>0</v>
      </c>
      <c r="AN112" s="30">
        <f>IF(AN$5&gt;$B112,0,INDEX(Decrements!$G$6:$G$58,Census!$G112+AN$5-18)/INDEX(Decrements!$G$6:$G$58,Census!$G112-17)*(INDEX(Decrements!$D$6:$D$58,Census!$G112+AN$5-18)+IF(AN$5=$B112,INDEX(Decrements!$F$6:$F$58,Census!$G112+AN$5-18),0)+INDEX(Decrements!$E$6:$E$58,Census!$G112+AN$5-18)*IF((Census!$F112+AN$5)&gt;=Assumptions!$B$11,1,0))*MIN(15/26*Census!$D112*(1+Assumptions!$B$9)^AN$5*(INT((Census!$F112+AN$5))+IF((Census!$F112+AN$5)-INT((Census!$F112+AN$5))&gt;0.5,1,0)),Assumptions!$B$10))</f>
        <v>0</v>
      </c>
      <c r="AO112" s="30">
        <f>IF(AO$5&gt;$B112,0,INDEX(Decrements!$G$6:$G$58,Census!$G112+AO$5-18)/INDEX(Decrements!$G$6:$G$58,Census!$G112-17)*(INDEX(Decrements!$D$6:$D$58,Census!$G112+AO$5-18)+IF(AO$5=$B112,INDEX(Decrements!$F$6:$F$58,Census!$G112+AO$5-18),0)+INDEX(Decrements!$E$6:$E$58,Census!$G112+AO$5-18)*IF((Census!$F112+AO$5)&gt;=Assumptions!$B$11,1,0))*MIN(15/26*Census!$D112*(1+Assumptions!$B$9)^AO$5*(INT((Census!$F112+AO$5))+IF((Census!$F112+AO$5)-INT((Census!$F112+AO$5))&gt;0.5,1,0)),Assumptions!$B$10))</f>
        <v>0</v>
      </c>
      <c r="AP112" s="30">
        <f>IF(AP$5&gt;$B112,0,INDEX(Decrements!$G$6:$G$58,Census!$G112+AP$5-18)/INDEX(Decrements!$G$6:$G$58,Census!$G112-17)*(INDEX(Decrements!$D$6:$D$58,Census!$G112+AP$5-18)+IF(AP$5=$B112,INDEX(Decrements!$F$6:$F$58,Census!$G112+AP$5-18),0)+INDEX(Decrements!$E$6:$E$58,Census!$G112+AP$5-18)*IF((Census!$F112+AP$5)&gt;=Assumptions!$B$11,1,0))*MIN(15/26*Census!$D112*(1+Assumptions!$B$9)^AP$5*(INT((Census!$F112+AP$5))+IF((Census!$F112+AP$5)-INT((Census!$F112+AP$5))&gt;0.5,1,0)),Assumptions!$B$10))</f>
        <v>0</v>
      </c>
      <c r="AQ112" s="30">
        <f>IF(AQ$5&gt;$B112,0,INDEX(Decrements!$G$6:$G$58,Census!$G112+AQ$5-18)/INDEX(Decrements!$G$6:$G$58,Census!$G112-17)*(INDEX(Decrements!$D$6:$D$58,Census!$G112+AQ$5-18)+IF(AQ$5=$B112,INDEX(Decrements!$F$6:$F$58,Census!$G112+AQ$5-18),0)+INDEX(Decrements!$E$6:$E$58,Census!$G112+AQ$5-18)*IF((Census!$F112+AQ$5)&gt;=Assumptions!$B$11,1,0))*MIN(15/26*Census!$D112*(1+Assumptions!$B$9)^AQ$5*(INT((Census!$F112+AQ$5))+IF((Census!$F112+AQ$5)-INT((Census!$F112+AQ$5))&gt;0.5,1,0)),Assumptions!$B$10))</f>
        <v>0</v>
      </c>
      <c r="AR112" s="30">
        <f>IF(AR$5&gt;$B112,0,INDEX(Decrements!$G$6:$G$58,Census!$G112+AR$5-18)/INDEX(Decrements!$G$6:$G$58,Census!$G112-17)*(INDEX(Decrements!$D$6:$D$58,Census!$G112+AR$5-18)+IF(AR$5=$B112,INDEX(Decrements!$F$6:$F$58,Census!$G112+AR$5-18),0)+INDEX(Decrements!$E$6:$E$58,Census!$G112+AR$5-18)*IF((Census!$F112+AR$5)&gt;=Assumptions!$B$11,1,0))*MIN(15/26*Census!$D112*(1+Assumptions!$B$9)^AR$5*(INT((Census!$F112+AR$5))+IF((Census!$F112+AR$5)-INT((Census!$F112+AR$5))&gt;0.5,1,0)),Assumptions!$B$10))</f>
        <v>0</v>
      </c>
      <c r="AS112" s="30">
        <f>IF(AS$5&gt;$B112,0,INDEX(Decrements!$G$6:$G$58,Census!$G112+AS$5-18)/INDEX(Decrements!$G$6:$G$58,Census!$G112-17)*(INDEX(Decrements!$D$6:$D$58,Census!$G112+AS$5-18)+IF(AS$5=$B112,INDEX(Decrements!$F$6:$F$58,Census!$G112+AS$5-18),0)+INDEX(Decrements!$E$6:$E$58,Census!$G112+AS$5-18)*IF((Census!$F112+AS$5)&gt;=Assumptions!$B$11,1,0))*MIN(15/26*Census!$D112*(1+Assumptions!$B$9)^AS$5*(INT((Census!$F112+AS$5))+IF((Census!$F112+AS$5)-INT((Census!$F112+AS$5))&gt;0.5,1,0)),Assumptions!$B$10))</f>
        <v>0</v>
      </c>
      <c r="AT112" s="30">
        <f>IF(AT$5&gt;$B112,0,INDEX(Decrements!$G$6:$G$58,Census!$G112+AT$5-18)/INDEX(Decrements!$G$6:$G$58,Census!$G112-17)*(INDEX(Decrements!$D$6:$D$58,Census!$G112+AT$5-18)+IF(AT$5=$B112,INDEX(Decrements!$F$6:$F$58,Census!$G112+AT$5-18),0)+INDEX(Decrements!$E$6:$E$58,Census!$G112+AT$5-18)*IF((Census!$F112+AT$5)&gt;=Assumptions!$B$11,1,0))*MIN(15/26*Census!$D112*(1+Assumptions!$B$9)^AT$5*(INT((Census!$F112+AT$5))+IF((Census!$F112+AT$5)-INT((Census!$F112+AT$5))&gt;0.5,1,0)),Assumptions!$B$10))</f>
        <v>0</v>
      </c>
      <c r="AU112" s="30">
        <f>IF(AU$5&gt;$B112,0,INDEX(Decrements!$G$6:$G$58,Census!$G112+AU$5-18)/INDEX(Decrements!$G$6:$G$58,Census!$G112-17)*(INDEX(Decrements!$D$6:$D$58,Census!$G112+AU$5-18)+IF(AU$5=$B112,INDEX(Decrements!$F$6:$F$58,Census!$G112+AU$5-18),0)+INDEX(Decrements!$E$6:$E$58,Census!$G112+AU$5-18)*IF((Census!$F112+AU$5)&gt;=Assumptions!$B$11,1,0))*MIN(15/26*Census!$D112*(1+Assumptions!$B$9)^AU$5*(INT((Census!$F112+AU$5))+IF((Census!$F112+AU$5)-INT((Census!$F112+AU$5))&gt;0.5,1,0)),Assumptions!$B$10))</f>
        <v>0</v>
      </c>
    </row>
    <row r="113" spans="1:47" x14ac:dyDescent="0.3">
      <c r="A113" s="10" t="str">
        <f>Census!A113</f>
        <v>E108</v>
      </c>
      <c r="B113" s="29">
        <f>Census!H113</f>
        <v>33</v>
      </c>
      <c r="C113" s="30">
        <f>IF(C$5&gt;$B113,0,INDEX(Decrements!$G$6:$G$58,Census!$G113+C$5-18)/INDEX(Decrements!$G$6:$G$58,Census!$G113-17)*(INDEX(Decrements!$D$6:$D$58,Census!$G113+C$5-18)+IF(C$5=$B113,INDEX(Decrements!$F$6:$F$58,Census!$G113+C$5-18),0)+INDEX(Decrements!$E$6:$E$58,Census!$G113+C$5-18)*IF((Census!$F113+C$5)&gt;=Assumptions!$B$11,1,0))*MIN(15/26*Census!$D113*(1+Assumptions!$B$9)^C$5*(INT((Census!$F113+C$5))+IF((Census!$F113+C$5)-INT((Census!$F113+C$5))&gt;0.5,1,0)),Assumptions!$B$10))</f>
        <v>14.741619419342262</v>
      </c>
      <c r="D113" s="30">
        <f>IF(D$5&gt;$B113,0,INDEX(Decrements!$G$6:$G$58,Census!$G113+D$5-18)/INDEX(Decrements!$G$6:$G$58,Census!$G113-17)*(INDEX(Decrements!$D$6:$D$58,Census!$G113+D$5-18)+IF(D$5=$B113,INDEX(Decrements!$F$6:$F$58,Census!$G113+D$5-18),0)+INDEX(Decrements!$E$6:$E$58,Census!$G113+D$5-18)*IF((Census!$F113+D$5)&gt;=Assumptions!$B$11,1,0))*MIN(15/26*Census!$D113*(1+Assumptions!$B$9)^D$5*(INT((Census!$F113+D$5))+IF((Census!$F113+D$5)-INT((Census!$F113+D$5))&gt;0.5,1,0)),Assumptions!$B$10))</f>
        <v>28.149130546110367</v>
      </c>
      <c r="E113" s="30">
        <f>IF(E$5&gt;$B113,0,INDEX(Decrements!$G$6:$G$58,Census!$G113+E$5-18)/INDEX(Decrements!$G$6:$G$58,Census!$G113-17)*(INDEX(Decrements!$D$6:$D$58,Census!$G113+E$5-18)+IF(E$5=$B113,INDEX(Decrements!$F$6:$F$58,Census!$G113+E$5-18),0)+INDEX(Decrements!$E$6:$E$58,Census!$G113+E$5-18)*IF((Census!$F113+E$5)&gt;=Assumptions!$B$11,1,0))*MIN(15/26*Census!$D113*(1+Assumptions!$B$9)^E$5*(INT((Census!$F113+E$5))+IF((Census!$F113+E$5)-INT((Census!$F113+E$5))&gt;0.5,1,0)),Assumptions!$B$10))</f>
        <v>40.401778775881084</v>
      </c>
      <c r="F113" s="30">
        <f>IF(F$5&gt;$B113,0,INDEX(Decrements!$G$6:$G$58,Census!$G113+F$5-18)/INDEX(Decrements!$G$6:$G$58,Census!$G113-17)*(INDEX(Decrements!$D$6:$D$58,Census!$G113+F$5-18)+IF(F$5=$B113,INDEX(Decrements!$F$6:$F$58,Census!$G113+F$5-18),0)+INDEX(Decrements!$E$6:$E$58,Census!$G113+F$5-18)*IF((Census!$F113+F$5)&gt;=Assumptions!$B$11,1,0))*MIN(15/26*Census!$D113*(1+Assumptions!$B$9)^F$5*(INT((Census!$F113+F$5))+IF((Census!$F113+F$5)-INT((Census!$F113+F$5))&gt;0.5,1,0)),Assumptions!$B$10))</f>
        <v>52.776111964281938</v>
      </c>
      <c r="G113" s="30">
        <f>IF(G$5&gt;$B113,0,INDEX(Decrements!$G$6:$G$58,Census!$G113+G$5-18)/INDEX(Decrements!$G$6:$G$58,Census!$G113-17)*(INDEX(Decrements!$D$6:$D$58,Census!$G113+G$5-18)+IF(G$5=$B113,INDEX(Decrements!$F$6:$F$58,Census!$G113+G$5-18),0)+INDEX(Decrements!$E$6:$E$58,Census!$G113+G$5-18)*IF((Census!$F113+G$5)&gt;=Assumptions!$B$11,1,0))*MIN(15/26*Census!$D113*(1+Assumptions!$B$9)^G$5*(INT((Census!$F113+G$5))+IF((Census!$F113+G$5)-INT((Census!$F113+G$5))&gt;0.5,1,0)),Assumptions!$B$10))</f>
        <v>9692.740725090518</v>
      </c>
      <c r="H113" s="30">
        <f>IF(H$5&gt;$B113,0,INDEX(Decrements!$G$6:$G$58,Census!$G113+H$5-18)/INDEX(Decrements!$G$6:$G$58,Census!$G113-17)*(INDEX(Decrements!$D$6:$D$58,Census!$G113+H$5-18)+IF(H$5=$B113,INDEX(Decrements!$F$6:$F$58,Census!$G113+H$5-18),0)+INDEX(Decrements!$E$6:$E$58,Census!$G113+H$5-18)*IF((Census!$F113+H$5)&gt;=Assumptions!$B$11,1,0))*MIN(15/26*Census!$D113*(1+Assumptions!$B$9)^H$5*(INT((Census!$F113+H$5))+IF((Census!$F113+H$5)-INT((Census!$F113+H$5))&gt;0.5,1,0)),Assumptions!$B$10))</f>
        <v>11174.637412468481</v>
      </c>
      <c r="I113" s="30">
        <f>IF(I$5&gt;$B113,0,INDEX(Decrements!$G$6:$G$58,Census!$G113+I$5-18)/INDEX(Decrements!$G$6:$G$58,Census!$G113-17)*(INDEX(Decrements!$D$6:$D$58,Census!$G113+I$5-18)+IF(I$5=$B113,INDEX(Decrements!$F$6:$F$58,Census!$G113+I$5-18),0)+INDEX(Decrements!$E$6:$E$58,Census!$G113+I$5-18)*IF((Census!$F113+I$5)&gt;=Assumptions!$B$11,1,0))*MIN(15/26*Census!$D113*(1+Assumptions!$B$9)^I$5*(INT((Census!$F113+I$5))+IF((Census!$F113+I$5)-INT((Census!$F113+I$5))&gt;0.5,1,0)),Assumptions!$B$10))</f>
        <v>12525.132385147816</v>
      </c>
      <c r="J113" s="30">
        <f>IF(J$5&gt;$B113,0,INDEX(Decrements!$G$6:$G$58,Census!$G113+J$5-18)/INDEX(Decrements!$G$6:$G$58,Census!$G113-17)*(INDEX(Decrements!$D$6:$D$58,Census!$G113+J$5-18)+IF(J$5=$B113,INDEX(Decrements!$F$6:$F$58,Census!$G113+J$5-18),0)+INDEX(Decrements!$E$6:$E$58,Census!$G113+J$5-18)*IF((Census!$F113+J$5)&gt;=Assumptions!$B$11,1,0))*MIN(15/26*Census!$D113*(1+Assumptions!$B$9)^J$5*(INT((Census!$F113+J$5))+IF((Census!$F113+J$5)-INT((Census!$F113+J$5))&gt;0.5,1,0)),Assumptions!$B$10))</f>
        <v>13752.210157013074</v>
      </c>
      <c r="K113" s="30">
        <f>IF(K$5&gt;$B113,0,INDEX(Decrements!$G$6:$G$58,Census!$G113+K$5-18)/INDEX(Decrements!$G$6:$G$58,Census!$G113-17)*(INDEX(Decrements!$D$6:$D$58,Census!$G113+K$5-18)+IF(K$5=$B113,INDEX(Decrements!$F$6:$F$58,Census!$G113+K$5-18),0)+INDEX(Decrements!$E$6:$E$58,Census!$G113+K$5-18)*IF((Census!$F113+K$5)&gt;=Assumptions!$B$11,1,0))*MIN(15/26*Census!$D113*(1+Assumptions!$B$9)^K$5*(INT((Census!$F113+K$5))+IF((Census!$F113+K$5)-INT((Census!$F113+K$5))&gt;0.5,1,0)),Assumptions!$B$10))</f>
        <v>10845.930410863919</v>
      </c>
      <c r="L113" s="30">
        <f>IF(L$5&gt;$B113,0,INDEX(Decrements!$G$6:$G$58,Census!$G113+L$5-18)/INDEX(Decrements!$G$6:$G$58,Census!$G113-17)*(INDEX(Decrements!$D$6:$D$58,Census!$G113+L$5-18)+IF(L$5=$B113,INDEX(Decrements!$F$6:$F$58,Census!$G113+L$5-18),0)+INDEX(Decrements!$E$6:$E$58,Census!$G113+L$5-18)*IF((Census!$F113+L$5)&gt;=Assumptions!$B$11,1,0))*MIN(15/26*Census!$D113*(1+Assumptions!$B$9)^L$5*(INT((Census!$F113+L$5))+IF((Census!$F113+L$5)-INT((Census!$F113+L$5))&gt;0.5,1,0)),Assumptions!$B$10))</f>
        <v>11970.075184218582</v>
      </c>
      <c r="M113" s="30">
        <f>IF(M$5&gt;$B113,0,INDEX(Decrements!$G$6:$G$58,Census!$G113+M$5-18)/INDEX(Decrements!$G$6:$G$58,Census!$G113-17)*(INDEX(Decrements!$D$6:$D$58,Census!$G113+M$5-18)+IF(M$5=$B113,INDEX(Decrements!$F$6:$F$58,Census!$G113+M$5-18),0)+INDEX(Decrements!$E$6:$E$58,Census!$G113+M$5-18)*IF((Census!$F113+M$5)&gt;=Assumptions!$B$11,1,0))*MIN(15/26*Census!$D113*(1+Assumptions!$B$9)^M$5*(INT((Census!$F113+M$5))+IF((Census!$F113+M$5)-INT((Census!$F113+M$5))&gt;0.5,1,0)),Assumptions!$B$10))</f>
        <v>13078.723663504039</v>
      </c>
      <c r="N113" s="30">
        <f>IF(N$5&gt;$B113,0,INDEX(Decrements!$G$6:$G$58,Census!$G113+N$5-18)/INDEX(Decrements!$G$6:$G$58,Census!$G113-17)*(INDEX(Decrements!$D$6:$D$58,Census!$G113+N$5-18)+IF(N$5=$B113,INDEX(Decrements!$F$6:$F$58,Census!$G113+N$5-18),0)+INDEX(Decrements!$E$6:$E$58,Census!$G113+N$5-18)*IF((Census!$F113+N$5)&gt;=Assumptions!$B$11,1,0))*MIN(15/26*Census!$D113*(1+Assumptions!$B$9)^N$5*(INT((Census!$F113+N$5))+IF((Census!$F113+N$5)-INT((Census!$F113+N$5))&gt;0.5,1,0)),Assumptions!$B$10))</f>
        <v>14172.067859695459</v>
      </c>
      <c r="O113" s="30">
        <f>IF(O$5&gt;$B113,0,INDEX(Decrements!$G$6:$G$58,Census!$G113+O$5-18)/INDEX(Decrements!$G$6:$G$58,Census!$G113-17)*(INDEX(Decrements!$D$6:$D$58,Census!$G113+O$5-18)+IF(O$5=$B113,INDEX(Decrements!$F$6:$F$58,Census!$G113+O$5-18),0)+INDEX(Decrements!$E$6:$E$58,Census!$G113+O$5-18)*IF((Census!$F113+O$5)&gt;=Assumptions!$B$11,1,0))*MIN(15/26*Census!$D113*(1+Assumptions!$B$9)^O$5*(INT((Census!$F113+O$5))+IF((Census!$F113+O$5)-INT((Census!$F113+O$5))&gt;0.5,1,0)),Assumptions!$B$10))</f>
        <v>15250.30095910403</v>
      </c>
      <c r="P113" s="30">
        <f>IF(P$5&gt;$B113,0,INDEX(Decrements!$G$6:$G$58,Census!$G113+P$5-18)/INDEX(Decrements!$G$6:$G$58,Census!$G113-17)*(INDEX(Decrements!$D$6:$D$58,Census!$G113+P$5-18)+IF(P$5=$B113,INDEX(Decrements!$F$6:$F$58,Census!$G113+P$5-18),0)+INDEX(Decrements!$E$6:$E$58,Census!$G113+P$5-18)*IF((Census!$F113+P$5)&gt;=Assumptions!$B$11,1,0))*MIN(15/26*Census!$D113*(1+Assumptions!$B$9)^P$5*(INT((Census!$F113+P$5))+IF((Census!$F113+P$5)-INT((Census!$F113+P$5))&gt;0.5,1,0)),Assumptions!$B$10))</f>
        <v>10297.579430124764</v>
      </c>
      <c r="Q113" s="30">
        <f>IF(Q$5&gt;$B113,0,INDEX(Decrements!$G$6:$G$58,Census!$G113+Q$5-18)/INDEX(Decrements!$G$6:$G$58,Census!$G113-17)*(INDEX(Decrements!$D$6:$D$58,Census!$G113+Q$5-18)+IF(Q$5=$B113,INDEX(Decrements!$F$6:$F$58,Census!$G113+Q$5-18),0)+INDEX(Decrements!$E$6:$E$58,Census!$G113+Q$5-18)*IF((Census!$F113+Q$5)&gt;=Assumptions!$B$11,1,0))*MIN(15/26*Census!$D113*(1+Assumptions!$B$9)^Q$5*(INT((Census!$F113+Q$5))+IF((Census!$F113+Q$5)-INT((Census!$F113+Q$5))&gt;0.5,1,0)),Assumptions!$B$10))</f>
        <v>11324.575023937628</v>
      </c>
      <c r="R113" s="30">
        <f>IF(R$5&gt;$B113,0,INDEX(Decrements!$G$6:$G$58,Census!$G113+R$5-18)/INDEX(Decrements!$G$6:$G$58,Census!$G113-17)*(INDEX(Decrements!$D$6:$D$58,Census!$G113+R$5-18)+IF(R$5=$B113,INDEX(Decrements!$F$6:$F$58,Census!$G113+R$5-18),0)+INDEX(Decrements!$E$6:$E$58,Census!$G113+R$5-18)*IF((Census!$F113+R$5)&gt;=Assumptions!$B$11,1,0))*MIN(15/26*Census!$D113*(1+Assumptions!$B$9)^R$5*(INT((Census!$F113+R$5))+IF((Census!$F113+R$5)-INT((Census!$F113+R$5))&gt;0.5,1,0)),Assumptions!$B$10))</f>
        <v>12399.596123893321</v>
      </c>
      <c r="S113" s="30">
        <f>IF(S$5&gt;$B113,0,INDEX(Decrements!$G$6:$G$58,Census!$G113+S$5-18)/INDEX(Decrements!$G$6:$G$58,Census!$G113-17)*(INDEX(Decrements!$D$6:$D$58,Census!$G113+S$5-18)+IF(S$5=$B113,INDEX(Decrements!$F$6:$F$58,Census!$G113+S$5-18),0)+INDEX(Decrements!$E$6:$E$58,Census!$G113+S$5-18)*IF((Census!$F113+S$5)&gt;=Assumptions!$B$11,1,0))*MIN(15/26*Census!$D113*(1+Assumptions!$B$9)^S$5*(INT((Census!$F113+S$5))+IF((Census!$F113+S$5)-INT((Census!$F113+S$5))&gt;0.5,1,0)),Assumptions!$B$10))</f>
        <v>13524.765609894184</v>
      </c>
      <c r="T113" s="30">
        <f>IF(T$5&gt;$B113,0,INDEX(Decrements!$G$6:$G$58,Census!$G113+T$5-18)/INDEX(Decrements!$G$6:$G$58,Census!$G113-17)*(INDEX(Decrements!$D$6:$D$58,Census!$G113+T$5-18)+IF(T$5=$B113,INDEX(Decrements!$F$6:$F$58,Census!$G113+T$5-18),0)+INDEX(Decrements!$E$6:$E$58,Census!$G113+T$5-18)*IF((Census!$F113+T$5)&gt;=Assumptions!$B$11,1,0))*MIN(15/26*Census!$D113*(1+Assumptions!$B$9)^T$5*(INT((Census!$F113+T$5))+IF((Census!$F113+T$5)-INT((Census!$F113+T$5))&gt;0.5,1,0)),Assumptions!$B$10))</f>
        <v>14702.331185582803</v>
      </c>
      <c r="U113" s="30">
        <f>IF(U$5&gt;$B113,0,INDEX(Decrements!$G$6:$G$58,Census!$G113+U$5-18)/INDEX(Decrements!$G$6:$G$58,Census!$G113-17)*(INDEX(Decrements!$D$6:$D$58,Census!$G113+U$5-18)+IF(U$5=$B113,INDEX(Decrements!$F$6:$F$58,Census!$G113+U$5-18),0)+INDEX(Decrements!$E$6:$E$58,Census!$G113+U$5-18)*IF((Census!$F113+U$5)&gt;=Assumptions!$B$11,1,0))*MIN(15/26*Census!$D113*(1+Assumptions!$B$9)^U$5*(INT((Census!$F113+U$5))+IF((Census!$F113+U$5)-INT((Census!$F113+U$5))&gt;0.5,1,0)),Assumptions!$B$10))</f>
        <v>9797.8594216554138</v>
      </c>
      <c r="V113" s="30">
        <f>IF(V$5&gt;$B113,0,INDEX(Decrements!$G$6:$G$58,Census!$G113+V$5-18)/INDEX(Decrements!$G$6:$G$58,Census!$G113-17)*(INDEX(Decrements!$D$6:$D$58,Census!$G113+V$5-18)+IF(V$5=$B113,INDEX(Decrements!$F$6:$F$58,Census!$G113+V$5-18),0)+INDEX(Decrements!$E$6:$E$58,Census!$G113+V$5-18)*IF((Census!$F113+V$5)&gt;=Assumptions!$B$11,1,0))*MIN(15/26*Census!$D113*(1+Assumptions!$B$9)^V$5*(INT((Census!$F113+V$5))+IF((Census!$F113+V$5)-INT((Census!$F113+V$5))&gt;0.5,1,0)),Assumptions!$B$10))</f>
        <v>10630.310267550569</v>
      </c>
      <c r="W113" s="30">
        <f>IF(W$5&gt;$B113,0,INDEX(Decrements!$G$6:$G$58,Census!$G113+W$5-18)/INDEX(Decrements!$G$6:$G$58,Census!$G113-17)*(INDEX(Decrements!$D$6:$D$58,Census!$G113+W$5-18)+IF(W$5=$B113,INDEX(Decrements!$F$6:$F$58,Census!$G113+W$5-18),0)+INDEX(Decrements!$E$6:$E$58,Census!$G113+W$5-18)*IF((Census!$F113+W$5)&gt;=Assumptions!$B$11,1,0))*MIN(15/26*Census!$D113*(1+Assumptions!$B$9)^W$5*(INT((Census!$F113+W$5))+IF((Census!$F113+W$5)-INT((Census!$F113+W$5))&gt;0.5,1,0)),Assumptions!$B$10))</f>
        <v>10342.28640186685</v>
      </c>
      <c r="X113" s="30">
        <f>IF(X$5&gt;$B113,0,INDEX(Decrements!$G$6:$G$58,Census!$G113+X$5-18)/INDEX(Decrements!$G$6:$G$58,Census!$G113-17)*(INDEX(Decrements!$D$6:$D$58,Census!$G113+X$5-18)+IF(X$5=$B113,INDEX(Decrements!$F$6:$F$58,Census!$G113+X$5-18),0)+INDEX(Decrements!$E$6:$E$58,Census!$G113+X$5-18)*IF((Census!$F113+X$5)&gt;=Assumptions!$B$11,1,0))*MIN(15/26*Census!$D113*(1+Assumptions!$B$9)^X$5*(INT((Census!$F113+X$5))+IF((Census!$F113+X$5)-INT((Census!$F113+X$5))&gt;0.5,1,0)),Assumptions!$B$10))</f>
        <v>10065.17139030277</v>
      </c>
      <c r="Y113" s="30">
        <f>IF(Y$5&gt;$B113,0,INDEX(Decrements!$G$6:$G$58,Census!$G113+Y$5-18)/INDEX(Decrements!$G$6:$G$58,Census!$G113-17)*(INDEX(Decrements!$D$6:$D$58,Census!$G113+Y$5-18)+IF(Y$5=$B113,INDEX(Decrements!$F$6:$F$58,Census!$G113+Y$5-18),0)+INDEX(Decrements!$E$6:$E$58,Census!$G113+Y$5-18)*IF((Census!$F113+Y$5)&gt;=Assumptions!$B$11,1,0))*MIN(15/26*Census!$D113*(1+Assumptions!$B$9)^Y$5*(INT((Census!$F113+Y$5))+IF((Census!$F113+Y$5)-INT((Census!$F113+Y$5))&gt;0.5,1,0)),Assumptions!$B$10))</f>
        <v>9798.747744376964</v>
      </c>
      <c r="Z113" s="30">
        <f>IF(Z$5&gt;$B113,0,INDEX(Decrements!$G$6:$G$58,Census!$G113+Z$5-18)/INDEX(Decrements!$G$6:$G$58,Census!$G113-17)*(INDEX(Decrements!$D$6:$D$58,Census!$G113+Z$5-18)+IF(Z$5=$B113,INDEX(Decrements!$F$6:$F$58,Census!$G113+Z$5-18),0)+INDEX(Decrements!$E$6:$E$58,Census!$G113+Z$5-18)*IF((Census!$F113+Z$5)&gt;=Assumptions!$B$11,1,0))*MIN(15/26*Census!$D113*(1+Assumptions!$B$9)^Z$5*(INT((Census!$F113+Z$5))+IF((Census!$F113+Z$5)-INT((Census!$F113+Z$5))&gt;0.5,1,0)),Assumptions!$B$10))</f>
        <v>6639.3851018438481</v>
      </c>
      <c r="AA113" s="30">
        <f>IF(AA$5&gt;$B113,0,INDEX(Decrements!$G$6:$G$58,Census!$G113+AA$5-18)/INDEX(Decrements!$G$6:$G$58,Census!$G113-17)*(INDEX(Decrements!$D$6:$D$58,Census!$G113+AA$5-18)+IF(AA$5=$B113,INDEX(Decrements!$F$6:$F$58,Census!$G113+AA$5-18),0)+INDEX(Decrements!$E$6:$E$58,Census!$G113+AA$5-18)*IF((Census!$F113+AA$5)&gt;=Assumptions!$B$11,1,0))*MIN(15/26*Census!$D113*(1+Assumptions!$B$9)^AA$5*(INT((Census!$F113+AA$5))+IF((Census!$F113+AA$5)-INT((Census!$F113+AA$5))&gt;0.5,1,0)),Assumptions!$B$10))</f>
        <v>6556.4776068437004</v>
      </c>
      <c r="AB113" s="30">
        <f>IF(AB$5&gt;$B113,0,INDEX(Decrements!$G$6:$G$58,Census!$G113+AB$5-18)/INDEX(Decrements!$G$6:$G$58,Census!$G113-17)*(INDEX(Decrements!$D$6:$D$58,Census!$G113+AB$5-18)+IF(AB$5=$B113,INDEX(Decrements!$F$6:$F$58,Census!$G113+AB$5-18),0)+INDEX(Decrements!$E$6:$E$58,Census!$G113+AB$5-18)*IF((Census!$F113+AB$5)&gt;=Assumptions!$B$11,1,0))*MIN(15/26*Census!$D113*(1+Assumptions!$B$9)^AB$5*(INT((Census!$F113+AB$5))+IF((Census!$F113+AB$5)-INT((Census!$F113+AB$5))&gt;0.5,1,0)),Assumptions!$B$10))</f>
        <v>6478.976024352115</v>
      </c>
      <c r="AC113" s="30">
        <f>IF(AC$5&gt;$B113,0,INDEX(Decrements!$G$6:$G$58,Census!$G113+AC$5-18)/INDEX(Decrements!$G$6:$G$58,Census!$G113-17)*(INDEX(Decrements!$D$6:$D$58,Census!$G113+AC$5-18)+IF(AC$5=$B113,INDEX(Decrements!$F$6:$F$58,Census!$G113+AC$5-18),0)+INDEX(Decrements!$E$6:$E$58,Census!$G113+AC$5-18)*IF((Census!$F113+AC$5)&gt;=Assumptions!$B$11,1,0))*MIN(15/26*Census!$D113*(1+Assumptions!$B$9)^AC$5*(INT((Census!$F113+AC$5))+IF((Census!$F113+AC$5)-INT((Census!$F113+AC$5))&gt;0.5,1,0)),Assumptions!$B$10))</f>
        <v>6406.9942676091678</v>
      </c>
      <c r="AD113" s="30">
        <f>IF(AD$5&gt;$B113,0,INDEX(Decrements!$G$6:$G$58,Census!$G113+AD$5-18)/INDEX(Decrements!$G$6:$G$58,Census!$G113-17)*(INDEX(Decrements!$D$6:$D$58,Census!$G113+AD$5-18)+IF(AD$5=$B113,INDEX(Decrements!$F$6:$F$58,Census!$G113+AD$5-18),0)+INDEX(Decrements!$E$6:$E$58,Census!$G113+AD$5-18)*IF((Census!$F113+AD$5)&gt;=Assumptions!$B$11,1,0))*MIN(15/26*Census!$D113*(1+Assumptions!$B$9)^AD$5*(INT((Census!$F113+AD$5))+IF((Census!$F113+AD$5)-INT((Census!$F113+AD$5))&gt;0.5,1,0)),Assumptions!$B$10))</f>
        <v>6340.650008980585</v>
      </c>
      <c r="AE113" s="30">
        <f>IF(AE$5&gt;$B113,0,INDEX(Decrements!$G$6:$G$58,Census!$G113+AE$5-18)/INDEX(Decrements!$G$6:$G$58,Census!$G113-17)*(INDEX(Decrements!$D$6:$D$58,Census!$G113+AE$5-18)+IF(AE$5=$B113,INDEX(Decrements!$F$6:$F$58,Census!$G113+AE$5-18),0)+INDEX(Decrements!$E$6:$E$58,Census!$G113+AE$5-18)*IF((Census!$F113+AE$5)&gt;=Assumptions!$B$11,1,0))*MIN(15/26*Census!$D113*(1+Assumptions!$B$9)^AE$5*(INT((Census!$F113+AE$5))+IF((Census!$F113+AE$5)-INT((Census!$F113+AE$5))&gt;0.5,1,0)),Assumptions!$B$10))</f>
        <v>3703.8161226113043</v>
      </c>
      <c r="AF113" s="30">
        <f>IF(AF$5&gt;$B113,0,INDEX(Decrements!$G$6:$G$58,Census!$G113+AF$5-18)/INDEX(Decrements!$G$6:$G$58,Census!$G113-17)*(INDEX(Decrements!$D$6:$D$58,Census!$G113+AF$5-18)+IF(AF$5=$B113,INDEX(Decrements!$F$6:$F$58,Census!$G113+AF$5-18),0)+INDEX(Decrements!$E$6:$E$58,Census!$G113+AF$5-18)*IF((Census!$F113+AF$5)&gt;=Assumptions!$B$11,1,0))*MIN(15/26*Census!$D113*(1+Assumptions!$B$9)^AF$5*(INT((Census!$F113+AF$5))+IF((Census!$F113+AF$5)-INT((Census!$F113+AF$5))&gt;0.5,1,0)),Assumptions!$B$10))</f>
        <v>3750.5148652311173</v>
      </c>
      <c r="AG113" s="30">
        <f>IF(AG$5&gt;$B113,0,INDEX(Decrements!$G$6:$G$58,Census!$G113+AG$5-18)/INDEX(Decrements!$G$6:$G$58,Census!$G113-17)*(INDEX(Decrements!$D$6:$D$58,Census!$G113+AG$5-18)+IF(AG$5=$B113,INDEX(Decrements!$F$6:$F$58,Census!$G113+AG$5-18),0)+INDEX(Decrements!$E$6:$E$58,Census!$G113+AG$5-18)*IF((Census!$F113+AG$5)&gt;=Assumptions!$B$11,1,0))*MIN(15/26*Census!$D113*(1+Assumptions!$B$9)^AG$5*(INT((Census!$F113+AG$5))+IF((Census!$F113+AG$5)-INT((Census!$F113+AG$5))&gt;0.5,1,0)),Assumptions!$B$10))</f>
        <v>3803.3924213626719</v>
      </c>
      <c r="AH113" s="30">
        <f>IF(AH$5&gt;$B113,0,INDEX(Decrements!$G$6:$G$58,Census!$G113+AH$5-18)/INDEX(Decrements!$G$6:$G$58,Census!$G113-17)*(INDEX(Decrements!$D$6:$D$58,Census!$G113+AH$5-18)+IF(AH$5=$B113,INDEX(Decrements!$F$6:$F$58,Census!$G113+AH$5-18),0)+INDEX(Decrements!$E$6:$E$58,Census!$G113+AH$5-18)*IF((Census!$F113+AH$5)&gt;=Assumptions!$B$11,1,0))*MIN(15/26*Census!$D113*(1+Assumptions!$B$9)^AH$5*(INT((Census!$F113+AH$5))+IF((Census!$F113+AH$5)-INT((Census!$F113+AH$5))&gt;0.5,1,0)),Assumptions!$B$10))</f>
        <v>3862.8081741638716</v>
      </c>
      <c r="AI113" s="30">
        <f>IF(AI$5&gt;$B113,0,INDEX(Decrements!$G$6:$G$58,Census!$G113+AI$5-18)/INDEX(Decrements!$G$6:$G$58,Census!$G113-17)*(INDEX(Decrements!$D$6:$D$58,Census!$G113+AI$5-18)+IF(AI$5=$B113,INDEX(Decrements!$F$6:$F$58,Census!$G113+AI$5-18),0)+INDEX(Decrements!$E$6:$E$58,Census!$G113+AI$5-18)*IF((Census!$F113+AI$5)&gt;=Assumptions!$B$11,1,0))*MIN(15/26*Census!$D113*(1+Assumptions!$B$9)^AI$5*(INT((Census!$F113+AI$5))+IF((Census!$F113+AI$5)-INT((Census!$F113+AI$5))&gt;0.5,1,0)),Assumptions!$B$10))</f>
        <v>243631.73992836746</v>
      </c>
      <c r="AJ113" s="30">
        <f>IF(AJ$5&gt;$B113,0,INDEX(Decrements!$G$6:$G$58,Census!$G113+AJ$5-18)/INDEX(Decrements!$G$6:$G$58,Census!$G113-17)*(INDEX(Decrements!$D$6:$D$58,Census!$G113+AJ$5-18)+IF(AJ$5=$B113,INDEX(Decrements!$F$6:$F$58,Census!$G113+AJ$5-18),0)+INDEX(Decrements!$E$6:$E$58,Census!$G113+AJ$5-18)*IF((Census!$F113+AJ$5)&gt;=Assumptions!$B$11,1,0))*MIN(15/26*Census!$D113*(1+Assumptions!$B$9)^AJ$5*(INT((Census!$F113+AJ$5))+IF((Census!$F113+AJ$5)-INT((Census!$F113+AJ$5))&gt;0.5,1,0)),Assumptions!$B$10))</f>
        <v>0</v>
      </c>
      <c r="AK113" s="30">
        <f>IF(AK$5&gt;$B113,0,INDEX(Decrements!$G$6:$G$58,Census!$G113+AK$5-18)/INDEX(Decrements!$G$6:$G$58,Census!$G113-17)*(INDEX(Decrements!$D$6:$D$58,Census!$G113+AK$5-18)+IF(AK$5=$B113,INDEX(Decrements!$F$6:$F$58,Census!$G113+AK$5-18),0)+INDEX(Decrements!$E$6:$E$58,Census!$G113+AK$5-18)*IF((Census!$F113+AK$5)&gt;=Assumptions!$B$11,1,0))*MIN(15/26*Census!$D113*(1+Assumptions!$B$9)^AK$5*(INT((Census!$F113+AK$5))+IF((Census!$F113+AK$5)-INT((Census!$F113+AK$5))&gt;0.5,1,0)),Assumptions!$B$10))</f>
        <v>0</v>
      </c>
      <c r="AL113" s="30">
        <f>IF(AL$5&gt;$B113,0,INDEX(Decrements!$G$6:$G$58,Census!$G113+AL$5-18)/INDEX(Decrements!$G$6:$G$58,Census!$G113-17)*(INDEX(Decrements!$D$6:$D$58,Census!$G113+AL$5-18)+IF(AL$5=$B113,INDEX(Decrements!$F$6:$F$58,Census!$G113+AL$5-18),0)+INDEX(Decrements!$E$6:$E$58,Census!$G113+AL$5-18)*IF((Census!$F113+AL$5)&gt;=Assumptions!$B$11,1,0))*MIN(15/26*Census!$D113*(1+Assumptions!$B$9)^AL$5*(INT((Census!$F113+AL$5))+IF((Census!$F113+AL$5)-INT((Census!$F113+AL$5))&gt;0.5,1,0)),Assumptions!$B$10))</f>
        <v>0</v>
      </c>
      <c r="AM113" s="30">
        <f>IF(AM$5&gt;$B113,0,INDEX(Decrements!$G$6:$G$58,Census!$G113+AM$5-18)/INDEX(Decrements!$G$6:$G$58,Census!$G113-17)*(INDEX(Decrements!$D$6:$D$58,Census!$G113+AM$5-18)+IF(AM$5=$B113,INDEX(Decrements!$F$6:$F$58,Census!$G113+AM$5-18),0)+INDEX(Decrements!$E$6:$E$58,Census!$G113+AM$5-18)*IF((Census!$F113+AM$5)&gt;=Assumptions!$B$11,1,0))*MIN(15/26*Census!$D113*(1+Assumptions!$B$9)^AM$5*(INT((Census!$F113+AM$5))+IF((Census!$F113+AM$5)-INT((Census!$F113+AM$5))&gt;0.5,1,0)),Assumptions!$B$10))</f>
        <v>0</v>
      </c>
      <c r="AN113" s="30">
        <f>IF(AN$5&gt;$B113,0,INDEX(Decrements!$G$6:$G$58,Census!$G113+AN$5-18)/INDEX(Decrements!$G$6:$G$58,Census!$G113-17)*(INDEX(Decrements!$D$6:$D$58,Census!$G113+AN$5-18)+IF(AN$5=$B113,INDEX(Decrements!$F$6:$F$58,Census!$G113+AN$5-18),0)+INDEX(Decrements!$E$6:$E$58,Census!$G113+AN$5-18)*IF((Census!$F113+AN$5)&gt;=Assumptions!$B$11,1,0))*MIN(15/26*Census!$D113*(1+Assumptions!$B$9)^AN$5*(INT((Census!$F113+AN$5))+IF((Census!$F113+AN$5)-INT((Census!$F113+AN$5))&gt;0.5,1,0)),Assumptions!$B$10))</f>
        <v>0</v>
      </c>
      <c r="AO113" s="30">
        <f>IF(AO$5&gt;$B113,0,INDEX(Decrements!$G$6:$G$58,Census!$G113+AO$5-18)/INDEX(Decrements!$G$6:$G$58,Census!$G113-17)*(INDEX(Decrements!$D$6:$D$58,Census!$G113+AO$5-18)+IF(AO$5=$B113,INDEX(Decrements!$F$6:$F$58,Census!$G113+AO$5-18),0)+INDEX(Decrements!$E$6:$E$58,Census!$G113+AO$5-18)*IF((Census!$F113+AO$5)&gt;=Assumptions!$B$11,1,0))*MIN(15/26*Census!$D113*(1+Assumptions!$B$9)^AO$5*(INT((Census!$F113+AO$5))+IF((Census!$F113+AO$5)-INT((Census!$F113+AO$5))&gt;0.5,1,0)),Assumptions!$B$10))</f>
        <v>0</v>
      </c>
      <c r="AP113" s="30">
        <f>IF(AP$5&gt;$B113,0,INDEX(Decrements!$G$6:$G$58,Census!$G113+AP$5-18)/INDEX(Decrements!$G$6:$G$58,Census!$G113-17)*(INDEX(Decrements!$D$6:$D$58,Census!$G113+AP$5-18)+IF(AP$5=$B113,INDEX(Decrements!$F$6:$F$58,Census!$G113+AP$5-18),0)+INDEX(Decrements!$E$6:$E$58,Census!$G113+AP$5-18)*IF((Census!$F113+AP$5)&gt;=Assumptions!$B$11,1,0))*MIN(15/26*Census!$D113*(1+Assumptions!$B$9)^AP$5*(INT((Census!$F113+AP$5))+IF((Census!$F113+AP$5)-INT((Census!$F113+AP$5))&gt;0.5,1,0)),Assumptions!$B$10))</f>
        <v>0</v>
      </c>
      <c r="AQ113" s="30">
        <f>IF(AQ$5&gt;$B113,0,INDEX(Decrements!$G$6:$G$58,Census!$G113+AQ$5-18)/INDEX(Decrements!$G$6:$G$58,Census!$G113-17)*(INDEX(Decrements!$D$6:$D$58,Census!$G113+AQ$5-18)+IF(AQ$5=$B113,INDEX(Decrements!$F$6:$F$58,Census!$G113+AQ$5-18),0)+INDEX(Decrements!$E$6:$E$58,Census!$G113+AQ$5-18)*IF((Census!$F113+AQ$5)&gt;=Assumptions!$B$11,1,0))*MIN(15/26*Census!$D113*(1+Assumptions!$B$9)^AQ$5*(INT((Census!$F113+AQ$5))+IF((Census!$F113+AQ$5)-INT((Census!$F113+AQ$5))&gt;0.5,1,0)),Assumptions!$B$10))</f>
        <v>0</v>
      </c>
      <c r="AR113" s="30">
        <f>IF(AR$5&gt;$B113,0,INDEX(Decrements!$G$6:$G$58,Census!$G113+AR$5-18)/INDEX(Decrements!$G$6:$G$58,Census!$G113-17)*(INDEX(Decrements!$D$6:$D$58,Census!$G113+AR$5-18)+IF(AR$5=$B113,INDEX(Decrements!$F$6:$F$58,Census!$G113+AR$5-18),0)+INDEX(Decrements!$E$6:$E$58,Census!$G113+AR$5-18)*IF((Census!$F113+AR$5)&gt;=Assumptions!$B$11,1,0))*MIN(15/26*Census!$D113*(1+Assumptions!$B$9)^AR$5*(INT((Census!$F113+AR$5))+IF((Census!$F113+AR$5)-INT((Census!$F113+AR$5))&gt;0.5,1,0)),Assumptions!$B$10))</f>
        <v>0</v>
      </c>
      <c r="AS113" s="30">
        <f>IF(AS$5&gt;$B113,0,INDEX(Decrements!$G$6:$G$58,Census!$G113+AS$5-18)/INDEX(Decrements!$G$6:$G$58,Census!$G113-17)*(INDEX(Decrements!$D$6:$D$58,Census!$G113+AS$5-18)+IF(AS$5=$B113,INDEX(Decrements!$F$6:$F$58,Census!$G113+AS$5-18),0)+INDEX(Decrements!$E$6:$E$58,Census!$G113+AS$5-18)*IF((Census!$F113+AS$5)&gt;=Assumptions!$B$11,1,0))*MIN(15/26*Census!$D113*(1+Assumptions!$B$9)^AS$5*(INT((Census!$F113+AS$5))+IF((Census!$F113+AS$5)-INT((Census!$F113+AS$5))&gt;0.5,1,0)),Assumptions!$B$10))</f>
        <v>0</v>
      </c>
      <c r="AT113" s="30">
        <f>IF(AT$5&gt;$B113,0,INDEX(Decrements!$G$6:$G$58,Census!$G113+AT$5-18)/INDEX(Decrements!$G$6:$G$58,Census!$G113-17)*(INDEX(Decrements!$D$6:$D$58,Census!$G113+AT$5-18)+IF(AT$5=$B113,INDEX(Decrements!$F$6:$F$58,Census!$G113+AT$5-18),0)+INDEX(Decrements!$E$6:$E$58,Census!$G113+AT$5-18)*IF((Census!$F113+AT$5)&gt;=Assumptions!$B$11,1,0))*MIN(15/26*Census!$D113*(1+Assumptions!$B$9)^AT$5*(INT((Census!$F113+AT$5))+IF((Census!$F113+AT$5)-INT((Census!$F113+AT$5))&gt;0.5,1,0)),Assumptions!$B$10))</f>
        <v>0</v>
      </c>
      <c r="AU113" s="30">
        <f>IF(AU$5&gt;$B113,0,INDEX(Decrements!$G$6:$G$58,Census!$G113+AU$5-18)/INDEX(Decrements!$G$6:$G$58,Census!$G113-17)*(INDEX(Decrements!$D$6:$D$58,Census!$G113+AU$5-18)+IF(AU$5=$B113,INDEX(Decrements!$F$6:$F$58,Census!$G113+AU$5-18),0)+INDEX(Decrements!$E$6:$E$58,Census!$G113+AU$5-18)*IF((Census!$F113+AU$5)&gt;=Assumptions!$B$11,1,0))*MIN(15/26*Census!$D113*(1+Assumptions!$B$9)^AU$5*(INT((Census!$F113+AU$5))+IF((Census!$F113+AU$5)-INT((Census!$F113+AU$5))&gt;0.5,1,0)),Assumptions!$B$10))</f>
        <v>0</v>
      </c>
    </row>
    <row r="114" spans="1:47" x14ac:dyDescent="0.3">
      <c r="A114" s="10" t="str">
        <f>Census!A114</f>
        <v>E109</v>
      </c>
      <c r="B114" s="29">
        <f>Census!H114</f>
        <v>26</v>
      </c>
      <c r="C114" s="30">
        <f>IF(C$5&gt;$B114,0,INDEX(Decrements!$G$6:$G$58,Census!$G114+C$5-18)/INDEX(Decrements!$G$6:$G$58,Census!$G114-17)*(INDEX(Decrements!$D$6:$D$58,Census!$G114+C$5-18)+IF(C$5=$B114,INDEX(Decrements!$F$6:$F$58,Census!$G114+C$5-18),0)+INDEX(Decrements!$E$6:$E$58,Census!$G114+C$5-18)*IF((Census!$F114+C$5)&gt;=Assumptions!$B$11,1,0))*MIN(15/26*Census!$D114*(1+Assumptions!$B$9)^C$5*(INT((Census!$F114+C$5))+IF((Census!$F114+C$5)-INT((Census!$F114+C$5))&gt;0.5,1,0)),Assumptions!$B$10))</f>
        <v>29273.397735845203</v>
      </c>
      <c r="D114" s="30">
        <f>IF(D$5&gt;$B114,0,INDEX(Decrements!$G$6:$G$58,Census!$G114+D$5-18)/INDEX(Decrements!$G$6:$G$58,Census!$G114-17)*(INDEX(Decrements!$D$6:$D$58,Census!$G114+D$5-18)+IF(D$5=$B114,INDEX(Decrements!$F$6:$F$58,Census!$G114+D$5-18),0)+INDEX(Decrements!$E$6:$E$58,Census!$G114+D$5-18)*IF((Census!$F114+D$5)&gt;=Assumptions!$B$11,1,0))*MIN(15/26*Census!$D114*(1+Assumptions!$B$9)^D$5*(INT((Census!$F114+D$5))+IF((Census!$F114+D$5)-INT((Census!$F114+D$5))&gt;0.5,1,0)),Assumptions!$B$10))</f>
        <v>22801.972352443394</v>
      </c>
      <c r="E114" s="30">
        <f>IF(E$5&gt;$B114,0,INDEX(Decrements!$G$6:$G$58,Census!$G114+E$5-18)/INDEX(Decrements!$G$6:$G$58,Census!$G114-17)*(INDEX(Decrements!$D$6:$D$58,Census!$G114+E$5-18)+IF(E$5=$B114,INDEX(Decrements!$F$6:$F$58,Census!$G114+E$5-18),0)+INDEX(Decrements!$E$6:$E$58,Census!$G114+E$5-18)*IF((Census!$F114+E$5)&gt;=Assumptions!$B$11,1,0))*MIN(15/26*Census!$D114*(1+Assumptions!$B$9)^E$5*(INT((Census!$F114+E$5))+IF((Census!$F114+E$5)-INT((Census!$F114+E$5))&gt;0.5,1,0)),Assumptions!$B$10))</f>
        <v>24913.668070605421</v>
      </c>
      <c r="F114" s="30">
        <f>IF(F$5&gt;$B114,0,INDEX(Decrements!$G$6:$G$58,Census!$G114+F$5-18)/INDEX(Decrements!$G$6:$G$58,Census!$G114-17)*(INDEX(Decrements!$D$6:$D$58,Census!$G114+F$5-18)+IF(F$5=$B114,INDEX(Decrements!$F$6:$F$58,Census!$G114+F$5-18),0)+INDEX(Decrements!$E$6:$E$58,Census!$G114+F$5-18)*IF((Census!$F114+F$5)&gt;=Assumptions!$B$11,1,0))*MIN(15/26*Census!$D114*(1+Assumptions!$B$9)^F$5*(INT((Census!$F114+F$5))+IF((Census!$F114+F$5)-INT((Census!$F114+F$5))&gt;0.5,1,0)),Assumptions!$B$10))</f>
        <v>26996.162599911131</v>
      </c>
      <c r="G114" s="30">
        <f>IF(G$5&gt;$B114,0,INDEX(Decrements!$G$6:$G$58,Census!$G114+G$5-18)/INDEX(Decrements!$G$6:$G$58,Census!$G114-17)*(INDEX(Decrements!$D$6:$D$58,Census!$G114+G$5-18)+IF(G$5=$B114,INDEX(Decrements!$F$6:$F$58,Census!$G114+G$5-18),0)+INDEX(Decrements!$E$6:$E$58,Census!$G114+G$5-18)*IF((Census!$F114+G$5)&gt;=Assumptions!$B$11,1,0))*MIN(15/26*Census!$D114*(1+Assumptions!$B$9)^G$5*(INT((Census!$F114+G$5))+IF((Census!$F114+G$5)-INT((Census!$F114+G$5))&gt;0.5,1,0)),Assumptions!$B$10))</f>
        <v>29049.819618083606</v>
      </c>
      <c r="H114" s="30">
        <f>IF(H$5&gt;$B114,0,INDEX(Decrements!$G$6:$G$58,Census!$G114+H$5-18)/INDEX(Decrements!$G$6:$G$58,Census!$G114-17)*(INDEX(Decrements!$D$6:$D$58,Census!$G114+H$5-18)+IF(H$5=$B114,INDEX(Decrements!$F$6:$F$58,Census!$G114+H$5-18),0)+INDEX(Decrements!$E$6:$E$58,Census!$G114+H$5-18)*IF((Census!$F114+H$5)&gt;=Assumptions!$B$11,1,0))*MIN(15/26*Census!$D114*(1+Assumptions!$B$9)^H$5*(INT((Census!$F114+H$5))+IF((Census!$F114+H$5)-INT((Census!$F114+H$5))&gt;0.5,1,0)),Assumptions!$B$10))</f>
        <v>31075.005083820903</v>
      </c>
      <c r="I114" s="30">
        <f>IF(I$5&gt;$B114,0,INDEX(Decrements!$G$6:$G$58,Census!$G114+I$5-18)/INDEX(Decrements!$G$6:$G$58,Census!$G114-17)*(INDEX(Decrements!$D$6:$D$58,Census!$G114+I$5-18)+IF(I$5=$B114,INDEX(Decrements!$F$6:$F$58,Census!$G114+I$5-18),0)+INDEX(Decrements!$E$6:$E$58,Census!$G114+I$5-18)*IF((Census!$F114+I$5)&gt;=Assumptions!$B$11,1,0))*MIN(15/26*Census!$D114*(1+Assumptions!$B$9)^I$5*(INT((Census!$F114+I$5))+IF((Census!$F114+I$5)-INT((Census!$F114+I$5))&gt;0.5,1,0)),Assumptions!$B$10))</f>
        <v>20875.961368966571</v>
      </c>
      <c r="J114" s="30">
        <f>IF(J$5&gt;$B114,0,INDEX(Decrements!$G$6:$G$58,Census!$G114+J$5-18)/INDEX(Decrements!$G$6:$G$58,Census!$G114-17)*(INDEX(Decrements!$D$6:$D$58,Census!$G114+J$5-18)+IF(J$5=$B114,INDEX(Decrements!$F$6:$F$58,Census!$G114+J$5-18),0)+INDEX(Decrements!$E$6:$E$58,Census!$G114+J$5-18)*IF((Census!$F114+J$5)&gt;=Assumptions!$B$11,1,0))*MIN(15/26*Census!$D114*(1+Assumptions!$B$9)^J$5*(INT((Census!$F114+J$5))+IF((Census!$F114+J$5)-INT((Census!$F114+J$5))&gt;0.5,1,0)),Assumptions!$B$10))</f>
        <v>22855.922114965077</v>
      </c>
      <c r="K114" s="30">
        <f>IF(K$5&gt;$B114,0,INDEX(Decrements!$G$6:$G$58,Census!$G114+K$5-18)/INDEX(Decrements!$G$6:$G$58,Census!$G114-17)*(INDEX(Decrements!$D$6:$D$58,Census!$G114+K$5-18)+IF(K$5=$B114,INDEX(Decrements!$F$6:$F$58,Census!$G114+K$5-18),0)+INDEX(Decrements!$E$6:$E$58,Census!$G114+K$5-18)*IF((Census!$F114+K$5)&gt;=Assumptions!$B$11,1,0))*MIN(15/26*Census!$D114*(1+Assumptions!$B$9)^K$5*(INT((Census!$F114+K$5))+IF((Census!$F114+K$5)-INT((Census!$F114+K$5))&gt;0.5,1,0)),Assumptions!$B$10))</f>
        <v>24927.836585391731</v>
      </c>
      <c r="L114" s="30">
        <f>IF(L$5&gt;$B114,0,INDEX(Decrements!$G$6:$G$58,Census!$G114+L$5-18)/INDEX(Decrements!$G$6:$G$58,Census!$G114-17)*(INDEX(Decrements!$D$6:$D$58,Census!$G114+L$5-18)+IF(L$5=$B114,INDEX(Decrements!$F$6:$F$58,Census!$G114+L$5-18),0)+INDEX(Decrements!$E$6:$E$58,Census!$G114+L$5-18)*IF((Census!$F114+L$5)&gt;=Assumptions!$B$11,1,0))*MIN(15/26*Census!$D114*(1+Assumptions!$B$9)^L$5*(INT((Census!$F114+L$5))+IF((Census!$F114+L$5)-INT((Census!$F114+L$5))&gt;0.5,1,0)),Assumptions!$B$10))</f>
        <v>27095.766534532144</v>
      </c>
      <c r="M114" s="30">
        <f>IF(M$5&gt;$B114,0,INDEX(Decrements!$G$6:$G$58,Census!$G114+M$5-18)/INDEX(Decrements!$G$6:$G$58,Census!$G114-17)*(INDEX(Decrements!$D$6:$D$58,Census!$G114+M$5-18)+IF(M$5=$B114,INDEX(Decrements!$F$6:$F$58,Census!$G114+M$5-18),0)+INDEX(Decrements!$E$6:$E$58,Census!$G114+M$5-18)*IF((Census!$F114+M$5)&gt;=Assumptions!$B$11,1,0))*MIN(15/26*Census!$D114*(1+Assumptions!$B$9)^M$5*(INT((Census!$F114+M$5))+IF((Census!$F114+M$5)-INT((Census!$F114+M$5))&gt;0.5,1,0)),Assumptions!$B$10))</f>
        <v>29364.013015481905</v>
      </c>
      <c r="N114" s="30">
        <f>IF(N$5&gt;$B114,0,INDEX(Decrements!$G$6:$G$58,Census!$G114+N$5-18)/INDEX(Decrements!$G$6:$G$58,Census!$G114-17)*(INDEX(Decrements!$D$6:$D$58,Census!$G114+N$5-18)+IF(N$5=$B114,INDEX(Decrements!$F$6:$F$58,Census!$G114+N$5-18),0)+INDEX(Decrements!$E$6:$E$58,Census!$G114+N$5-18)*IF((Census!$F114+N$5)&gt;=Assumptions!$B$11,1,0))*MIN(15/26*Census!$D114*(1+Assumptions!$B$9)^N$5*(INT((Census!$F114+N$5))+IF((Census!$F114+N$5)-INT((Census!$F114+N$5))&gt;0.5,1,0)),Assumptions!$B$10))</f>
        <v>19514.42275817155</v>
      </c>
      <c r="O114" s="30">
        <f>IF(O$5&gt;$B114,0,INDEX(Decrements!$G$6:$G$58,Census!$G114+O$5-18)/INDEX(Decrements!$G$6:$G$58,Census!$G114-17)*(INDEX(Decrements!$D$6:$D$58,Census!$G114+O$5-18)+IF(O$5=$B114,INDEX(Decrements!$F$6:$F$58,Census!$G114+O$5-18),0)+INDEX(Decrements!$E$6:$E$58,Census!$G114+O$5-18)*IF((Census!$F114+O$5)&gt;=Assumptions!$B$11,1,0))*MIN(15/26*Census!$D114*(1+Assumptions!$B$9)^O$5*(INT((Census!$F114+O$5))+IF((Census!$F114+O$5)-INT((Census!$F114+O$5))&gt;0.5,1,0)),Assumptions!$B$10))</f>
        <v>21523.633131919549</v>
      </c>
      <c r="P114" s="30">
        <f>IF(P$5&gt;$B114,0,INDEX(Decrements!$G$6:$G$58,Census!$G114+P$5-18)/INDEX(Decrements!$G$6:$G$58,Census!$G114-17)*(INDEX(Decrements!$D$6:$D$58,Census!$G114+P$5-18)+IF(P$5=$B114,INDEX(Decrements!$F$6:$F$58,Census!$G114+P$5-18),0)+INDEX(Decrements!$E$6:$E$58,Census!$G114+P$5-18)*IF((Census!$F114+P$5)&gt;=Assumptions!$B$11,1,0))*MIN(15/26*Census!$D114*(1+Assumptions!$B$9)^P$5*(INT((Census!$F114+P$5))+IF((Census!$F114+P$5)-INT((Census!$F114+P$5))&gt;0.5,1,0)),Assumptions!$B$10))</f>
        <v>23692.633818347364</v>
      </c>
      <c r="Q114" s="30">
        <f>IF(Q$5&gt;$B114,0,INDEX(Decrements!$G$6:$G$58,Census!$G114+Q$5-18)/INDEX(Decrements!$G$6:$G$58,Census!$G114-17)*(INDEX(Decrements!$D$6:$D$58,Census!$G114+Q$5-18)+IF(Q$5=$B114,INDEX(Decrements!$F$6:$F$58,Census!$G114+Q$5-18),0)+INDEX(Decrements!$E$6:$E$58,Census!$G114+Q$5-18)*IF((Census!$F114+Q$5)&gt;=Assumptions!$B$11,1,0))*MIN(15/26*Census!$D114*(1+Assumptions!$B$9)^Q$5*(INT((Census!$F114+Q$5))+IF((Census!$F114+Q$5)-INT((Census!$F114+Q$5))&gt;0.5,1,0)),Assumptions!$B$10))</f>
        <v>26034.357677311174</v>
      </c>
      <c r="R114" s="30">
        <f>IF(R$5&gt;$B114,0,INDEX(Decrements!$G$6:$G$58,Census!$G114+R$5-18)/INDEX(Decrements!$G$6:$G$58,Census!$G114-17)*(INDEX(Decrements!$D$6:$D$58,Census!$G114+R$5-18)+IF(R$5=$B114,INDEX(Decrements!$F$6:$F$58,Census!$G114+R$5-18),0)+INDEX(Decrements!$E$6:$E$58,Census!$G114+R$5-18)*IF((Census!$F114+R$5)&gt;=Assumptions!$B$11,1,0))*MIN(15/26*Census!$D114*(1+Assumptions!$B$9)^R$5*(INT((Census!$F114+R$5))+IF((Census!$F114+R$5)-INT((Census!$F114+R$5))&gt;0.5,1,0)),Assumptions!$B$10))</f>
        <v>25568.383950389783</v>
      </c>
      <c r="S114" s="30">
        <f>IF(S$5&gt;$B114,0,INDEX(Decrements!$G$6:$G$58,Census!$G114+S$5-18)/INDEX(Decrements!$G$6:$G$58,Census!$G114-17)*(INDEX(Decrements!$D$6:$D$58,Census!$G114+S$5-18)+IF(S$5=$B114,INDEX(Decrements!$F$6:$F$58,Census!$G114+S$5-18),0)+INDEX(Decrements!$E$6:$E$58,Census!$G114+S$5-18)*IF((Census!$F114+S$5)&gt;=Assumptions!$B$11,1,0))*MIN(15/26*Census!$D114*(1+Assumptions!$B$9)^S$5*(INT((Census!$F114+S$5))+IF((Census!$F114+S$5)-INT((Census!$F114+S$5))&gt;0.5,1,0)),Assumptions!$B$10))</f>
        <v>17324.494099346266</v>
      </c>
      <c r="T114" s="30">
        <f>IF(T$5&gt;$B114,0,INDEX(Decrements!$G$6:$G$58,Census!$G114+T$5-18)/INDEX(Decrements!$G$6:$G$58,Census!$G114-17)*(INDEX(Decrements!$D$6:$D$58,Census!$G114+T$5-18)+IF(T$5=$B114,INDEX(Decrements!$F$6:$F$58,Census!$G114+T$5-18),0)+INDEX(Decrements!$E$6:$E$58,Census!$G114+T$5-18)*IF((Census!$F114+T$5)&gt;=Assumptions!$B$11,1,0))*MIN(15/26*Census!$D114*(1+Assumptions!$B$9)^T$5*(INT((Census!$F114+T$5))+IF((Census!$F114+T$5)-INT((Census!$F114+T$5))&gt;0.5,1,0)),Assumptions!$B$10))</f>
        <v>17108.159245155817</v>
      </c>
      <c r="U114" s="30">
        <f>IF(U$5&gt;$B114,0,INDEX(Decrements!$G$6:$G$58,Census!$G114+U$5-18)/INDEX(Decrements!$G$6:$G$58,Census!$G114-17)*(INDEX(Decrements!$D$6:$D$58,Census!$G114+U$5-18)+IF(U$5=$B114,INDEX(Decrements!$F$6:$F$58,Census!$G114+U$5-18),0)+INDEX(Decrements!$E$6:$E$58,Census!$G114+U$5-18)*IF((Census!$F114+U$5)&gt;=Assumptions!$B$11,1,0))*MIN(15/26*Census!$D114*(1+Assumptions!$B$9)^U$5*(INT((Census!$F114+U$5))+IF((Census!$F114+U$5)-INT((Census!$F114+U$5))&gt;0.5,1,0)),Assumptions!$B$10))</f>
        <v>16905.930320644027</v>
      </c>
      <c r="V114" s="30">
        <f>IF(V$5&gt;$B114,0,INDEX(Decrements!$G$6:$G$58,Census!$G114+V$5-18)/INDEX(Decrements!$G$6:$G$58,Census!$G114-17)*(INDEX(Decrements!$D$6:$D$58,Census!$G114+V$5-18)+IF(V$5=$B114,INDEX(Decrements!$F$6:$F$58,Census!$G114+V$5-18),0)+INDEX(Decrements!$E$6:$E$58,Census!$G114+V$5-18)*IF((Census!$F114+V$5)&gt;=Assumptions!$B$11,1,0))*MIN(15/26*Census!$D114*(1+Assumptions!$B$9)^V$5*(INT((Census!$F114+V$5))+IF((Census!$F114+V$5)-INT((Census!$F114+V$5))&gt;0.5,1,0)),Assumptions!$B$10))</f>
        <v>16718.104565574115</v>
      </c>
      <c r="W114" s="30">
        <f>IF(W$5&gt;$B114,0,INDEX(Decrements!$G$6:$G$58,Census!$G114+W$5-18)/INDEX(Decrements!$G$6:$G$58,Census!$G114-17)*(INDEX(Decrements!$D$6:$D$58,Census!$G114+W$5-18)+IF(W$5=$B114,INDEX(Decrements!$F$6:$F$58,Census!$G114+W$5-18),0)+INDEX(Decrements!$E$6:$E$58,Census!$G114+W$5-18)*IF((Census!$F114+W$5)&gt;=Assumptions!$B$11,1,0))*MIN(15/26*Census!$D114*(1+Assumptions!$B$9)^W$5*(INT((Census!$F114+W$5))+IF((Census!$F114+W$5)-INT((Census!$F114+W$5))&gt;0.5,1,0)),Assumptions!$B$10))</f>
        <v>16544.989028592052</v>
      </c>
      <c r="X114" s="30">
        <f>IF(X$5&gt;$B114,0,INDEX(Decrements!$G$6:$G$58,Census!$G114+X$5-18)/INDEX(Decrements!$G$6:$G$58,Census!$G114-17)*(INDEX(Decrements!$D$6:$D$58,Census!$G114+X$5-18)+IF(X$5=$B114,INDEX(Decrements!$F$6:$F$58,Census!$G114+X$5-18),0)+INDEX(Decrements!$E$6:$E$58,Census!$G114+X$5-18)*IF((Census!$F114+X$5)&gt;=Assumptions!$B$11,1,0))*MIN(15/26*Census!$D114*(1+Assumptions!$B$9)^X$5*(INT((Census!$F114+X$5))+IF((Census!$F114+X$5)-INT((Census!$F114+X$5))&gt;0.5,1,0)),Assumptions!$B$10))</f>
        <v>9664.5607352137376</v>
      </c>
      <c r="Y114" s="30">
        <f>IF(Y$5&gt;$B114,0,INDEX(Decrements!$G$6:$G$58,Census!$G114+Y$5-18)/INDEX(Decrements!$G$6:$G$58,Census!$G114-17)*(INDEX(Decrements!$D$6:$D$58,Census!$G114+Y$5-18)+IF(Y$5=$B114,INDEX(Decrements!$F$6:$F$58,Census!$G114+Y$5-18),0)+INDEX(Decrements!$E$6:$E$58,Census!$G114+Y$5-18)*IF((Census!$F114+Y$5)&gt;=Assumptions!$B$11,1,0))*MIN(15/26*Census!$D114*(1+Assumptions!$B$9)^Y$5*(INT((Census!$F114+Y$5))+IF((Census!$F114+Y$5)-INT((Census!$F114+Y$5))&gt;0.5,1,0)),Assumptions!$B$10))</f>
        <v>9786.4142018456332</v>
      </c>
      <c r="Z114" s="30">
        <f>IF(Z$5&gt;$B114,0,INDEX(Decrements!$G$6:$G$58,Census!$G114+Z$5-18)/INDEX(Decrements!$G$6:$G$58,Census!$G114-17)*(INDEX(Decrements!$D$6:$D$58,Census!$G114+Z$5-18)+IF(Z$5=$B114,INDEX(Decrements!$F$6:$F$58,Census!$G114+Z$5-18),0)+INDEX(Decrements!$E$6:$E$58,Census!$G114+Z$5-18)*IF((Census!$F114+Z$5)&gt;=Assumptions!$B$11,1,0))*MIN(15/26*Census!$D114*(1+Assumptions!$B$9)^Z$5*(INT((Census!$F114+Z$5))+IF((Census!$F114+Z$5)-INT((Census!$F114+Z$5))&gt;0.5,1,0)),Assumptions!$B$10))</f>
        <v>9924.3903690865664</v>
      </c>
      <c r="AA114" s="30">
        <f>IF(AA$5&gt;$B114,0,INDEX(Decrements!$G$6:$G$58,Census!$G114+AA$5-18)/INDEX(Decrements!$G$6:$G$58,Census!$G114-17)*(INDEX(Decrements!$D$6:$D$58,Census!$G114+AA$5-18)+IF(AA$5=$B114,INDEX(Decrements!$F$6:$F$58,Census!$G114+AA$5-18),0)+INDEX(Decrements!$E$6:$E$58,Census!$G114+AA$5-18)*IF((Census!$F114+AA$5)&gt;=Assumptions!$B$11,1,0))*MIN(15/26*Census!$D114*(1+Assumptions!$B$9)^AA$5*(INT((Census!$F114+AA$5))+IF((Census!$F114+AA$5)-INT((Census!$F114+AA$5))&gt;0.5,1,0)),Assumptions!$B$10))</f>
        <v>10079.42699416902</v>
      </c>
      <c r="AB114" s="30">
        <f>IF(AB$5&gt;$B114,0,INDEX(Decrements!$G$6:$G$58,Census!$G114+AB$5-18)/INDEX(Decrements!$G$6:$G$58,Census!$G114-17)*(INDEX(Decrements!$D$6:$D$58,Census!$G114+AB$5-18)+IF(AB$5=$B114,INDEX(Decrements!$F$6:$F$58,Census!$G114+AB$5-18),0)+INDEX(Decrements!$E$6:$E$58,Census!$G114+AB$5-18)*IF((Census!$F114+AB$5)&gt;=Assumptions!$B$11,1,0))*MIN(15/26*Census!$D114*(1+Assumptions!$B$9)^AB$5*(INT((Census!$F114+AB$5))+IF((Census!$F114+AB$5)-INT((Census!$F114+AB$5))&gt;0.5,1,0)),Assumptions!$B$10))</f>
        <v>635721.01573537174</v>
      </c>
      <c r="AC114" s="30">
        <f>IF(AC$5&gt;$B114,0,INDEX(Decrements!$G$6:$G$58,Census!$G114+AC$5-18)/INDEX(Decrements!$G$6:$G$58,Census!$G114-17)*(INDEX(Decrements!$D$6:$D$58,Census!$G114+AC$5-18)+IF(AC$5=$B114,INDEX(Decrements!$F$6:$F$58,Census!$G114+AC$5-18),0)+INDEX(Decrements!$E$6:$E$58,Census!$G114+AC$5-18)*IF((Census!$F114+AC$5)&gt;=Assumptions!$B$11,1,0))*MIN(15/26*Census!$D114*(1+Assumptions!$B$9)^AC$5*(INT((Census!$F114+AC$5))+IF((Census!$F114+AC$5)-INT((Census!$F114+AC$5))&gt;0.5,1,0)),Assumptions!$B$10))</f>
        <v>0</v>
      </c>
      <c r="AD114" s="30">
        <f>IF(AD$5&gt;$B114,0,INDEX(Decrements!$G$6:$G$58,Census!$G114+AD$5-18)/INDEX(Decrements!$G$6:$G$58,Census!$G114-17)*(INDEX(Decrements!$D$6:$D$58,Census!$G114+AD$5-18)+IF(AD$5=$B114,INDEX(Decrements!$F$6:$F$58,Census!$G114+AD$5-18),0)+INDEX(Decrements!$E$6:$E$58,Census!$G114+AD$5-18)*IF((Census!$F114+AD$5)&gt;=Assumptions!$B$11,1,0))*MIN(15/26*Census!$D114*(1+Assumptions!$B$9)^AD$5*(INT((Census!$F114+AD$5))+IF((Census!$F114+AD$5)-INT((Census!$F114+AD$5))&gt;0.5,1,0)),Assumptions!$B$10))</f>
        <v>0</v>
      </c>
      <c r="AE114" s="30">
        <f>IF(AE$5&gt;$B114,0,INDEX(Decrements!$G$6:$G$58,Census!$G114+AE$5-18)/INDEX(Decrements!$G$6:$G$58,Census!$G114-17)*(INDEX(Decrements!$D$6:$D$58,Census!$G114+AE$5-18)+IF(AE$5=$B114,INDEX(Decrements!$F$6:$F$58,Census!$G114+AE$5-18),0)+INDEX(Decrements!$E$6:$E$58,Census!$G114+AE$5-18)*IF((Census!$F114+AE$5)&gt;=Assumptions!$B$11,1,0))*MIN(15/26*Census!$D114*(1+Assumptions!$B$9)^AE$5*(INT((Census!$F114+AE$5))+IF((Census!$F114+AE$5)-INT((Census!$F114+AE$5))&gt;0.5,1,0)),Assumptions!$B$10))</f>
        <v>0</v>
      </c>
      <c r="AF114" s="30">
        <f>IF(AF$5&gt;$B114,0,INDEX(Decrements!$G$6:$G$58,Census!$G114+AF$5-18)/INDEX(Decrements!$G$6:$G$58,Census!$G114-17)*(INDEX(Decrements!$D$6:$D$58,Census!$G114+AF$5-18)+IF(AF$5=$B114,INDEX(Decrements!$F$6:$F$58,Census!$G114+AF$5-18),0)+INDEX(Decrements!$E$6:$E$58,Census!$G114+AF$5-18)*IF((Census!$F114+AF$5)&gt;=Assumptions!$B$11,1,0))*MIN(15/26*Census!$D114*(1+Assumptions!$B$9)^AF$5*(INT((Census!$F114+AF$5))+IF((Census!$F114+AF$5)-INT((Census!$F114+AF$5))&gt;0.5,1,0)),Assumptions!$B$10))</f>
        <v>0</v>
      </c>
      <c r="AG114" s="30">
        <f>IF(AG$5&gt;$B114,0,INDEX(Decrements!$G$6:$G$58,Census!$G114+AG$5-18)/INDEX(Decrements!$G$6:$G$58,Census!$G114-17)*(INDEX(Decrements!$D$6:$D$58,Census!$G114+AG$5-18)+IF(AG$5=$B114,INDEX(Decrements!$F$6:$F$58,Census!$G114+AG$5-18),0)+INDEX(Decrements!$E$6:$E$58,Census!$G114+AG$5-18)*IF((Census!$F114+AG$5)&gt;=Assumptions!$B$11,1,0))*MIN(15/26*Census!$D114*(1+Assumptions!$B$9)^AG$5*(INT((Census!$F114+AG$5))+IF((Census!$F114+AG$5)-INT((Census!$F114+AG$5))&gt;0.5,1,0)),Assumptions!$B$10))</f>
        <v>0</v>
      </c>
      <c r="AH114" s="30">
        <f>IF(AH$5&gt;$B114,0,INDEX(Decrements!$G$6:$G$58,Census!$G114+AH$5-18)/INDEX(Decrements!$G$6:$G$58,Census!$G114-17)*(INDEX(Decrements!$D$6:$D$58,Census!$G114+AH$5-18)+IF(AH$5=$B114,INDEX(Decrements!$F$6:$F$58,Census!$G114+AH$5-18),0)+INDEX(Decrements!$E$6:$E$58,Census!$G114+AH$5-18)*IF((Census!$F114+AH$5)&gt;=Assumptions!$B$11,1,0))*MIN(15/26*Census!$D114*(1+Assumptions!$B$9)^AH$5*(INT((Census!$F114+AH$5))+IF((Census!$F114+AH$5)-INT((Census!$F114+AH$5))&gt;0.5,1,0)),Assumptions!$B$10))</f>
        <v>0</v>
      </c>
      <c r="AI114" s="30">
        <f>IF(AI$5&gt;$B114,0,INDEX(Decrements!$G$6:$G$58,Census!$G114+AI$5-18)/INDEX(Decrements!$G$6:$G$58,Census!$G114-17)*(INDEX(Decrements!$D$6:$D$58,Census!$G114+AI$5-18)+IF(AI$5=$B114,INDEX(Decrements!$F$6:$F$58,Census!$G114+AI$5-18),0)+INDEX(Decrements!$E$6:$E$58,Census!$G114+AI$5-18)*IF((Census!$F114+AI$5)&gt;=Assumptions!$B$11,1,0))*MIN(15/26*Census!$D114*(1+Assumptions!$B$9)^AI$5*(INT((Census!$F114+AI$5))+IF((Census!$F114+AI$5)-INT((Census!$F114+AI$5))&gt;0.5,1,0)),Assumptions!$B$10))</f>
        <v>0</v>
      </c>
      <c r="AJ114" s="30">
        <f>IF(AJ$5&gt;$B114,0,INDEX(Decrements!$G$6:$G$58,Census!$G114+AJ$5-18)/INDEX(Decrements!$G$6:$G$58,Census!$G114-17)*(INDEX(Decrements!$D$6:$D$58,Census!$G114+AJ$5-18)+IF(AJ$5=$B114,INDEX(Decrements!$F$6:$F$58,Census!$G114+AJ$5-18),0)+INDEX(Decrements!$E$6:$E$58,Census!$G114+AJ$5-18)*IF((Census!$F114+AJ$5)&gt;=Assumptions!$B$11,1,0))*MIN(15/26*Census!$D114*(1+Assumptions!$B$9)^AJ$5*(INT((Census!$F114+AJ$5))+IF((Census!$F114+AJ$5)-INT((Census!$F114+AJ$5))&gt;0.5,1,0)),Assumptions!$B$10))</f>
        <v>0</v>
      </c>
      <c r="AK114" s="30">
        <f>IF(AK$5&gt;$B114,0,INDEX(Decrements!$G$6:$G$58,Census!$G114+AK$5-18)/INDEX(Decrements!$G$6:$G$58,Census!$G114-17)*(INDEX(Decrements!$D$6:$D$58,Census!$G114+AK$5-18)+IF(AK$5=$B114,INDEX(Decrements!$F$6:$F$58,Census!$G114+AK$5-18),0)+INDEX(Decrements!$E$6:$E$58,Census!$G114+AK$5-18)*IF((Census!$F114+AK$5)&gt;=Assumptions!$B$11,1,0))*MIN(15/26*Census!$D114*(1+Assumptions!$B$9)^AK$5*(INT((Census!$F114+AK$5))+IF((Census!$F114+AK$5)-INT((Census!$F114+AK$5))&gt;0.5,1,0)),Assumptions!$B$10))</f>
        <v>0</v>
      </c>
      <c r="AL114" s="30">
        <f>IF(AL$5&gt;$B114,0,INDEX(Decrements!$G$6:$G$58,Census!$G114+AL$5-18)/INDEX(Decrements!$G$6:$G$58,Census!$G114-17)*(INDEX(Decrements!$D$6:$D$58,Census!$G114+AL$5-18)+IF(AL$5=$B114,INDEX(Decrements!$F$6:$F$58,Census!$G114+AL$5-18),0)+INDEX(Decrements!$E$6:$E$58,Census!$G114+AL$5-18)*IF((Census!$F114+AL$5)&gt;=Assumptions!$B$11,1,0))*MIN(15/26*Census!$D114*(1+Assumptions!$B$9)^AL$5*(INT((Census!$F114+AL$5))+IF((Census!$F114+AL$5)-INT((Census!$F114+AL$5))&gt;0.5,1,0)),Assumptions!$B$10))</f>
        <v>0</v>
      </c>
      <c r="AM114" s="30">
        <f>IF(AM$5&gt;$B114,0,INDEX(Decrements!$G$6:$G$58,Census!$G114+AM$5-18)/INDEX(Decrements!$G$6:$G$58,Census!$G114-17)*(INDEX(Decrements!$D$6:$D$58,Census!$G114+AM$5-18)+IF(AM$5=$B114,INDEX(Decrements!$F$6:$F$58,Census!$G114+AM$5-18),0)+INDEX(Decrements!$E$6:$E$58,Census!$G114+AM$5-18)*IF((Census!$F114+AM$5)&gt;=Assumptions!$B$11,1,0))*MIN(15/26*Census!$D114*(1+Assumptions!$B$9)^AM$5*(INT((Census!$F114+AM$5))+IF((Census!$F114+AM$5)-INT((Census!$F114+AM$5))&gt;0.5,1,0)),Assumptions!$B$10))</f>
        <v>0</v>
      </c>
      <c r="AN114" s="30">
        <f>IF(AN$5&gt;$B114,0,INDEX(Decrements!$G$6:$G$58,Census!$G114+AN$5-18)/INDEX(Decrements!$G$6:$G$58,Census!$G114-17)*(INDEX(Decrements!$D$6:$D$58,Census!$G114+AN$5-18)+IF(AN$5=$B114,INDEX(Decrements!$F$6:$F$58,Census!$G114+AN$5-18),0)+INDEX(Decrements!$E$6:$E$58,Census!$G114+AN$5-18)*IF((Census!$F114+AN$5)&gt;=Assumptions!$B$11,1,0))*MIN(15/26*Census!$D114*(1+Assumptions!$B$9)^AN$5*(INT((Census!$F114+AN$5))+IF((Census!$F114+AN$5)-INT((Census!$F114+AN$5))&gt;0.5,1,0)),Assumptions!$B$10))</f>
        <v>0</v>
      </c>
      <c r="AO114" s="30">
        <f>IF(AO$5&gt;$B114,0,INDEX(Decrements!$G$6:$G$58,Census!$G114+AO$5-18)/INDEX(Decrements!$G$6:$G$58,Census!$G114-17)*(INDEX(Decrements!$D$6:$D$58,Census!$G114+AO$5-18)+IF(AO$5=$B114,INDEX(Decrements!$F$6:$F$58,Census!$G114+AO$5-18),0)+INDEX(Decrements!$E$6:$E$58,Census!$G114+AO$5-18)*IF((Census!$F114+AO$5)&gt;=Assumptions!$B$11,1,0))*MIN(15/26*Census!$D114*(1+Assumptions!$B$9)^AO$5*(INT((Census!$F114+AO$5))+IF((Census!$F114+AO$5)-INT((Census!$F114+AO$5))&gt;0.5,1,0)),Assumptions!$B$10))</f>
        <v>0</v>
      </c>
      <c r="AP114" s="30">
        <f>IF(AP$5&gt;$B114,0,INDEX(Decrements!$G$6:$G$58,Census!$G114+AP$5-18)/INDEX(Decrements!$G$6:$G$58,Census!$G114-17)*(INDEX(Decrements!$D$6:$D$58,Census!$G114+AP$5-18)+IF(AP$5=$B114,INDEX(Decrements!$F$6:$F$58,Census!$G114+AP$5-18),0)+INDEX(Decrements!$E$6:$E$58,Census!$G114+AP$5-18)*IF((Census!$F114+AP$5)&gt;=Assumptions!$B$11,1,0))*MIN(15/26*Census!$D114*(1+Assumptions!$B$9)^AP$5*(INT((Census!$F114+AP$5))+IF((Census!$F114+AP$5)-INT((Census!$F114+AP$5))&gt;0.5,1,0)),Assumptions!$B$10))</f>
        <v>0</v>
      </c>
      <c r="AQ114" s="30">
        <f>IF(AQ$5&gt;$B114,0,INDEX(Decrements!$G$6:$G$58,Census!$G114+AQ$5-18)/INDEX(Decrements!$G$6:$G$58,Census!$G114-17)*(INDEX(Decrements!$D$6:$D$58,Census!$G114+AQ$5-18)+IF(AQ$5=$B114,INDEX(Decrements!$F$6:$F$58,Census!$G114+AQ$5-18),0)+INDEX(Decrements!$E$6:$E$58,Census!$G114+AQ$5-18)*IF((Census!$F114+AQ$5)&gt;=Assumptions!$B$11,1,0))*MIN(15/26*Census!$D114*(1+Assumptions!$B$9)^AQ$5*(INT((Census!$F114+AQ$5))+IF((Census!$F114+AQ$5)-INT((Census!$F114+AQ$5))&gt;0.5,1,0)),Assumptions!$B$10))</f>
        <v>0</v>
      </c>
      <c r="AR114" s="30">
        <f>IF(AR$5&gt;$B114,0,INDEX(Decrements!$G$6:$G$58,Census!$G114+AR$5-18)/INDEX(Decrements!$G$6:$G$58,Census!$G114-17)*(INDEX(Decrements!$D$6:$D$58,Census!$G114+AR$5-18)+IF(AR$5=$B114,INDEX(Decrements!$F$6:$F$58,Census!$G114+AR$5-18),0)+INDEX(Decrements!$E$6:$E$58,Census!$G114+AR$5-18)*IF((Census!$F114+AR$5)&gt;=Assumptions!$B$11,1,0))*MIN(15/26*Census!$D114*(1+Assumptions!$B$9)^AR$5*(INT((Census!$F114+AR$5))+IF((Census!$F114+AR$5)-INT((Census!$F114+AR$5))&gt;0.5,1,0)),Assumptions!$B$10))</f>
        <v>0</v>
      </c>
      <c r="AS114" s="30">
        <f>IF(AS$5&gt;$B114,0,INDEX(Decrements!$G$6:$G$58,Census!$G114+AS$5-18)/INDEX(Decrements!$G$6:$G$58,Census!$G114-17)*(INDEX(Decrements!$D$6:$D$58,Census!$G114+AS$5-18)+IF(AS$5=$B114,INDEX(Decrements!$F$6:$F$58,Census!$G114+AS$5-18),0)+INDEX(Decrements!$E$6:$E$58,Census!$G114+AS$5-18)*IF((Census!$F114+AS$5)&gt;=Assumptions!$B$11,1,0))*MIN(15/26*Census!$D114*(1+Assumptions!$B$9)^AS$5*(INT((Census!$F114+AS$5))+IF((Census!$F114+AS$5)-INT((Census!$F114+AS$5))&gt;0.5,1,0)),Assumptions!$B$10))</f>
        <v>0</v>
      </c>
      <c r="AT114" s="30">
        <f>IF(AT$5&gt;$B114,0,INDEX(Decrements!$G$6:$G$58,Census!$G114+AT$5-18)/INDEX(Decrements!$G$6:$G$58,Census!$G114-17)*(INDEX(Decrements!$D$6:$D$58,Census!$G114+AT$5-18)+IF(AT$5=$B114,INDEX(Decrements!$F$6:$F$58,Census!$G114+AT$5-18),0)+INDEX(Decrements!$E$6:$E$58,Census!$G114+AT$5-18)*IF((Census!$F114+AT$5)&gt;=Assumptions!$B$11,1,0))*MIN(15/26*Census!$D114*(1+Assumptions!$B$9)^AT$5*(INT((Census!$F114+AT$5))+IF((Census!$F114+AT$5)-INT((Census!$F114+AT$5))&gt;0.5,1,0)),Assumptions!$B$10))</f>
        <v>0</v>
      </c>
      <c r="AU114" s="30">
        <f>IF(AU$5&gt;$B114,0,INDEX(Decrements!$G$6:$G$58,Census!$G114+AU$5-18)/INDEX(Decrements!$G$6:$G$58,Census!$G114-17)*(INDEX(Decrements!$D$6:$D$58,Census!$G114+AU$5-18)+IF(AU$5=$B114,INDEX(Decrements!$F$6:$F$58,Census!$G114+AU$5-18),0)+INDEX(Decrements!$E$6:$E$58,Census!$G114+AU$5-18)*IF((Census!$F114+AU$5)&gt;=Assumptions!$B$11,1,0))*MIN(15/26*Census!$D114*(1+Assumptions!$B$9)^AU$5*(INT((Census!$F114+AU$5))+IF((Census!$F114+AU$5)-INT((Census!$F114+AU$5))&gt;0.5,1,0)),Assumptions!$B$10))</f>
        <v>0</v>
      </c>
    </row>
    <row r="115" spans="1:47" x14ac:dyDescent="0.3">
      <c r="A115" s="10" t="str">
        <f>Census!A115</f>
        <v>E110</v>
      </c>
      <c r="B115" s="29">
        <f>Census!H115</f>
        <v>16</v>
      </c>
      <c r="C115" s="30">
        <f>IF(C$5&gt;$B115,0,INDEX(Decrements!$G$6:$G$58,Census!$G115+C$5-18)/INDEX(Decrements!$G$6:$G$58,Census!$G115-17)*(INDEX(Decrements!$D$6:$D$58,Census!$G115+C$5-18)+IF(C$5=$B115,INDEX(Decrements!$F$6:$F$58,Census!$G115+C$5-18),0)+INDEX(Decrements!$E$6:$E$58,Census!$G115+C$5-18)*IF((Census!$F115+C$5)&gt;=Assumptions!$B$11,1,0))*MIN(15/26*Census!$D115*(1+Assumptions!$B$9)^C$5*(INT((Census!$F115+C$5))+IF((Census!$F115+C$5)-INT((Census!$F115+C$5))&gt;0.5,1,0)),Assumptions!$B$10))</f>
        <v>46540.955369218966</v>
      </c>
      <c r="D115" s="30">
        <f>IF(D$5&gt;$B115,0,INDEX(Decrements!$G$6:$G$58,Census!$G115+D$5-18)/INDEX(Decrements!$G$6:$G$58,Census!$G115-17)*(INDEX(Decrements!$D$6:$D$58,Census!$G115+D$5-18)+IF(D$5=$B115,INDEX(Decrements!$F$6:$F$58,Census!$G115+D$5-18),0)+INDEX(Decrements!$E$6:$E$58,Census!$G115+D$5-18)*IF((Census!$F115+D$5)&gt;=Assumptions!$B$11,1,0))*MIN(15/26*Census!$D115*(1+Assumptions!$B$9)^D$5*(INT((Census!$F115+D$5))+IF((Census!$F115+D$5)-INT((Census!$F115+D$5))&gt;0.5,1,0)),Assumptions!$B$10))</f>
        <v>31219.657869075381</v>
      </c>
      <c r="E115" s="30">
        <f>IF(E$5&gt;$B115,0,INDEX(Decrements!$G$6:$G$58,Census!$G115+E$5-18)/INDEX(Decrements!$G$6:$G$58,Census!$G115-17)*(INDEX(Decrements!$D$6:$D$58,Census!$G115+E$5-18)+IF(E$5=$B115,INDEX(Decrements!$F$6:$F$58,Census!$G115+E$5-18),0)+INDEX(Decrements!$E$6:$E$58,Census!$G115+E$5-18)*IF((Census!$F115+E$5)&gt;=Assumptions!$B$11,1,0))*MIN(15/26*Census!$D115*(1+Assumptions!$B$9)^E$5*(INT((Census!$F115+E$5))+IF((Census!$F115+E$5)-INT((Census!$F115+E$5))&gt;0.5,1,0)),Assumptions!$B$10))</f>
        <v>34723.404194455368</v>
      </c>
      <c r="F115" s="30">
        <f>IF(F$5&gt;$B115,0,INDEX(Decrements!$G$6:$G$58,Census!$G115+F$5-18)/INDEX(Decrements!$G$6:$G$58,Census!$G115-17)*(INDEX(Decrements!$D$6:$D$58,Census!$G115+F$5-18)+IF(F$5=$B115,INDEX(Decrements!$F$6:$F$58,Census!$G115+F$5-18),0)+INDEX(Decrements!$E$6:$E$58,Census!$G115+F$5-18)*IF((Census!$F115+F$5)&gt;=Assumptions!$B$11,1,0))*MIN(15/26*Census!$D115*(1+Assumptions!$B$9)^F$5*(INT((Census!$F115+F$5))+IF((Census!$F115+F$5)-INT((Census!$F115+F$5))&gt;0.5,1,0)),Assumptions!$B$10))</f>
        <v>38512.150206969716</v>
      </c>
      <c r="G115" s="30">
        <f>IF(G$5&gt;$B115,0,INDEX(Decrements!$G$6:$G$58,Census!$G115+G$5-18)/INDEX(Decrements!$G$6:$G$58,Census!$G115-17)*(INDEX(Decrements!$D$6:$D$58,Census!$G115+G$5-18)+IF(G$5=$B115,INDEX(Decrements!$F$6:$F$58,Census!$G115+G$5-18),0)+INDEX(Decrements!$E$6:$E$58,Census!$G115+G$5-18)*IF((Census!$F115+G$5)&gt;=Assumptions!$B$11,1,0))*MIN(15/26*Census!$D115*(1+Assumptions!$B$9)^G$5*(INT((Census!$F115+G$5))+IF((Census!$F115+G$5)-INT((Census!$F115+G$5))&gt;0.5,1,0)),Assumptions!$B$10))</f>
        <v>42609.116700788181</v>
      </c>
      <c r="H115" s="30">
        <f>IF(H$5&gt;$B115,0,INDEX(Decrements!$G$6:$G$58,Census!$G115+H$5-18)/INDEX(Decrements!$G$6:$G$58,Census!$G115-17)*(INDEX(Decrements!$D$6:$D$58,Census!$G115+H$5-18)+IF(H$5=$B115,INDEX(Decrements!$F$6:$F$58,Census!$G115+H$5-18),0)+INDEX(Decrements!$E$6:$E$58,Census!$G115+H$5-18)*IF((Census!$F115+H$5)&gt;=Assumptions!$B$11,1,0))*MIN(15/26*Census!$D115*(1+Assumptions!$B$9)^H$5*(INT((Census!$F115+H$5))+IF((Census!$F115+H$5)-INT((Census!$F115+H$5))&gt;0.5,1,0)),Assumptions!$B$10))</f>
        <v>47039.748251437821</v>
      </c>
      <c r="I115" s="30">
        <f>IF(I$5&gt;$B115,0,INDEX(Decrements!$G$6:$G$58,Census!$G115+I$5-18)/INDEX(Decrements!$G$6:$G$58,Census!$G115-17)*(INDEX(Decrements!$D$6:$D$58,Census!$G115+I$5-18)+IF(I$5=$B115,INDEX(Decrements!$F$6:$F$58,Census!$G115+I$5-18),0)+INDEX(Decrements!$E$6:$E$58,Census!$G115+I$5-18)*IF((Census!$F115+I$5)&gt;=Assumptions!$B$11,1,0))*MIN(15/26*Census!$D115*(1+Assumptions!$B$9)^I$5*(INT((Census!$F115+I$5))+IF((Census!$F115+I$5)-INT((Census!$F115+I$5))&gt;0.5,1,0)),Assumptions!$B$10))</f>
        <v>36061.967072728236</v>
      </c>
      <c r="J115" s="30">
        <f>IF(J$5&gt;$B115,0,INDEX(Decrements!$G$6:$G$58,Census!$G115+J$5-18)/INDEX(Decrements!$G$6:$G$58,Census!$G115-17)*(INDEX(Decrements!$D$6:$D$58,Census!$G115+J$5-18)+IF(J$5=$B115,INDEX(Decrements!$F$6:$F$58,Census!$G115+J$5-18),0)+INDEX(Decrements!$E$6:$E$58,Census!$G115+J$5-18)*IF((Census!$F115+J$5)&gt;=Assumptions!$B$11,1,0))*MIN(15/26*Census!$D115*(1+Assumptions!$B$9)^J$5*(INT((Census!$F115+J$5))+IF((Census!$F115+J$5)-INT((Census!$F115+J$5))&gt;0.5,1,0)),Assumptions!$B$10))</f>
        <v>36259.974987660207</v>
      </c>
      <c r="K115" s="30">
        <f>IF(K$5&gt;$B115,0,INDEX(Decrements!$G$6:$G$58,Census!$G115+K$5-18)/INDEX(Decrements!$G$6:$G$58,Census!$G115-17)*(INDEX(Decrements!$D$6:$D$58,Census!$G115+K$5-18)+IF(K$5=$B115,INDEX(Decrements!$F$6:$F$58,Census!$G115+K$5-18),0)+INDEX(Decrements!$E$6:$E$58,Census!$G115+K$5-18)*IF((Census!$F115+K$5)&gt;=Assumptions!$B$11,1,0))*MIN(15/26*Census!$D115*(1+Assumptions!$B$9)^K$5*(INT((Census!$F115+K$5))+IF((Census!$F115+K$5)-INT((Census!$F115+K$5))&gt;0.5,1,0)),Assumptions!$B$10))</f>
        <v>35831.359866681887</v>
      </c>
      <c r="L115" s="30">
        <f>IF(L$5&gt;$B115,0,INDEX(Decrements!$G$6:$G$58,Census!$G115+L$5-18)/INDEX(Decrements!$G$6:$G$58,Census!$G115-17)*(INDEX(Decrements!$D$6:$D$58,Census!$G115+L$5-18)+IF(L$5=$B115,INDEX(Decrements!$F$6:$F$58,Census!$G115+L$5-18),0)+INDEX(Decrements!$E$6:$E$58,Census!$G115+L$5-18)*IF((Census!$F115+L$5)&gt;=Assumptions!$B$11,1,0))*MIN(15/26*Census!$D115*(1+Assumptions!$B$9)^L$5*(INT((Census!$F115+L$5))+IF((Census!$F115+L$5)-INT((Census!$F115+L$5))&gt;0.5,1,0)),Assumptions!$B$10))</f>
        <v>35433.271616316677</v>
      </c>
      <c r="M115" s="30">
        <f>IF(M$5&gt;$B115,0,INDEX(Decrements!$G$6:$G$58,Census!$G115+M$5-18)/INDEX(Decrements!$G$6:$G$58,Census!$G115-17)*(INDEX(Decrements!$D$6:$D$58,Census!$G115+M$5-18)+IF(M$5=$B115,INDEX(Decrements!$F$6:$F$58,Census!$G115+M$5-18),0)+INDEX(Decrements!$E$6:$E$58,Census!$G115+M$5-18)*IF((Census!$F115+M$5)&gt;=Assumptions!$B$11,1,0))*MIN(15/26*Census!$D115*(1+Assumptions!$B$9)^M$5*(INT((Census!$F115+M$5))+IF((Census!$F115+M$5)-INT((Census!$F115+M$5))&gt;0.5,1,0)),Assumptions!$B$10))</f>
        <v>35066.361012376496</v>
      </c>
      <c r="N115" s="30">
        <f>IF(N$5&gt;$B115,0,INDEX(Decrements!$G$6:$G$58,Census!$G115+N$5-18)/INDEX(Decrements!$G$6:$G$58,Census!$G115-17)*(INDEX(Decrements!$D$6:$D$58,Census!$G115+N$5-18)+IF(N$5=$B115,INDEX(Decrements!$F$6:$F$58,Census!$G115+N$5-18),0)+INDEX(Decrements!$E$6:$E$58,Census!$G115+N$5-18)*IF((Census!$F115+N$5)&gt;=Assumptions!$B$11,1,0))*MIN(15/26*Census!$D115*(1+Assumptions!$B$9)^N$5*(INT((Census!$F115+N$5))+IF((Census!$F115+N$5)-INT((Census!$F115+N$5))&gt;0.5,1,0)),Assumptions!$B$10))</f>
        <v>20483.602327047509</v>
      </c>
      <c r="O115" s="30">
        <f>IF(O$5&gt;$B115,0,INDEX(Decrements!$G$6:$G$58,Census!$G115+O$5-18)/INDEX(Decrements!$G$6:$G$58,Census!$G115-17)*(INDEX(Decrements!$D$6:$D$58,Census!$G115+O$5-18)+IF(O$5=$B115,INDEX(Decrements!$F$6:$F$58,Census!$G115+O$5-18),0)+INDEX(Decrements!$E$6:$E$58,Census!$G115+O$5-18)*IF((Census!$F115+O$5)&gt;=Assumptions!$B$11,1,0))*MIN(15/26*Census!$D115*(1+Assumptions!$B$9)^O$5*(INT((Census!$F115+O$5))+IF((Census!$F115+O$5)-INT((Census!$F115+O$5))&gt;0.5,1,0)),Assumptions!$B$10))</f>
        <v>20741.86527567439</v>
      </c>
      <c r="P115" s="30">
        <f>IF(P$5&gt;$B115,0,INDEX(Decrements!$G$6:$G$58,Census!$G115+P$5-18)/INDEX(Decrements!$G$6:$G$58,Census!$G115-17)*(INDEX(Decrements!$D$6:$D$58,Census!$G115+P$5-18)+IF(P$5=$B115,INDEX(Decrements!$F$6:$F$58,Census!$G115+P$5-18),0)+INDEX(Decrements!$E$6:$E$58,Census!$G115+P$5-18)*IF((Census!$F115+P$5)&gt;=Assumptions!$B$11,1,0))*MIN(15/26*Census!$D115*(1+Assumptions!$B$9)^P$5*(INT((Census!$F115+P$5))+IF((Census!$F115+P$5)-INT((Census!$F115+P$5))&gt;0.5,1,0)),Assumptions!$B$10))</f>
        <v>21034.299563978442</v>
      </c>
      <c r="Q115" s="30">
        <f>IF(Q$5&gt;$B115,0,INDEX(Decrements!$G$6:$G$58,Census!$G115+Q$5-18)/INDEX(Decrements!$G$6:$G$58,Census!$G115-17)*(INDEX(Decrements!$D$6:$D$58,Census!$G115+Q$5-18)+IF(Q$5=$B115,INDEX(Decrements!$F$6:$F$58,Census!$G115+Q$5-18),0)+INDEX(Decrements!$E$6:$E$58,Census!$G115+Q$5-18)*IF((Census!$F115+Q$5)&gt;=Assumptions!$B$11,1,0))*MIN(15/26*Census!$D115*(1+Assumptions!$B$9)^Q$5*(INT((Census!$F115+Q$5))+IF((Census!$F115+Q$5)-INT((Census!$F115+Q$5))&gt;0.5,1,0)),Assumptions!$B$10))</f>
        <v>21362.892726287988</v>
      </c>
      <c r="R115" s="30">
        <f>IF(R$5&gt;$B115,0,INDEX(Decrements!$G$6:$G$58,Census!$G115+R$5-18)/INDEX(Decrements!$G$6:$G$58,Census!$G115-17)*(INDEX(Decrements!$D$6:$D$58,Census!$G115+R$5-18)+IF(R$5=$B115,INDEX(Decrements!$F$6:$F$58,Census!$G115+R$5-18),0)+INDEX(Decrements!$E$6:$E$58,Census!$G115+R$5-18)*IF((Census!$F115+R$5)&gt;=Assumptions!$B$11,1,0))*MIN(15/26*Census!$D115*(1+Assumptions!$B$9)^R$5*(INT((Census!$F115+R$5))+IF((Census!$F115+R$5)-INT((Census!$F115+R$5))&gt;0.5,1,0)),Assumptions!$B$10))</f>
        <v>1347382.135002133</v>
      </c>
      <c r="S115" s="30">
        <f>IF(S$5&gt;$B115,0,INDEX(Decrements!$G$6:$G$58,Census!$G115+S$5-18)/INDEX(Decrements!$G$6:$G$58,Census!$G115-17)*(INDEX(Decrements!$D$6:$D$58,Census!$G115+S$5-18)+IF(S$5=$B115,INDEX(Decrements!$F$6:$F$58,Census!$G115+S$5-18),0)+INDEX(Decrements!$E$6:$E$58,Census!$G115+S$5-18)*IF((Census!$F115+S$5)&gt;=Assumptions!$B$11,1,0))*MIN(15/26*Census!$D115*(1+Assumptions!$B$9)^S$5*(INT((Census!$F115+S$5))+IF((Census!$F115+S$5)-INT((Census!$F115+S$5))&gt;0.5,1,0)),Assumptions!$B$10))</f>
        <v>0</v>
      </c>
      <c r="T115" s="30">
        <f>IF(T$5&gt;$B115,0,INDEX(Decrements!$G$6:$G$58,Census!$G115+T$5-18)/INDEX(Decrements!$G$6:$G$58,Census!$G115-17)*(INDEX(Decrements!$D$6:$D$58,Census!$G115+T$5-18)+IF(T$5=$B115,INDEX(Decrements!$F$6:$F$58,Census!$G115+T$5-18),0)+INDEX(Decrements!$E$6:$E$58,Census!$G115+T$5-18)*IF((Census!$F115+T$5)&gt;=Assumptions!$B$11,1,0))*MIN(15/26*Census!$D115*(1+Assumptions!$B$9)^T$5*(INT((Census!$F115+T$5))+IF((Census!$F115+T$5)-INT((Census!$F115+T$5))&gt;0.5,1,0)),Assumptions!$B$10))</f>
        <v>0</v>
      </c>
      <c r="U115" s="30">
        <f>IF(U$5&gt;$B115,0,INDEX(Decrements!$G$6:$G$58,Census!$G115+U$5-18)/INDEX(Decrements!$G$6:$G$58,Census!$G115-17)*(INDEX(Decrements!$D$6:$D$58,Census!$G115+U$5-18)+IF(U$5=$B115,INDEX(Decrements!$F$6:$F$58,Census!$G115+U$5-18),0)+INDEX(Decrements!$E$6:$E$58,Census!$G115+U$5-18)*IF((Census!$F115+U$5)&gt;=Assumptions!$B$11,1,0))*MIN(15/26*Census!$D115*(1+Assumptions!$B$9)^U$5*(INT((Census!$F115+U$5))+IF((Census!$F115+U$5)-INT((Census!$F115+U$5))&gt;0.5,1,0)),Assumptions!$B$10))</f>
        <v>0</v>
      </c>
      <c r="V115" s="30">
        <f>IF(V$5&gt;$B115,0,INDEX(Decrements!$G$6:$G$58,Census!$G115+V$5-18)/INDEX(Decrements!$G$6:$G$58,Census!$G115-17)*(INDEX(Decrements!$D$6:$D$58,Census!$G115+V$5-18)+IF(V$5=$B115,INDEX(Decrements!$F$6:$F$58,Census!$G115+V$5-18),0)+INDEX(Decrements!$E$6:$E$58,Census!$G115+V$5-18)*IF((Census!$F115+V$5)&gt;=Assumptions!$B$11,1,0))*MIN(15/26*Census!$D115*(1+Assumptions!$B$9)^V$5*(INT((Census!$F115+V$5))+IF((Census!$F115+V$5)-INT((Census!$F115+V$5))&gt;0.5,1,0)),Assumptions!$B$10))</f>
        <v>0</v>
      </c>
      <c r="W115" s="30">
        <f>IF(W$5&gt;$B115,0,INDEX(Decrements!$G$6:$G$58,Census!$G115+W$5-18)/INDEX(Decrements!$G$6:$G$58,Census!$G115-17)*(INDEX(Decrements!$D$6:$D$58,Census!$G115+W$5-18)+IF(W$5=$B115,INDEX(Decrements!$F$6:$F$58,Census!$G115+W$5-18),0)+INDEX(Decrements!$E$6:$E$58,Census!$G115+W$5-18)*IF((Census!$F115+W$5)&gt;=Assumptions!$B$11,1,0))*MIN(15/26*Census!$D115*(1+Assumptions!$B$9)^W$5*(INT((Census!$F115+W$5))+IF((Census!$F115+W$5)-INT((Census!$F115+W$5))&gt;0.5,1,0)),Assumptions!$B$10))</f>
        <v>0</v>
      </c>
      <c r="X115" s="30">
        <f>IF(X$5&gt;$B115,0,INDEX(Decrements!$G$6:$G$58,Census!$G115+X$5-18)/INDEX(Decrements!$G$6:$G$58,Census!$G115-17)*(INDEX(Decrements!$D$6:$D$58,Census!$G115+X$5-18)+IF(X$5=$B115,INDEX(Decrements!$F$6:$F$58,Census!$G115+X$5-18),0)+INDEX(Decrements!$E$6:$E$58,Census!$G115+X$5-18)*IF((Census!$F115+X$5)&gt;=Assumptions!$B$11,1,0))*MIN(15/26*Census!$D115*(1+Assumptions!$B$9)^X$5*(INT((Census!$F115+X$5))+IF((Census!$F115+X$5)-INT((Census!$F115+X$5))&gt;0.5,1,0)),Assumptions!$B$10))</f>
        <v>0</v>
      </c>
      <c r="Y115" s="30">
        <f>IF(Y$5&gt;$B115,0,INDEX(Decrements!$G$6:$G$58,Census!$G115+Y$5-18)/INDEX(Decrements!$G$6:$G$58,Census!$G115-17)*(INDEX(Decrements!$D$6:$D$58,Census!$G115+Y$5-18)+IF(Y$5=$B115,INDEX(Decrements!$F$6:$F$58,Census!$G115+Y$5-18),0)+INDEX(Decrements!$E$6:$E$58,Census!$G115+Y$5-18)*IF((Census!$F115+Y$5)&gt;=Assumptions!$B$11,1,0))*MIN(15/26*Census!$D115*(1+Assumptions!$B$9)^Y$5*(INT((Census!$F115+Y$5))+IF((Census!$F115+Y$5)-INT((Census!$F115+Y$5))&gt;0.5,1,0)),Assumptions!$B$10))</f>
        <v>0</v>
      </c>
      <c r="Z115" s="30">
        <f>IF(Z$5&gt;$B115,0,INDEX(Decrements!$G$6:$G$58,Census!$G115+Z$5-18)/INDEX(Decrements!$G$6:$G$58,Census!$G115-17)*(INDEX(Decrements!$D$6:$D$58,Census!$G115+Z$5-18)+IF(Z$5=$B115,INDEX(Decrements!$F$6:$F$58,Census!$G115+Z$5-18),0)+INDEX(Decrements!$E$6:$E$58,Census!$G115+Z$5-18)*IF((Census!$F115+Z$5)&gt;=Assumptions!$B$11,1,0))*MIN(15/26*Census!$D115*(1+Assumptions!$B$9)^Z$5*(INT((Census!$F115+Z$5))+IF((Census!$F115+Z$5)-INT((Census!$F115+Z$5))&gt;0.5,1,0)),Assumptions!$B$10))</f>
        <v>0</v>
      </c>
      <c r="AA115" s="30">
        <f>IF(AA$5&gt;$B115,0,INDEX(Decrements!$G$6:$G$58,Census!$G115+AA$5-18)/INDEX(Decrements!$G$6:$G$58,Census!$G115-17)*(INDEX(Decrements!$D$6:$D$58,Census!$G115+AA$5-18)+IF(AA$5=$B115,INDEX(Decrements!$F$6:$F$58,Census!$G115+AA$5-18),0)+INDEX(Decrements!$E$6:$E$58,Census!$G115+AA$5-18)*IF((Census!$F115+AA$5)&gt;=Assumptions!$B$11,1,0))*MIN(15/26*Census!$D115*(1+Assumptions!$B$9)^AA$5*(INT((Census!$F115+AA$5))+IF((Census!$F115+AA$5)-INT((Census!$F115+AA$5))&gt;0.5,1,0)),Assumptions!$B$10))</f>
        <v>0</v>
      </c>
      <c r="AB115" s="30">
        <f>IF(AB$5&gt;$B115,0,INDEX(Decrements!$G$6:$G$58,Census!$G115+AB$5-18)/INDEX(Decrements!$G$6:$G$58,Census!$G115-17)*(INDEX(Decrements!$D$6:$D$58,Census!$G115+AB$5-18)+IF(AB$5=$B115,INDEX(Decrements!$F$6:$F$58,Census!$G115+AB$5-18),0)+INDEX(Decrements!$E$6:$E$58,Census!$G115+AB$5-18)*IF((Census!$F115+AB$5)&gt;=Assumptions!$B$11,1,0))*MIN(15/26*Census!$D115*(1+Assumptions!$B$9)^AB$5*(INT((Census!$F115+AB$5))+IF((Census!$F115+AB$5)-INT((Census!$F115+AB$5))&gt;0.5,1,0)),Assumptions!$B$10))</f>
        <v>0</v>
      </c>
      <c r="AC115" s="30">
        <f>IF(AC$5&gt;$B115,0,INDEX(Decrements!$G$6:$G$58,Census!$G115+AC$5-18)/INDEX(Decrements!$G$6:$G$58,Census!$G115-17)*(INDEX(Decrements!$D$6:$D$58,Census!$G115+AC$5-18)+IF(AC$5=$B115,INDEX(Decrements!$F$6:$F$58,Census!$G115+AC$5-18),0)+INDEX(Decrements!$E$6:$E$58,Census!$G115+AC$5-18)*IF((Census!$F115+AC$5)&gt;=Assumptions!$B$11,1,0))*MIN(15/26*Census!$D115*(1+Assumptions!$B$9)^AC$5*(INT((Census!$F115+AC$5))+IF((Census!$F115+AC$5)-INT((Census!$F115+AC$5))&gt;0.5,1,0)),Assumptions!$B$10))</f>
        <v>0</v>
      </c>
      <c r="AD115" s="30">
        <f>IF(AD$5&gt;$B115,0,INDEX(Decrements!$G$6:$G$58,Census!$G115+AD$5-18)/INDEX(Decrements!$G$6:$G$58,Census!$G115-17)*(INDEX(Decrements!$D$6:$D$58,Census!$G115+AD$5-18)+IF(AD$5=$B115,INDEX(Decrements!$F$6:$F$58,Census!$G115+AD$5-18),0)+INDEX(Decrements!$E$6:$E$58,Census!$G115+AD$5-18)*IF((Census!$F115+AD$5)&gt;=Assumptions!$B$11,1,0))*MIN(15/26*Census!$D115*(1+Assumptions!$B$9)^AD$5*(INT((Census!$F115+AD$5))+IF((Census!$F115+AD$5)-INT((Census!$F115+AD$5))&gt;0.5,1,0)),Assumptions!$B$10))</f>
        <v>0</v>
      </c>
      <c r="AE115" s="30">
        <f>IF(AE$5&gt;$B115,0,INDEX(Decrements!$G$6:$G$58,Census!$G115+AE$5-18)/INDEX(Decrements!$G$6:$G$58,Census!$G115-17)*(INDEX(Decrements!$D$6:$D$58,Census!$G115+AE$5-18)+IF(AE$5=$B115,INDEX(Decrements!$F$6:$F$58,Census!$G115+AE$5-18),0)+INDEX(Decrements!$E$6:$E$58,Census!$G115+AE$5-18)*IF((Census!$F115+AE$5)&gt;=Assumptions!$B$11,1,0))*MIN(15/26*Census!$D115*(1+Assumptions!$B$9)^AE$5*(INT((Census!$F115+AE$5))+IF((Census!$F115+AE$5)-INT((Census!$F115+AE$5))&gt;0.5,1,0)),Assumptions!$B$10))</f>
        <v>0</v>
      </c>
      <c r="AF115" s="30">
        <f>IF(AF$5&gt;$B115,0,INDEX(Decrements!$G$6:$G$58,Census!$G115+AF$5-18)/INDEX(Decrements!$G$6:$G$58,Census!$G115-17)*(INDEX(Decrements!$D$6:$D$58,Census!$G115+AF$5-18)+IF(AF$5=$B115,INDEX(Decrements!$F$6:$F$58,Census!$G115+AF$5-18),0)+INDEX(Decrements!$E$6:$E$58,Census!$G115+AF$5-18)*IF((Census!$F115+AF$5)&gt;=Assumptions!$B$11,1,0))*MIN(15/26*Census!$D115*(1+Assumptions!$B$9)^AF$5*(INT((Census!$F115+AF$5))+IF((Census!$F115+AF$5)-INT((Census!$F115+AF$5))&gt;0.5,1,0)),Assumptions!$B$10))</f>
        <v>0</v>
      </c>
      <c r="AG115" s="30">
        <f>IF(AG$5&gt;$B115,0,INDEX(Decrements!$G$6:$G$58,Census!$G115+AG$5-18)/INDEX(Decrements!$G$6:$G$58,Census!$G115-17)*(INDEX(Decrements!$D$6:$D$58,Census!$G115+AG$5-18)+IF(AG$5=$B115,INDEX(Decrements!$F$6:$F$58,Census!$G115+AG$5-18),0)+INDEX(Decrements!$E$6:$E$58,Census!$G115+AG$5-18)*IF((Census!$F115+AG$5)&gt;=Assumptions!$B$11,1,0))*MIN(15/26*Census!$D115*(1+Assumptions!$B$9)^AG$5*(INT((Census!$F115+AG$5))+IF((Census!$F115+AG$5)-INT((Census!$F115+AG$5))&gt;0.5,1,0)),Assumptions!$B$10))</f>
        <v>0</v>
      </c>
      <c r="AH115" s="30">
        <f>IF(AH$5&gt;$B115,0,INDEX(Decrements!$G$6:$G$58,Census!$G115+AH$5-18)/INDEX(Decrements!$G$6:$G$58,Census!$G115-17)*(INDEX(Decrements!$D$6:$D$58,Census!$G115+AH$5-18)+IF(AH$5=$B115,INDEX(Decrements!$F$6:$F$58,Census!$G115+AH$5-18),0)+INDEX(Decrements!$E$6:$E$58,Census!$G115+AH$5-18)*IF((Census!$F115+AH$5)&gt;=Assumptions!$B$11,1,0))*MIN(15/26*Census!$D115*(1+Assumptions!$B$9)^AH$5*(INT((Census!$F115+AH$5))+IF((Census!$F115+AH$5)-INT((Census!$F115+AH$5))&gt;0.5,1,0)),Assumptions!$B$10))</f>
        <v>0</v>
      </c>
      <c r="AI115" s="30">
        <f>IF(AI$5&gt;$B115,0,INDEX(Decrements!$G$6:$G$58,Census!$G115+AI$5-18)/INDEX(Decrements!$G$6:$G$58,Census!$G115-17)*(INDEX(Decrements!$D$6:$D$58,Census!$G115+AI$5-18)+IF(AI$5=$B115,INDEX(Decrements!$F$6:$F$58,Census!$G115+AI$5-18),0)+INDEX(Decrements!$E$6:$E$58,Census!$G115+AI$5-18)*IF((Census!$F115+AI$5)&gt;=Assumptions!$B$11,1,0))*MIN(15/26*Census!$D115*(1+Assumptions!$B$9)^AI$5*(INT((Census!$F115+AI$5))+IF((Census!$F115+AI$5)-INT((Census!$F115+AI$5))&gt;0.5,1,0)),Assumptions!$B$10))</f>
        <v>0</v>
      </c>
      <c r="AJ115" s="30">
        <f>IF(AJ$5&gt;$B115,0,INDEX(Decrements!$G$6:$G$58,Census!$G115+AJ$5-18)/INDEX(Decrements!$G$6:$G$58,Census!$G115-17)*(INDEX(Decrements!$D$6:$D$58,Census!$G115+AJ$5-18)+IF(AJ$5=$B115,INDEX(Decrements!$F$6:$F$58,Census!$G115+AJ$5-18),0)+INDEX(Decrements!$E$6:$E$58,Census!$G115+AJ$5-18)*IF((Census!$F115+AJ$5)&gt;=Assumptions!$B$11,1,0))*MIN(15/26*Census!$D115*(1+Assumptions!$B$9)^AJ$5*(INT((Census!$F115+AJ$5))+IF((Census!$F115+AJ$5)-INT((Census!$F115+AJ$5))&gt;0.5,1,0)),Assumptions!$B$10))</f>
        <v>0</v>
      </c>
      <c r="AK115" s="30">
        <f>IF(AK$5&gt;$B115,0,INDEX(Decrements!$G$6:$G$58,Census!$G115+AK$5-18)/INDEX(Decrements!$G$6:$G$58,Census!$G115-17)*(INDEX(Decrements!$D$6:$D$58,Census!$G115+AK$5-18)+IF(AK$5=$B115,INDEX(Decrements!$F$6:$F$58,Census!$G115+AK$5-18),0)+INDEX(Decrements!$E$6:$E$58,Census!$G115+AK$5-18)*IF((Census!$F115+AK$5)&gt;=Assumptions!$B$11,1,0))*MIN(15/26*Census!$D115*(1+Assumptions!$B$9)^AK$5*(INT((Census!$F115+AK$5))+IF((Census!$F115+AK$5)-INT((Census!$F115+AK$5))&gt;0.5,1,0)),Assumptions!$B$10))</f>
        <v>0</v>
      </c>
      <c r="AL115" s="30">
        <f>IF(AL$5&gt;$B115,0,INDEX(Decrements!$G$6:$G$58,Census!$G115+AL$5-18)/INDEX(Decrements!$G$6:$G$58,Census!$G115-17)*(INDEX(Decrements!$D$6:$D$58,Census!$G115+AL$5-18)+IF(AL$5=$B115,INDEX(Decrements!$F$6:$F$58,Census!$G115+AL$5-18),0)+INDEX(Decrements!$E$6:$E$58,Census!$G115+AL$5-18)*IF((Census!$F115+AL$5)&gt;=Assumptions!$B$11,1,0))*MIN(15/26*Census!$D115*(1+Assumptions!$B$9)^AL$5*(INT((Census!$F115+AL$5))+IF((Census!$F115+AL$5)-INT((Census!$F115+AL$5))&gt;0.5,1,0)),Assumptions!$B$10))</f>
        <v>0</v>
      </c>
      <c r="AM115" s="30">
        <f>IF(AM$5&gt;$B115,0,INDEX(Decrements!$G$6:$G$58,Census!$G115+AM$5-18)/INDEX(Decrements!$G$6:$G$58,Census!$G115-17)*(INDEX(Decrements!$D$6:$D$58,Census!$G115+AM$5-18)+IF(AM$5=$B115,INDEX(Decrements!$F$6:$F$58,Census!$G115+AM$5-18),0)+INDEX(Decrements!$E$6:$E$58,Census!$G115+AM$5-18)*IF((Census!$F115+AM$5)&gt;=Assumptions!$B$11,1,0))*MIN(15/26*Census!$D115*(1+Assumptions!$B$9)^AM$5*(INT((Census!$F115+AM$5))+IF((Census!$F115+AM$5)-INT((Census!$F115+AM$5))&gt;0.5,1,0)),Assumptions!$B$10))</f>
        <v>0</v>
      </c>
      <c r="AN115" s="30">
        <f>IF(AN$5&gt;$B115,0,INDEX(Decrements!$G$6:$G$58,Census!$G115+AN$5-18)/INDEX(Decrements!$G$6:$G$58,Census!$G115-17)*(INDEX(Decrements!$D$6:$D$58,Census!$G115+AN$5-18)+IF(AN$5=$B115,INDEX(Decrements!$F$6:$F$58,Census!$G115+AN$5-18),0)+INDEX(Decrements!$E$6:$E$58,Census!$G115+AN$5-18)*IF((Census!$F115+AN$5)&gt;=Assumptions!$B$11,1,0))*MIN(15/26*Census!$D115*(1+Assumptions!$B$9)^AN$5*(INT((Census!$F115+AN$5))+IF((Census!$F115+AN$5)-INT((Census!$F115+AN$5))&gt;0.5,1,0)),Assumptions!$B$10))</f>
        <v>0</v>
      </c>
      <c r="AO115" s="30">
        <f>IF(AO$5&gt;$B115,0,INDEX(Decrements!$G$6:$G$58,Census!$G115+AO$5-18)/INDEX(Decrements!$G$6:$G$58,Census!$G115-17)*(INDEX(Decrements!$D$6:$D$58,Census!$G115+AO$5-18)+IF(AO$5=$B115,INDEX(Decrements!$F$6:$F$58,Census!$G115+AO$5-18),0)+INDEX(Decrements!$E$6:$E$58,Census!$G115+AO$5-18)*IF((Census!$F115+AO$5)&gt;=Assumptions!$B$11,1,0))*MIN(15/26*Census!$D115*(1+Assumptions!$B$9)^AO$5*(INT((Census!$F115+AO$5))+IF((Census!$F115+AO$5)-INT((Census!$F115+AO$5))&gt;0.5,1,0)),Assumptions!$B$10))</f>
        <v>0</v>
      </c>
      <c r="AP115" s="30">
        <f>IF(AP$5&gt;$B115,0,INDEX(Decrements!$G$6:$G$58,Census!$G115+AP$5-18)/INDEX(Decrements!$G$6:$G$58,Census!$G115-17)*(INDEX(Decrements!$D$6:$D$58,Census!$G115+AP$5-18)+IF(AP$5=$B115,INDEX(Decrements!$F$6:$F$58,Census!$G115+AP$5-18),0)+INDEX(Decrements!$E$6:$E$58,Census!$G115+AP$5-18)*IF((Census!$F115+AP$5)&gt;=Assumptions!$B$11,1,0))*MIN(15/26*Census!$D115*(1+Assumptions!$B$9)^AP$5*(INT((Census!$F115+AP$5))+IF((Census!$F115+AP$5)-INT((Census!$F115+AP$5))&gt;0.5,1,0)),Assumptions!$B$10))</f>
        <v>0</v>
      </c>
      <c r="AQ115" s="30">
        <f>IF(AQ$5&gt;$B115,0,INDEX(Decrements!$G$6:$G$58,Census!$G115+AQ$5-18)/INDEX(Decrements!$G$6:$G$58,Census!$G115-17)*(INDEX(Decrements!$D$6:$D$58,Census!$G115+AQ$5-18)+IF(AQ$5=$B115,INDEX(Decrements!$F$6:$F$58,Census!$G115+AQ$5-18),0)+INDEX(Decrements!$E$6:$E$58,Census!$G115+AQ$5-18)*IF((Census!$F115+AQ$5)&gt;=Assumptions!$B$11,1,0))*MIN(15/26*Census!$D115*(1+Assumptions!$B$9)^AQ$5*(INT((Census!$F115+AQ$5))+IF((Census!$F115+AQ$5)-INT((Census!$F115+AQ$5))&gt;0.5,1,0)),Assumptions!$B$10))</f>
        <v>0</v>
      </c>
      <c r="AR115" s="30">
        <f>IF(AR$5&gt;$B115,0,INDEX(Decrements!$G$6:$G$58,Census!$G115+AR$5-18)/INDEX(Decrements!$G$6:$G$58,Census!$G115-17)*(INDEX(Decrements!$D$6:$D$58,Census!$G115+AR$5-18)+IF(AR$5=$B115,INDEX(Decrements!$F$6:$F$58,Census!$G115+AR$5-18),0)+INDEX(Decrements!$E$6:$E$58,Census!$G115+AR$5-18)*IF((Census!$F115+AR$5)&gt;=Assumptions!$B$11,1,0))*MIN(15/26*Census!$D115*(1+Assumptions!$B$9)^AR$5*(INT((Census!$F115+AR$5))+IF((Census!$F115+AR$5)-INT((Census!$F115+AR$5))&gt;0.5,1,0)),Assumptions!$B$10))</f>
        <v>0</v>
      </c>
      <c r="AS115" s="30">
        <f>IF(AS$5&gt;$B115,0,INDEX(Decrements!$G$6:$G$58,Census!$G115+AS$5-18)/INDEX(Decrements!$G$6:$G$58,Census!$G115-17)*(INDEX(Decrements!$D$6:$D$58,Census!$G115+AS$5-18)+IF(AS$5=$B115,INDEX(Decrements!$F$6:$F$58,Census!$G115+AS$5-18),0)+INDEX(Decrements!$E$6:$E$58,Census!$G115+AS$5-18)*IF((Census!$F115+AS$5)&gt;=Assumptions!$B$11,1,0))*MIN(15/26*Census!$D115*(1+Assumptions!$B$9)^AS$5*(INT((Census!$F115+AS$5))+IF((Census!$F115+AS$5)-INT((Census!$F115+AS$5))&gt;0.5,1,0)),Assumptions!$B$10))</f>
        <v>0</v>
      </c>
      <c r="AT115" s="30">
        <f>IF(AT$5&gt;$B115,0,INDEX(Decrements!$G$6:$G$58,Census!$G115+AT$5-18)/INDEX(Decrements!$G$6:$G$58,Census!$G115-17)*(INDEX(Decrements!$D$6:$D$58,Census!$G115+AT$5-18)+IF(AT$5=$B115,INDEX(Decrements!$F$6:$F$58,Census!$G115+AT$5-18),0)+INDEX(Decrements!$E$6:$E$58,Census!$G115+AT$5-18)*IF((Census!$F115+AT$5)&gt;=Assumptions!$B$11,1,0))*MIN(15/26*Census!$D115*(1+Assumptions!$B$9)^AT$5*(INT((Census!$F115+AT$5))+IF((Census!$F115+AT$5)-INT((Census!$F115+AT$5))&gt;0.5,1,0)),Assumptions!$B$10))</f>
        <v>0</v>
      </c>
      <c r="AU115" s="30">
        <f>IF(AU$5&gt;$B115,0,INDEX(Decrements!$G$6:$G$58,Census!$G115+AU$5-18)/INDEX(Decrements!$G$6:$G$58,Census!$G115-17)*(INDEX(Decrements!$D$6:$D$58,Census!$G115+AU$5-18)+IF(AU$5=$B115,INDEX(Decrements!$F$6:$F$58,Census!$G115+AU$5-18),0)+INDEX(Decrements!$E$6:$E$58,Census!$G115+AU$5-18)*IF((Census!$F115+AU$5)&gt;=Assumptions!$B$11,1,0))*MIN(15/26*Census!$D115*(1+Assumptions!$B$9)^AU$5*(INT((Census!$F115+AU$5))+IF((Census!$F115+AU$5)-INT((Census!$F115+AU$5))&gt;0.5,1,0)),Assumptions!$B$10))</f>
        <v>0</v>
      </c>
    </row>
    <row r="116" spans="1:47" x14ac:dyDescent="0.3">
      <c r="A116" s="10" t="str">
        <f>Census!A116</f>
        <v>E111</v>
      </c>
      <c r="B116" s="29">
        <f>Census!H116</f>
        <v>18</v>
      </c>
      <c r="C116" s="30">
        <f>IF(C$5&gt;$B116,0,INDEX(Decrements!$G$6:$G$58,Census!$G116+C$5-18)/INDEX(Decrements!$G$6:$G$58,Census!$G116-17)*(INDEX(Decrements!$D$6:$D$58,Census!$G116+C$5-18)+IF(C$5=$B116,INDEX(Decrements!$F$6:$F$58,Census!$G116+C$5-18),0)+INDEX(Decrements!$E$6:$E$58,Census!$G116+C$5-18)*IF((Census!$F116+C$5)&gt;=Assumptions!$B$11,1,0))*MIN(15/26*Census!$D116*(1+Assumptions!$B$9)^C$5*(INT((Census!$F116+C$5))+IF((Census!$F116+C$5)-INT((Census!$F116+C$5))&gt;0.5,1,0)),Assumptions!$B$10))</f>
        <v>97980.644255764084</v>
      </c>
      <c r="D116" s="30">
        <f>IF(D$5&gt;$B116,0,INDEX(Decrements!$G$6:$G$58,Census!$G116+D$5-18)/INDEX(Decrements!$G$6:$G$58,Census!$G116-17)*(INDEX(Decrements!$D$6:$D$58,Census!$G116+D$5-18)+IF(D$5=$B116,INDEX(Decrements!$F$6:$F$58,Census!$G116+D$5-18),0)+INDEX(Decrements!$E$6:$E$58,Census!$G116+D$5-18)*IF((Census!$F116+D$5)&gt;=Assumptions!$B$11,1,0))*MIN(15/26*Census!$D116*(1+Assumptions!$B$9)^D$5*(INT((Census!$F116+D$5))+IF((Census!$F116+D$5)-INT((Census!$F116+D$5))&gt;0.5,1,0)),Assumptions!$B$10))</f>
        <v>97849.47231660597</v>
      </c>
      <c r="E116" s="30">
        <f>IF(E$5&gt;$B116,0,INDEX(Decrements!$G$6:$G$58,Census!$G116+E$5-18)/INDEX(Decrements!$G$6:$G$58,Census!$G116-17)*(INDEX(Decrements!$D$6:$D$58,Census!$G116+E$5-18)+IF(E$5=$B116,INDEX(Decrements!$F$6:$F$58,Census!$G116+E$5-18),0)+INDEX(Decrements!$E$6:$E$58,Census!$G116+E$5-18)*IF((Census!$F116+E$5)&gt;=Assumptions!$B$11,1,0))*MIN(15/26*Census!$D116*(1+Assumptions!$B$9)^E$5*(INT((Census!$F116+E$5))+IF((Census!$F116+E$5)-INT((Census!$F116+E$5))&gt;0.5,1,0)),Assumptions!$B$10))</f>
        <v>93018.129674638985</v>
      </c>
      <c r="F116" s="30">
        <f>IF(F$5&gt;$B116,0,INDEX(Decrements!$G$6:$G$58,Census!$G116+F$5-18)/INDEX(Decrements!$G$6:$G$58,Census!$G116-17)*(INDEX(Decrements!$D$6:$D$58,Census!$G116+F$5-18)+IF(F$5=$B116,INDEX(Decrements!$F$6:$F$58,Census!$G116+F$5-18),0)+INDEX(Decrements!$E$6:$E$58,Census!$G116+F$5-18)*IF((Census!$F116+F$5)&gt;=Assumptions!$B$11,1,0))*MIN(15/26*Census!$D116*(1+Assumptions!$B$9)^F$5*(INT((Census!$F116+F$5))+IF((Census!$F116+F$5)-INT((Census!$F116+F$5))&gt;0.5,1,0)),Assumptions!$B$10))</f>
        <v>54376.062240610649</v>
      </c>
      <c r="G116" s="30">
        <f>IF(G$5&gt;$B116,0,INDEX(Decrements!$G$6:$G$58,Census!$G116+G$5-18)/INDEX(Decrements!$G$6:$G$58,Census!$G116-17)*(INDEX(Decrements!$D$6:$D$58,Census!$G116+G$5-18)+IF(G$5=$B116,INDEX(Decrements!$F$6:$F$58,Census!$G116+G$5-18),0)+INDEX(Decrements!$E$6:$E$58,Census!$G116+G$5-18)*IF((Census!$F116+G$5)&gt;=Assumptions!$B$11,1,0))*MIN(15/26*Census!$D116*(1+Assumptions!$B$9)^G$5*(INT((Census!$F116+G$5))+IF((Census!$F116+G$5)-INT((Census!$F116+G$5))&gt;0.5,1,0)),Assumptions!$B$10))</f>
        <v>52887.686661427688</v>
      </c>
      <c r="H116" s="30">
        <f>IF(H$5&gt;$B116,0,INDEX(Decrements!$G$6:$G$58,Census!$G116+H$5-18)/INDEX(Decrements!$G$6:$G$58,Census!$G116-17)*(INDEX(Decrements!$D$6:$D$58,Census!$G116+H$5-18)+IF(H$5=$B116,INDEX(Decrements!$F$6:$F$58,Census!$G116+H$5-18),0)+INDEX(Decrements!$E$6:$E$58,Census!$G116+H$5-18)*IF((Census!$F116+H$5)&gt;=Assumptions!$B$11,1,0))*MIN(15/26*Census!$D116*(1+Assumptions!$B$9)^H$5*(INT((Census!$F116+H$5))+IF((Census!$F116+H$5)-INT((Census!$F116+H$5))&gt;0.5,1,0)),Assumptions!$B$10))</f>
        <v>51454.716637420686</v>
      </c>
      <c r="I116" s="30">
        <f>IF(I$5&gt;$B116,0,INDEX(Decrements!$G$6:$G$58,Census!$G116+I$5-18)/INDEX(Decrements!$G$6:$G$58,Census!$G116-17)*(INDEX(Decrements!$D$6:$D$58,Census!$G116+I$5-18)+IF(I$5=$B116,INDEX(Decrements!$F$6:$F$58,Census!$G116+I$5-18),0)+INDEX(Decrements!$E$6:$E$58,Census!$G116+I$5-18)*IF((Census!$F116+I$5)&gt;=Assumptions!$B$11,1,0))*MIN(15/26*Census!$D116*(1+Assumptions!$B$9)^I$5*(INT((Census!$F116+I$5))+IF((Census!$F116+I$5)-INT((Census!$F116+I$5))&gt;0.5,1,0)),Assumptions!$B$10))</f>
        <v>50076.020105343283</v>
      </c>
      <c r="J116" s="30">
        <f>IF(J$5&gt;$B116,0,INDEX(Decrements!$G$6:$G$58,Census!$G116+J$5-18)/INDEX(Decrements!$G$6:$G$58,Census!$G116-17)*(INDEX(Decrements!$D$6:$D$58,Census!$G116+J$5-18)+IF(J$5=$B116,INDEX(Decrements!$F$6:$F$58,Census!$G116+J$5-18),0)+INDEX(Decrements!$E$6:$E$58,Census!$G116+J$5-18)*IF((Census!$F116+J$5)&gt;=Assumptions!$B$11,1,0))*MIN(15/26*Census!$D116*(1+Assumptions!$B$9)^J$5*(INT((Census!$F116+J$5))+IF((Census!$F116+J$5)-INT((Census!$F116+J$5))&gt;0.5,1,0)),Assumptions!$B$10))</f>
        <v>48750.515021269573</v>
      </c>
      <c r="K116" s="30">
        <f>IF(K$5&gt;$B116,0,INDEX(Decrements!$G$6:$G$58,Census!$G116+K$5-18)/INDEX(Decrements!$G$6:$G$58,Census!$G116-17)*(INDEX(Decrements!$D$6:$D$58,Census!$G116+K$5-18)+IF(K$5=$B116,INDEX(Decrements!$F$6:$F$58,Census!$G116+K$5-18),0)+INDEX(Decrements!$E$6:$E$58,Census!$G116+K$5-18)*IF((Census!$F116+K$5)&gt;=Assumptions!$B$11,1,0))*MIN(15/26*Census!$D116*(1+Assumptions!$B$9)^K$5*(INT((Census!$F116+K$5))+IF((Census!$F116+K$5)-INT((Census!$F116+K$5))&gt;0.5,1,0)),Assumptions!$B$10))</f>
        <v>33032.123245051669</v>
      </c>
      <c r="L116" s="30">
        <f>IF(L$5&gt;$B116,0,INDEX(Decrements!$G$6:$G$58,Census!$G116+L$5-18)/INDEX(Decrements!$G$6:$G$58,Census!$G116-17)*(INDEX(Decrements!$D$6:$D$58,Census!$G116+L$5-18)+IF(L$5=$B116,INDEX(Decrements!$F$6:$F$58,Census!$G116+L$5-18),0)+INDEX(Decrements!$E$6:$E$58,Census!$G116+L$5-18)*IF((Census!$F116+L$5)&gt;=Assumptions!$B$11,1,0))*MIN(15/26*Census!$D116*(1+Assumptions!$B$9)^L$5*(INT((Census!$F116+L$5))+IF((Census!$F116+L$5)-INT((Census!$F116+L$5))&gt;0.5,1,0)),Assumptions!$B$10))</f>
        <v>32619.643692988502</v>
      </c>
      <c r="M116" s="30">
        <f>IF(M$5&gt;$B116,0,INDEX(Decrements!$G$6:$G$58,Census!$G116+M$5-18)/INDEX(Decrements!$G$6:$G$58,Census!$G116-17)*(INDEX(Decrements!$D$6:$D$58,Census!$G116+M$5-18)+IF(M$5=$B116,INDEX(Decrements!$F$6:$F$58,Census!$G116+M$5-18),0)+INDEX(Decrements!$E$6:$E$58,Census!$G116+M$5-18)*IF((Census!$F116+M$5)&gt;=Assumptions!$B$11,1,0))*MIN(15/26*Census!$D116*(1+Assumptions!$B$9)^M$5*(INT((Census!$F116+M$5))+IF((Census!$F116+M$5)-INT((Census!$F116+M$5))&gt;0.5,1,0)),Assumptions!$B$10))</f>
        <v>32234.05951835799</v>
      </c>
      <c r="N116" s="30">
        <f>IF(N$5&gt;$B116,0,INDEX(Decrements!$G$6:$G$58,Census!$G116+N$5-18)/INDEX(Decrements!$G$6:$G$58,Census!$G116-17)*(INDEX(Decrements!$D$6:$D$58,Census!$G116+N$5-18)+IF(N$5=$B116,INDEX(Decrements!$F$6:$F$58,Census!$G116+N$5-18),0)+INDEX(Decrements!$E$6:$E$58,Census!$G116+N$5-18)*IF((Census!$F116+N$5)&gt;=Assumptions!$B$11,1,0))*MIN(15/26*Census!$D116*(1+Assumptions!$B$9)^N$5*(INT((Census!$F116+N$5))+IF((Census!$F116+N$5)-INT((Census!$F116+N$5))&gt;0.5,1,0)),Assumptions!$B$10))</f>
        <v>31875.937459815548</v>
      </c>
      <c r="O116" s="30">
        <f>IF(O$5&gt;$B116,0,INDEX(Decrements!$G$6:$G$58,Census!$G116+O$5-18)/INDEX(Decrements!$G$6:$G$58,Census!$G116-17)*(INDEX(Decrements!$D$6:$D$58,Census!$G116+O$5-18)+IF(O$5=$B116,INDEX(Decrements!$F$6:$F$58,Census!$G116+O$5-18),0)+INDEX(Decrements!$E$6:$E$58,Census!$G116+O$5-18)*IF((Census!$F116+O$5)&gt;=Assumptions!$B$11,1,0))*MIN(15/26*Census!$D116*(1+Assumptions!$B$9)^O$5*(INT((Census!$F116+O$5))+IF((Census!$F116+O$5)-INT((Census!$F116+O$5))&gt;0.5,1,0)),Assumptions!$B$10))</f>
        <v>31545.862958336133</v>
      </c>
      <c r="P116" s="30">
        <f>IF(P$5&gt;$B116,0,INDEX(Decrements!$G$6:$G$58,Census!$G116+P$5-18)/INDEX(Decrements!$G$6:$G$58,Census!$G116-17)*(INDEX(Decrements!$D$6:$D$58,Census!$G116+P$5-18)+IF(P$5=$B116,INDEX(Decrements!$F$6:$F$58,Census!$G116+P$5-18),0)+INDEX(Decrements!$E$6:$E$58,Census!$G116+P$5-18)*IF((Census!$F116+P$5)&gt;=Assumptions!$B$11,1,0))*MIN(15/26*Census!$D116*(1+Assumptions!$B$9)^P$5*(INT((Census!$F116+P$5))+IF((Census!$F116+P$5)-INT((Census!$F116+P$5))&gt;0.5,1,0)),Assumptions!$B$10))</f>
        <v>18427.144797660425</v>
      </c>
      <c r="Q116" s="30">
        <f>IF(Q$5&gt;$B116,0,INDEX(Decrements!$G$6:$G$58,Census!$G116+Q$5-18)/INDEX(Decrements!$G$6:$G$58,Census!$G116-17)*(INDEX(Decrements!$D$6:$D$58,Census!$G116+Q$5-18)+IF(Q$5=$B116,INDEX(Decrements!$F$6:$F$58,Census!$G116+Q$5-18),0)+INDEX(Decrements!$E$6:$E$58,Census!$G116+Q$5-18)*IF((Census!$F116+Q$5)&gt;=Assumptions!$B$11,1,0))*MIN(15/26*Census!$D116*(1+Assumptions!$B$9)^Q$5*(INT((Census!$F116+Q$5))+IF((Census!$F116+Q$5)-INT((Census!$F116+Q$5))&gt;0.5,1,0)),Assumptions!$B$10))</f>
        <v>18659.479358458564</v>
      </c>
      <c r="R116" s="30">
        <f>IF(R$5&gt;$B116,0,INDEX(Decrements!$G$6:$G$58,Census!$G116+R$5-18)/INDEX(Decrements!$G$6:$G$58,Census!$G116-17)*(INDEX(Decrements!$D$6:$D$58,Census!$G116+R$5-18)+IF(R$5=$B116,INDEX(Decrements!$F$6:$F$58,Census!$G116+R$5-18),0)+INDEX(Decrements!$E$6:$E$58,Census!$G116+R$5-18)*IF((Census!$F116+R$5)&gt;=Assumptions!$B$11,1,0))*MIN(15/26*Census!$D116*(1+Assumptions!$B$9)^R$5*(INT((Census!$F116+R$5))+IF((Census!$F116+R$5)-INT((Census!$F116+R$5))&gt;0.5,1,0)),Assumptions!$B$10))</f>
        <v>18922.554616820908</v>
      </c>
      <c r="S116" s="30">
        <f>IF(S$5&gt;$B116,0,INDEX(Decrements!$G$6:$G$58,Census!$G116+S$5-18)/INDEX(Decrements!$G$6:$G$58,Census!$G116-17)*(INDEX(Decrements!$D$6:$D$58,Census!$G116+S$5-18)+IF(S$5=$B116,INDEX(Decrements!$F$6:$F$58,Census!$G116+S$5-18),0)+INDEX(Decrements!$E$6:$E$58,Census!$G116+S$5-18)*IF((Census!$F116+S$5)&gt;=Assumptions!$B$11,1,0))*MIN(15/26*Census!$D116*(1+Assumptions!$B$9)^S$5*(INT((Census!$F116+S$5))+IF((Census!$F116+S$5)-INT((Census!$F116+S$5))&gt;0.5,1,0)),Assumptions!$B$10))</f>
        <v>19218.15856795814</v>
      </c>
      <c r="T116" s="30">
        <f>IF(T$5&gt;$B116,0,INDEX(Decrements!$G$6:$G$58,Census!$G116+T$5-18)/INDEX(Decrements!$G$6:$G$58,Census!$G116-17)*(INDEX(Decrements!$D$6:$D$58,Census!$G116+T$5-18)+IF(T$5=$B116,INDEX(Decrements!$F$6:$F$58,Census!$G116+T$5-18),0)+INDEX(Decrements!$E$6:$E$58,Census!$G116+T$5-18)*IF((Census!$F116+T$5)&gt;=Assumptions!$B$11,1,0))*MIN(15/26*Census!$D116*(1+Assumptions!$B$9)^T$5*(INT((Census!$F116+T$5))+IF((Census!$F116+T$5)-INT((Census!$F116+T$5))&gt;0.5,1,0)),Assumptions!$B$10))</f>
        <v>1212111.2928794054</v>
      </c>
      <c r="U116" s="30">
        <f>IF(U$5&gt;$B116,0,INDEX(Decrements!$G$6:$G$58,Census!$G116+U$5-18)/INDEX(Decrements!$G$6:$G$58,Census!$G116-17)*(INDEX(Decrements!$D$6:$D$58,Census!$G116+U$5-18)+IF(U$5=$B116,INDEX(Decrements!$F$6:$F$58,Census!$G116+U$5-18),0)+INDEX(Decrements!$E$6:$E$58,Census!$G116+U$5-18)*IF((Census!$F116+U$5)&gt;=Assumptions!$B$11,1,0))*MIN(15/26*Census!$D116*(1+Assumptions!$B$9)^U$5*(INT((Census!$F116+U$5))+IF((Census!$F116+U$5)-INT((Census!$F116+U$5))&gt;0.5,1,0)),Assumptions!$B$10))</f>
        <v>0</v>
      </c>
      <c r="V116" s="30">
        <f>IF(V$5&gt;$B116,0,INDEX(Decrements!$G$6:$G$58,Census!$G116+V$5-18)/INDEX(Decrements!$G$6:$G$58,Census!$G116-17)*(INDEX(Decrements!$D$6:$D$58,Census!$G116+V$5-18)+IF(V$5=$B116,INDEX(Decrements!$F$6:$F$58,Census!$G116+V$5-18),0)+INDEX(Decrements!$E$6:$E$58,Census!$G116+V$5-18)*IF((Census!$F116+V$5)&gt;=Assumptions!$B$11,1,0))*MIN(15/26*Census!$D116*(1+Assumptions!$B$9)^V$5*(INT((Census!$F116+V$5))+IF((Census!$F116+V$5)-INT((Census!$F116+V$5))&gt;0.5,1,0)),Assumptions!$B$10))</f>
        <v>0</v>
      </c>
      <c r="W116" s="30">
        <f>IF(W$5&gt;$B116,0,INDEX(Decrements!$G$6:$G$58,Census!$G116+W$5-18)/INDEX(Decrements!$G$6:$G$58,Census!$G116-17)*(INDEX(Decrements!$D$6:$D$58,Census!$G116+W$5-18)+IF(W$5=$B116,INDEX(Decrements!$F$6:$F$58,Census!$G116+W$5-18),0)+INDEX(Decrements!$E$6:$E$58,Census!$G116+W$5-18)*IF((Census!$F116+W$5)&gt;=Assumptions!$B$11,1,0))*MIN(15/26*Census!$D116*(1+Assumptions!$B$9)^W$5*(INT((Census!$F116+W$5))+IF((Census!$F116+W$5)-INT((Census!$F116+W$5))&gt;0.5,1,0)),Assumptions!$B$10))</f>
        <v>0</v>
      </c>
      <c r="X116" s="30">
        <f>IF(X$5&gt;$B116,0,INDEX(Decrements!$G$6:$G$58,Census!$G116+X$5-18)/INDEX(Decrements!$G$6:$G$58,Census!$G116-17)*(INDEX(Decrements!$D$6:$D$58,Census!$G116+X$5-18)+IF(X$5=$B116,INDEX(Decrements!$F$6:$F$58,Census!$G116+X$5-18),0)+INDEX(Decrements!$E$6:$E$58,Census!$G116+X$5-18)*IF((Census!$F116+X$5)&gt;=Assumptions!$B$11,1,0))*MIN(15/26*Census!$D116*(1+Assumptions!$B$9)^X$5*(INT((Census!$F116+X$5))+IF((Census!$F116+X$5)-INT((Census!$F116+X$5))&gt;0.5,1,0)),Assumptions!$B$10))</f>
        <v>0</v>
      </c>
      <c r="Y116" s="30">
        <f>IF(Y$5&gt;$B116,0,INDEX(Decrements!$G$6:$G$58,Census!$G116+Y$5-18)/INDEX(Decrements!$G$6:$G$58,Census!$G116-17)*(INDEX(Decrements!$D$6:$D$58,Census!$G116+Y$5-18)+IF(Y$5=$B116,INDEX(Decrements!$F$6:$F$58,Census!$G116+Y$5-18),0)+INDEX(Decrements!$E$6:$E$58,Census!$G116+Y$5-18)*IF((Census!$F116+Y$5)&gt;=Assumptions!$B$11,1,0))*MIN(15/26*Census!$D116*(1+Assumptions!$B$9)^Y$5*(INT((Census!$F116+Y$5))+IF((Census!$F116+Y$5)-INT((Census!$F116+Y$5))&gt;0.5,1,0)),Assumptions!$B$10))</f>
        <v>0</v>
      </c>
      <c r="Z116" s="30">
        <f>IF(Z$5&gt;$B116,0,INDEX(Decrements!$G$6:$G$58,Census!$G116+Z$5-18)/INDEX(Decrements!$G$6:$G$58,Census!$G116-17)*(INDEX(Decrements!$D$6:$D$58,Census!$G116+Z$5-18)+IF(Z$5=$B116,INDEX(Decrements!$F$6:$F$58,Census!$G116+Z$5-18),0)+INDEX(Decrements!$E$6:$E$58,Census!$G116+Z$5-18)*IF((Census!$F116+Z$5)&gt;=Assumptions!$B$11,1,0))*MIN(15/26*Census!$D116*(1+Assumptions!$B$9)^Z$5*(INT((Census!$F116+Z$5))+IF((Census!$F116+Z$5)-INT((Census!$F116+Z$5))&gt;0.5,1,0)),Assumptions!$B$10))</f>
        <v>0</v>
      </c>
      <c r="AA116" s="30">
        <f>IF(AA$5&gt;$B116,0,INDEX(Decrements!$G$6:$G$58,Census!$G116+AA$5-18)/INDEX(Decrements!$G$6:$G$58,Census!$G116-17)*(INDEX(Decrements!$D$6:$D$58,Census!$G116+AA$5-18)+IF(AA$5=$B116,INDEX(Decrements!$F$6:$F$58,Census!$G116+AA$5-18),0)+INDEX(Decrements!$E$6:$E$58,Census!$G116+AA$5-18)*IF((Census!$F116+AA$5)&gt;=Assumptions!$B$11,1,0))*MIN(15/26*Census!$D116*(1+Assumptions!$B$9)^AA$5*(INT((Census!$F116+AA$5))+IF((Census!$F116+AA$5)-INT((Census!$F116+AA$5))&gt;0.5,1,0)),Assumptions!$B$10))</f>
        <v>0</v>
      </c>
      <c r="AB116" s="30">
        <f>IF(AB$5&gt;$B116,0,INDEX(Decrements!$G$6:$G$58,Census!$G116+AB$5-18)/INDEX(Decrements!$G$6:$G$58,Census!$G116-17)*(INDEX(Decrements!$D$6:$D$58,Census!$G116+AB$5-18)+IF(AB$5=$B116,INDEX(Decrements!$F$6:$F$58,Census!$G116+AB$5-18),0)+INDEX(Decrements!$E$6:$E$58,Census!$G116+AB$5-18)*IF((Census!$F116+AB$5)&gt;=Assumptions!$B$11,1,0))*MIN(15/26*Census!$D116*(1+Assumptions!$B$9)^AB$5*(INT((Census!$F116+AB$5))+IF((Census!$F116+AB$5)-INT((Census!$F116+AB$5))&gt;0.5,1,0)),Assumptions!$B$10))</f>
        <v>0</v>
      </c>
      <c r="AC116" s="30">
        <f>IF(AC$5&gt;$B116,0,INDEX(Decrements!$G$6:$G$58,Census!$G116+AC$5-18)/INDEX(Decrements!$G$6:$G$58,Census!$G116-17)*(INDEX(Decrements!$D$6:$D$58,Census!$G116+AC$5-18)+IF(AC$5=$B116,INDEX(Decrements!$F$6:$F$58,Census!$G116+AC$5-18),0)+INDEX(Decrements!$E$6:$E$58,Census!$G116+AC$5-18)*IF((Census!$F116+AC$5)&gt;=Assumptions!$B$11,1,0))*MIN(15/26*Census!$D116*(1+Assumptions!$B$9)^AC$5*(INT((Census!$F116+AC$5))+IF((Census!$F116+AC$5)-INT((Census!$F116+AC$5))&gt;0.5,1,0)),Assumptions!$B$10))</f>
        <v>0</v>
      </c>
      <c r="AD116" s="30">
        <f>IF(AD$5&gt;$B116,0,INDEX(Decrements!$G$6:$G$58,Census!$G116+AD$5-18)/INDEX(Decrements!$G$6:$G$58,Census!$G116-17)*(INDEX(Decrements!$D$6:$D$58,Census!$G116+AD$5-18)+IF(AD$5=$B116,INDEX(Decrements!$F$6:$F$58,Census!$G116+AD$5-18),0)+INDEX(Decrements!$E$6:$E$58,Census!$G116+AD$5-18)*IF((Census!$F116+AD$5)&gt;=Assumptions!$B$11,1,0))*MIN(15/26*Census!$D116*(1+Assumptions!$B$9)^AD$5*(INT((Census!$F116+AD$5))+IF((Census!$F116+AD$5)-INT((Census!$F116+AD$5))&gt;0.5,1,0)),Assumptions!$B$10))</f>
        <v>0</v>
      </c>
      <c r="AE116" s="30">
        <f>IF(AE$5&gt;$B116,0,INDEX(Decrements!$G$6:$G$58,Census!$G116+AE$5-18)/INDEX(Decrements!$G$6:$G$58,Census!$G116-17)*(INDEX(Decrements!$D$6:$D$58,Census!$G116+AE$5-18)+IF(AE$5=$B116,INDEX(Decrements!$F$6:$F$58,Census!$G116+AE$5-18),0)+INDEX(Decrements!$E$6:$E$58,Census!$G116+AE$5-18)*IF((Census!$F116+AE$5)&gt;=Assumptions!$B$11,1,0))*MIN(15/26*Census!$D116*(1+Assumptions!$B$9)^AE$5*(INT((Census!$F116+AE$5))+IF((Census!$F116+AE$5)-INT((Census!$F116+AE$5))&gt;0.5,1,0)),Assumptions!$B$10))</f>
        <v>0</v>
      </c>
      <c r="AF116" s="30">
        <f>IF(AF$5&gt;$B116,0,INDEX(Decrements!$G$6:$G$58,Census!$G116+AF$5-18)/INDEX(Decrements!$G$6:$G$58,Census!$G116-17)*(INDEX(Decrements!$D$6:$D$58,Census!$G116+AF$5-18)+IF(AF$5=$B116,INDEX(Decrements!$F$6:$F$58,Census!$G116+AF$5-18),0)+INDEX(Decrements!$E$6:$E$58,Census!$G116+AF$5-18)*IF((Census!$F116+AF$5)&gt;=Assumptions!$B$11,1,0))*MIN(15/26*Census!$D116*(1+Assumptions!$B$9)^AF$5*(INT((Census!$F116+AF$5))+IF((Census!$F116+AF$5)-INT((Census!$F116+AF$5))&gt;0.5,1,0)),Assumptions!$B$10))</f>
        <v>0</v>
      </c>
      <c r="AG116" s="30">
        <f>IF(AG$5&gt;$B116,0,INDEX(Decrements!$G$6:$G$58,Census!$G116+AG$5-18)/INDEX(Decrements!$G$6:$G$58,Census!$G116-17)*(INDEX(Decrements!$D$6:$D$58,Census!$G116+AG$5-18)+IF(AG$5=$B116,INDEX(Decrements!$F$6:$F$58,Census!$G116+AG$5-18),0)+INDEX(Decrements!$E$6:$E$58,Census!$G116+AG$5-18)*IF((Census!$F116+AG$5)&gt;=Assumptions!$B$11,1,0))*MIN(15/26*Census!$D116*(1+Assumptions!$B$9)^AG$5*(INT((Census!$F116+AG$5))+IF((Census!$F116+AG$5)-INT((Census!$F116+AG$5))&gt;0.5,1,0)),Assumptions!$B$10))</f>
        <v>0</v>
      </c>
      <c r="AH116" s="30">
        <f>IF(AH$5&gt;$B116,0,INDEX(Decrements!$G$6:$G$58,Census!$G116+AH$5-18)/INDEX(Decrements!$G$6:$G$58,Census!$G116-17)*(INDEX(Decrements!$D$6:$D$58,Census!$G116+AH$5-18)+IF(AH$5=$B116,INDEX(Decrements!$F$6:$F$58,Census!$G116+AH$5-18),0)+INDEX(Decrements!$E$6:$E$58,Census!$G116+AH$5-18)*IF((Census!$F116+AH$5)&gt;=Assumptions!$B$11,1,0))*MIN(15/26*Census!$D116*(1+Assumptions!$B$9)^AH$5*(INT((Census!$F116+AH$5))+IF((Census!$F116+AH$5)-INT((Census!$F116+AH$5))&gt;0.5,1,0)),Assumptions!$B$10))</f>
        <v>0</v>
      </c>
      <c r="AI116" s="30">
        <f>IF(AI$5&gt;$B116,0,INDEX(Decrements!$G$6:$G$58,Census!$G116+AI$5-18)/INDEX(Decrements!$G$6:$G$58,Census!$G116-17)*(INDEX(Decrements!$D$6:$D$58,Census!$G116+AI$5-18)+IF(AI$5=$B116,INDEX(Decrements!$F$6:$F$58,Census!$G116+AI$5-18),0)+INDEX(Decrements!$E$6:$E$58,Census!$G116+AI$5-18)*IF((Census!$F116+AI$5)&gt;=Assumptions!$B$11,1,0))*MIN(15/26*Census!$D116*(1+Assumptions!$B$9)^AI$5*(INT((Census!$F116+AI$5))+IF((Census!$F116+AI$5)-INT((Census!$F116+AI$5))&gt;0.5,1,0)),Assumptions!$B$10))</f>
        <v>0</v>
      </c>
      <c r="AJ116" s="30">
        <f>IF(AJ$5&gt;$B116,0,INDEX(Decrements!$G$6:$G$58,Census!$G116+AJ$5-18)/INDEX(Decrements!$G$6:$G$58,Census!$G116-17)*(INDEX(Decrements!$D$6:$D$58,Census!$G116+AJ$5-18)+IF(AJ$5=$B116,INDEX(Decrements!$F$6:$F$58,Census!$G116+AJ$5-18),0)+INDEX(Decrements!$E$6:$E$58,Census!$G116+AJ$5-18)*IF((Census!$F116+AJ$5)&gt;=Assumptions!$B$11,1,0))*MIN(15/26*Census!$D116*(1+Assumptions!$B$9)^AJ$5*(INT((Census!$F116+AJ$5))+IF((Census!$F116+AJ$5)-INT((Census!$F116+AJ$5))&gt;0.5,1,0)),Assumptions!$B$10))</f>
        <v>0</v>
      </c>
      <c r="AK116" s="30">
        <f>IF(AK$5&gt;$B116,0,INDEX(Decrements!$G$6:$G$58,Census!$G116+AK$5-18)/INDEX(Decrements!$G$6:$G$58,Census!$G116-17)*(INDEX(Decrements!$D$6:$D$58,Census!$G116+AK$5-18)+IF(AK$5=$B116,INDEX(Decrements!$F$6:$F$58,Census!$G116+AK$5-18),0)+INDEX(Decrements!$E$6:$E$58,Census!$G116+AK$5-18)*IF((Census!$F116+AK$5)&gt;=Assumptions!$B$11,1,0))*MIN(15/26*Census!$D116*(1+Assumptions!$B$9)^AK$5*(INT((Census!$F116+AK$5))+IF((Census!$F116+AK$5)-INT((Census!$F116+AK$5))&gt;0.5,1,0)),Assumptions!$B$10))</f>
        <v>0</v>
      </c>
      <c r="AL116" s="30">
        <f>IF(AL$5&gt;$B116,0,INDEX(Decrements!$G$6:$G$58,Census!$G116+AL$5-18)/INDEX(Decrements!$G$6:$G$58,Census!$G116-17)*(INDEX(Decrements!$D$6:$D$58,Census!$G116+AL$5-18)+IF(AL$5=$B116,INDEX(Decrements!$F$6:$F$58,Census!$G116+AL$5-18),0)+INDEX(Decrements!$E$6:$E$58,Census!$G116+AL$5-18)*IF((Census!$F116+AL$5)&gt;=Assumptions!$B$11,1,0))*MIN(15/26*Census!$D116*(1+Assumptions!$B$9)^AL$5*(INT((Census!$F116+AL$5))+IF((Census!$F116+AL$5)-INT((Census!$F116+AL$5))&gt;0.5,1,0)),Assumptions!$B$10))</f>
        <v>0</v>
      </c>
      <c r="AM116" s="30">
        <f>IF(AM$5&gt;$B116,0,INDEX(Decrements!$G$6:$G$58,Census!$G116+AM$5-18)/INDEX(Decrements!$G$6:$G$58,Census!$G116-17)*(INDEX(Decrements!$D$6:$D$58,Census!$G116+AM$5-18)+IF(AM$5=$B116,INDEX(Decrements!$F$6:$F$58,Census!$G116+AM$5-18),0)+INDEX(Decrements!$E$6:$E$58,Census!$G116+AM$5-18)*IF((Census!$F116+AM$5)&gt;=Assumptions!$B$11,1,0))*MIN(15/26*Census!$D116*(1+Assumptions!$B$9)^AM$5*(INT((Census!$F116+AM$5))+IF((Census!$F116+AM$5)-INT((Census!$F116+AM$5))&gt;0.5,1,0)),Assumptions!$B$10))</f>
        <v>0</v>
      </c>
      <c r="AN116" s="30">
        <f>IF(AN$5&gt;$B116,0,INDEX(Decrements!$G$6:$G$58,Census!$G116+AN$5-18)/INDEX(Decrements!$G$6:$G$58,Census!$G116-17)*(INDEX(Decrements!$D$6:$D$58,Census!$G116+AN$5-18)+IF(AN$5=$B116,INDEX(Decrements!$F$6:$F$58,Census!$G116+AN$5-18),0)+INDEX(Decrements!$E$6:$E$58,Census!$G116+AN$5-18)*IF((Census!$F116+AN$5)&gt;=Assumptions!$B$11,1,0))*MIN(15/26*Census!$D116*(1+Assumptions!$B$9)^AN$5*(INT((Census!$F116+AN$5))+IF((Census!$F116+AN$5)-INT((Census!$F116+AN$5))&gt;0.5,1,0)),Assumptions!$B$10))</f>
        <v>0</v>
      </c>
      <c r="AO116" s="30">
        <f>IF(AO$5&gt;$B116,0,INDEX(Decrements!$G$6:$G$58,Census!$G116+AO$5-18)/INDEX(Decrements!$G$6:$G$58,Census!$G116-17)*(INDEX(Decrements!$D$6:$D$58,Census!$G116+AO$5-18)+IF(AO$5=$B116,INDEX(Decrements!$F$6:$F$58,Census!$G116+AO$5-18),0)+INDEX(Decrements!$E$6:$E$58,Census!$G116+AO$5-18)*IF((Census!$F116+AO$5)&gt;=Assumptions!$B$11,1,0))*MIN(15/26*Census!$D116*(1+Assumptions!$B$9)^AO$5*(INT((Census!$F116+AO$5))+IF((Census!$F116+AO$5)-INT((Census!$F116+AO$5))&gt;0.5,1,0)),Assumptions!$B$10))</f>
        <v>0</v>
      </c>
      <c r="AP116" s="30">
        <f>IF(AP$5&gt;$B116,0,INDEX(Decrements!$G$6:$G$58,Census!$G116+AP$5-18)/INDEX(Decrements!$G$6:$G$58,Census!$G116-17)*(INDEX(Decrements!$D$6:$D$58,Census!$G116+AP$5-18)+IF(AP$5=$B116,INDEX(Decrements!$F$6:$F$58,Census!$G116+AP$5-18),0)+INDEX(Decrements!$E$6:$E$58,Census!$G116+AP$5-18)*IF((Census!$F116+AP$5)&gt;=Assumptions!$B$11,1,0))*MIN(15/26*Census!$D116*(1+Assumptions!$B$9)^AP$5*(INT((Census!$F116+AP$5))+IF((Census!$F116+AP$5)-INT((Census!$F116+AP$5))&gt;0.5,1,0)),Assumptions!$B$10))</f>
        <v>0</v>
      </c>
      <c r="AQ116" s="30">
        <f>IF(AQ$5&gt;$B116,0,INDEX(Decrements!$G$6:$G$58,Census!$G116+AQ$5-18)/INDEX(Decrements!$G$6:$G$58,Census!$G116-17)*(INDEX(Decrements!$D$6:$D$58,Census!$G116+AQ$5-18)+IF(AQ$5=$B116,INDEX(Decrements!$F$6:$F$58,Census!$G116+AQ$5-18),0)+INDEX(Decrements!$E$6:$E$58,Census!$G116+AQ$5-18)*IF((Census!$F116+AQ$5)&gt;=Assumptions!$B$11,1,0))*MIN(15/26*Census!$D116*(1+Assumptions!$B$9)^AQ$5*(INT((Census!$F116+AQ$5))+IF((Census!$F116+AQ$5)-INT((Census!$F116+AQ$5))&gt;0.5,1,0)),Assumptions!$B$10))</f>
        <v>0</v>
      </c>
      <c r="AR116" s="30">
        <f>IF(AR$5&gt;$B116,0,INDEX(Decrements!$G$6:$G$58,Census!$G116+AR$5-18)/INDEX(Decrements!$G$6:$G$58,Census!$G116-17)*(INDEX(Decrements!$D$6:$D$58,Census!$G116+AR$5-18)+IF(AR$5=$B116,INDEX(Decrements!$F$6:$F$58,Census!$G116+AR$5-18),0)+INDEX(Decrements!$E$6:$E$58,Census!$G116+AR$5-18)*IF((Census!$F116+AR$5)&gt;=Assumptions!$B$11,1,0))*MIN(15/26*Census!$D116*(1+Assumptions!$B$9)^AR$5*(INT((Census!$F116+AR$5))+IF((Census!$F116+AR$5)-INT((Census!$F116+AR$5))&gt;0.5,1,0)),Assumptions!$B$10))</f>
        <v>0</v>
      </c>
      <c r="AS116" s="30">
        <f>IF(AS$5&gt;$B116,0,INDEX(Decrements!$G$6:$G$58,Census!$G116+AS$5-18)/INDEX(Decrements!$G$6:$G$58,Census!$G116-17)*(INDEX(Decrements!$D$6:$D$58,Census!$G116+AS$5-18)+IF(AS$5=$B116,INDEX(Decrements!$F$6:$F$58,Census!$G116+AS$5-18),0)+INDEX(Decrements!$E$6:$E$58,Census!$G116+AS$5-18)*IF((Census!$F116+AS$5)&gt;=Assumptions!$B$11,1,0))*MIN(15/26*Census!$D116*(1+Assumptions!$B$9)^AS$5*(INT((Census!$F116+AS$5))+IF((Census!$F116+AS$5)-INT((Census!$F116+AS$5))&gt;0.5,1,0)),Assumptions!$B$10))</f>
        <v>0</v>
      </c>
      <c r="AT116" s="30">
        <f>IF(AT$5&gt;$B116,0,INDEX(Decrements!$G$6:$G$58,Census!$G116+AT$5-18)/INDEX(Decrements!$G$6:$G$58,Census!$G116-17)*(INDEX(Decrements!$D$6:$D$58,Census!$G116+AT$5-18)+IF(AT$5=$B116,INDEX(Decrements!$F$6:$F$58,Census!$G116+AT$5-18),0)+INDEX(Decrements!$E$6:$E$58,Census!$G116+AT$5-18)*IF((Census!$F116+AT$5)&gt;=Assumptions!$B$11,1,0))*MIN(15/26*Census!$D116*(1+Assumptions!$B$9)^AT$5*(INT((Census!$F116+AT$5))+IF((Census!$F116+AT$5)-INT((Census!$F116+AT$5))&gt;0.5,1,0)),Assumptions!$B$10))</f>
        <v>0</v>
      </c>
      <c r="AU116" s="30">
        <f>IF(AU$5&gt;$B116,0,INDEX(Decrements!$G$6:$G$58,Census!$G116+AU$5-18)/INDEX(Decrements!$G$6:$G$58,Census!$G116-17)*(INDEX(Decrements!$D$6:$D$58,Census!$G116+AU$5-18)+IF(AU$5=$B116,INDEX(Decrements!$F$6:$F$58,Census!$G116+AU$5-18),0)+INDEX(Decrements!$E$6:$E$58,Census!$G116+AU$5-18)*IF((Census!$F116+AU$5)&gt;=Assumptions!$B$11,1,0))*MIN(15/26*Census!$D116*(1+Assumptions!$B$9)^AU$5*(INT((Census!$F116+AU$5))+IF((Census!$F116+AU$5)-INT((Census!$F116+AU$5))&gt;0.5,1,0)),Assumptions!$B$10))</f>
        <v>0</v>
      </c>
    </row>
    <row r="117" spans="1:47" x14ac:dyDescent="0.3">
      <c r="A117" s="10" t="str">
        <f>Census!A117</f>
        <v>E112</v>
      </c>
      <c r="B117" s="29">
        <f>Census!H117</f>
        <v>8</v>
      </c>
      <c r="C117" s="30">
        <f>IF(C$5&gt;$B117,0,INDEX(Decrements!$G$6:$G$58,Census!$G117+C$5-18)/INDEX(Decrements!$G$6:$G$58,Census!$G117-17)*(INDEX(Decrements!$D$6:$D$58,Census!$G117+C$5-18)+IF(C$5=$B117,INDEX(Decrements!$F$6:$F$58,Census!$G117+C$5-18),0)+INDEX(Decrements!$E$6:$E$58,Census!$G117+C$5-18)*IF((Census!$F117+C$5)&gt;=Assumptions!$B$11,1,0))*MIN(15/26*Census!$D117*(1+Assumptions!$B$9)^C$5*(INT((Census!$F117+C$5))+IF((Census!$F117+C$5)-INT((Census!$F117+C$5))&gt;0.5,1,0)),Assumptions!$B$10))</f>
        <v>46614.877713219343</v>
      </c>
      <c r="D117" s="30">
        <f>IF(D$5&gt;$B117,0,INDEX(Decrements!$G$6:$G$58,Census!$G117+D$5-18)/INDEX(Decrements!$G$6:$G$58,Census!$G117-17)*(INDEX(Decrements!$D$6:$D$58,Census!$G117+D$5-18)+IF(D$5=$B117,INDEX(Decrements!$F$6:$F$58,Census!$G117+D$5-18),0)+INDEX(Decrements!$E$6:$E$58,Census!$G117+D$5-18)*IF((Census!$F117+D$5)&gt;=Assumptions!$B$11,1,0))*MIN(15/26*Census!$D117*(1+Assumptions!$B$9)^D$5*(INT((Census!$F117+D$5))+IF((Census!$F117+D$5)-INT((Census!$F117+D$5))&gt;0.5,1,0)),Assumptions!$B$10))</f>
        <v>46096.984025151454</v>
      </c>
      <c r="E117" s="30">
        <f>IF(E$5&gt;$B117,0,INDEX(Decrements!$G$6:$G$58,Census!$G117+E$5-18)/INDEX(Decrements!$G$6:$G$58,Census!$G117-17)*(INDEX(Decrements!$D$6:$D$58,Census!$G117+E$5-18)+IF(E$5=$B117,INDEX(Decrements!$F$6:$F$58,Census!$G117+E$5-18),0)+INDEX(Decrements!$E$6:$E$58,Census!$G117+E$5-18)*IF((Census!$F117+E$5)&gt;=Assumptions!$B$11,1,0))*MIN(15/26*Census!$D117*(1+Assumptions!$B$9)^E$5*(INT((Census!$F117+E$5))+IF((Census!$F117+E$5)-INT((Census!$F117+E$5))&gt;0.5,1,0)),Assumptions!$B$10))</f>
        <v>45619.650957191101</v>
      </c>
      <c r="F117" s="30">
        <f>IF(F$5&gt;$B117,0,INDEX(Decrements!$G$6:$G$58,Census!$G117+F$5-18)/INDEX(Decrements!$G$6:$G$58,Census!$G117-17)*(INDEX(Decrements!$D$6:$D$58,Census!$G117+F$5-18)+IF(F$5=$B117,INDEX(Decrements!$F$6:$F$58,Census!$G117+F$5-18),0)+INDEX(Decrements!$E$6:$E$58,Census!$G117+F$5-18)*IF((Census!$F117+F$5)&gt;=Assumptions!$B$11,1,0))*MIN(15/26*Census!$D117*(1+Assumptions!$B$9)^F$5*(INT((Census!$F117+F$5))+IF((Census!$F117+F$5)-INT((Census!$F117+F$5))&gt;0.5,1,0)),Assumptions!$B$10))</f>
        <v>26648.182518169011</v>
      </c>
      <c r="G117" s="30">
        <f>IF(G$5&gt;$B117,0,INDEX(Decrements!$G$6:$G$58,Census!$G117+G$5-18)/INDEX(Decrements!$G$6:$G$58,Census!$G117-17)*(INDEX(Decrements!$D$6:$D$58,Census!$G117+G$5-18)+IF(G$5=$B117,INDEX(Decrements!$F$6:$F$58,Census!$G117+G$5-18),0)+INDEX(Decrements!$E$6:$E$58,Census!$G117+G$5-18)*IF((Census!$F117+G$5)&gt;=Assumptions!$B$11,1,0))*MIN(15/26*Census!$D117*(1+Assumptions!$B$9)^G$5*(INT((Census!$F117+G$5))+IF((Census!$F117+G$5)-INT((Census!$F117+G$5))&gt;0.5,1,0)),Assumptions!$B$10))</f>
        <v>26984.170206408889</v>
      </c>
      <c r="H117" s="30">
        <f>IF(H$5&gt;$B117,0,INDEX(Decrements!$G$6:$G$58,Census!$G117+H$5-18)/INDEX(Decrements!$G$6:$G$58,Census!$G117-17)*(INDEX(Decrements!$D$6:$D$58,Census!$G117+H$5-18)+IF(H$5=$B117,INDEX(Decrements!$F$6:$F$58,Census!$G117+H$5-18),0)+INDEX(Decrements!$E$6:$E$58,Census!$G117+H$5-18)*IF((Census!$F117+H$5)&gt;=Assumptions!$B$11,1,0))*MIN(15/26*Census!$D117*(1+Assumptions!$B$9)^H$5*(INT((Census!$F117+H$5))+IF((Census!$F117+H$5)-INT((Census!$F117+H$5))&gt;0.5,1,0)),Assumptions!$B$10))</f>
        <v>27364.613165849045</v>
      </c>
      <c r="I117" s="30">
        <f>IF(I$5&gt;$B117,0,INDEX(Decrements!$G$6:$G$58,Census!$G117+I$5-18)/INDEX(Decrements!$G$6:$G$58,Census!$G117-17)*(INDEX(Decrements!$D$6:$D$58,Census!$G117+I$5-18)+IF(I$5=$B117,INDEX(Decrements!$F$6:$F$58,Census!$G117+I$5-18),0)+INDEX(Decrements!$E$6:$E$58,Census!$G117+I$5-18)*IF((Census!$F117+I$5)&gt;=Assumptions!$B$11,1,0))*MIN(15/26*Census!$D117*(1+Assumptions!$B$9)^I$5*(INT((Census!$F117+I$5))+IF((Census!$F117+I$5)-INT((Census!$F117+I$5))&gt;0.5,1,0)),Assumptions!$B$10))</f>
        <v>27792.097083162003</v>
      </c>
      <c r="J117" s="30">
        <f>IF(J$5&gt;$B117,0,INDEX(Decrements!$G$6:$G$58,Census!$G117+J$5-18)/INDEX(Decrements!$G$6:$G$58,Census!$G117-17)*(INDEX(Decrements!$D$6:$D$58,Census!$G117+J$5-18)+IF(J$5=$B117,INDEX(Decrements!$F$6:$F$58,Census!$G117+J$5-18),0)+INDEX(Decrements!$E$6:$E$58,Census!$G117+J$5-18)*IF((Census!$F117+J$5)&gt;=Assumptions!$B$11,1,0))*MIN(15/26*Census!$D117*(1+Assumptions!$B$9)^J$5*(INT((Census!$F117+J$5))+IF((Census!$F117+J$5)-INT((Census!$F117+J$5))&gt;0.5,1,0)),Assumptions!$B$10))</f>
        <v>1752879.424330849</v>
      </c>
      <c r="K117" s="30">
        <f>IF(K$5&gt;$B117,0,INDEX(Decrements!$G$6:$G$58,Census!$G117+K$5-18)/INDEX(Decrements!$G$6:$G$58,Census!$G117-17)*(INDEX(Decrements!$D$6:$D$58,Census!$G117+K$5-18)+IF(K$5=$B117,INDEX(Decrements!$F$6:$F$58,Census!$G117+K$5-18),0)+INDEX(Decrements!$E$6:$E$58,Census!$G117+K$5-18)*IF((Census!$F117+K$5)&gt;=Assumptions!$B$11,1,0))*MIN(15/26*Census!$D117*(1+Assumptions!$B$9)^K$5*(INT((Census!$F117+K$5))+IF((Census!$F117+K$5)-INT((Census!$F117+K$5))&gt;0.5,1,0)),Assumptions!$B$10))</f>
        <v>0</v>
      </c>
      <c r="L117" s="30">
        <f>IF(L$5&gt;$B117,0,INDEX(Decrements!$G$6:$G$58,Census!$G117+L$5-18)/INDEX(Decrements!$G$6:$G$58,Census!$G117-17)*(INDEX(Decrements!$D$6:$D$58,Census!$G117+L$5-18)+IF(L$5=$B117,INDEX(Decrements!$F$6:$F$58,Census!$G117+L$5-18),0)+INDEX(Decrements!$E$6:$E$58,Census!$G117+L$5-18)*IF((Census!$F117+L$5)&gt;=Assumptions!$B$11,1,0))*MIN(15/26*Census!$D117*(1+Assumptions!$B$9)^L$5*(INT((Census!$F117+L$5))+IF((Census!$F117+L$5)-INT((Census!$F117+L$5))&gt;0.5,1,0)),Assumptions!$B$10))</f>
        <v>0</v>
      </c>
      <c r="M117" s="30">
        <f>IF(M$5&gt;$B117,0,INDEX(Decrements!$G$6:$G$58,Census!$G117+M$5-18)/INDEX(Decrements!$G$6:$G$58,Census!$G117-17)*(INDEX(Decrements!$D$6:$D$58,Census!$G117+M$5-18)+IF(M$5=$B117,INDEX(Decrements!$F$6:$F$58,Census!$G117+M$5-18),0)+INDEX(Decrements!$E$6:$E$58,Census!$G117+M$5-18)*IF((Census!$F117+M$5)&gt;=Assumptions!$B$11,1,0))*MIN(15/26*Census!$D117*(1+Assumptions!$B$9)^M$5*(INT((Census!$F117+M$5))+IF((Census!$F117+M$5)-INT((Census!$F117+M$5))&gt;0.5,1,0)),Assumptions!$B$10))</f>
        <v>0</v>
      </c>
      <c r="N117" s="30">
        <f>IF(N$5&gt;$B117,0,INDEX(Decrements!$G$6:$G$58,Census!$G117+N$5-18)/INDEX(Decrements!$G$6:$G$58,Census!$G117-17)*(INDEX(Decrements!$D$6:$D$58,Census!$G117+N$5-18)+IF(N$5=$B117,INDEX(Decrements!$F$6:$F$58,Census!$G117+N$5-18),0)+INDEX(Decrements!$E$6:$E$58,Census!$G117+N$5-18)*IF((Census!$F117+N$5)&gt;=Assumptions!$B$11,1,0))*MIN(15/26*Census!$D117*(1+Assumptions!$B$9)^N$5*(INT((Census!$F117+N$5))+IF((Census!$F117+N$5)-INT((Census!$F117+N$5))&gt;0.5,1,0)),Assumptions!$B$10))</f>
        <v>0</v>
      </c>
      <c r="O117" s="30">
        <f>IF(O$5&gt;$B117,0,INDEX(Decrements!$G$6:$G$58,Census!$G117+O$5-18)/INDEX(Decrements!$G$6:$G$58,Census!$G117-17)*(INDEX(Decrements!$D$6:$D$58,Census!$G117+O$5-18)+IF(O$5=$B117,INDEX(Decrements!$F$6:$F$58,Census!$G117+O$5-18),0)+INDEX(Decrements!$E$6:$E$58,Census!$G117+O$5-18)*IF((Census!$F117+O$5)&gt;=Assumptions!$B$11,1,0))*MIN(15/26*Census!$D117*(1+Assumptions!$B$9)^O$5*(INT((Census!$F117+O$5))+IF((Census!$F117+O$5)-INT((Census!$F117+O$5))&gt;0.5,1,0)),Assumptions!$B$10))</f>
        <v>0</v>
      </c>
      <c r="P117" s="30">
        <f>IF(P$5&gt;$B117,0,INDEX(Decrements!$G$6:$G$58,Census!$G117+P$5-18)/INDEX(Decrements!$G$6:$G$58,Census!$G117-17)*(INDEX(Decrements!$D$6:$D$58,Census!$G117+P$5-18)+IF(P$5=$B117,INDEX(Decrements!$F$6:$F$58,Census!$G117+P$5-18),0)+INDEX(Decrements!$E$6:$E$58,Census!$G117+P$5-18)*IF((Census!$F117+P$5)&gt;=Assumptions!$B$11,1,0))*MIN(15/26*Census!$D117*(1+Assumptions!$B$9)^P$5*(INT((Census!$F117+P$5))+IF((Census!$F117+P$5)-INT((Census!$F117+P$5))&gt;0.5,1,0)),Assumptions!$B$10))</f>
        <v>0</v>
      </c>
      <c r="Q117" s="30">
        <f>IF(Q$5&gt;$B117,0,INDEX(Decrements!$G$6:$G$58,Census!$G117+Q$5-18)/INDEX(Decrements!$G$6:$G$58,Census!$G117-17)*(INDEX(Decrements!$D$6:$D$58,Census!$G117+Q$5-18)+IF(Q$5=$B117,INDEX(Decrements!$F$6:$F$58,Census!$G117+Q$5-18),0)+INDEX(Decrements!$E$6:$E$58,Census!$G117+Q$5-18)*IF((Census!$F117+Q$5)&gt;=Assumptions!$B$11,1,0))*MIN(15/26*Census!$D117*(1+Assumptions!$B$9)^Q$5*(INT((Census!$F117+Q$5))+IF((Census!$F117+Q$5)-INT((Census!$F117+Q$5))&gt;0.5,1,0)),Assumptions!$B$10))</f>
        <v>0</v>
      </c>
      <c r="R117" s="30">
        <f>IF(R$5&gt;$B117,0,INDEX(Decrements!$G$6:$G$58,Census!$G117+R$5-18)/INDEX(Decrements!$G$6:$G$58,Census!$G117-17)*(INDEX(Decrements!$D$6:$D$58,Census!$G117+R$5-18)+IF(R$5=$B117,INDEX(Decrements!$F$6:$F$58,Census!$G117+R$5-18),0)+INDEX(Decrements!$E$6:$E$58,Census!$G117+R$5-18)*IF((Census!$F117+R$5)&gt;=Assumptions!$B$11,1,0))*MIN(15/26*Census!$D117*(1+Assumptions!$B$9)^R$5*(INT((Census!$F117+R$5))+IF((Census!$F117+R$5)-INT((Census!$F117+R$5))&gt;0.5,1,0)),Assumptions!$B$10))</f>
        <v>0</v>
      </c>
      <c r="S117" s="30">
        <f>IF(S$5&gt;$B117,0,INDEX(Decrements!$G$6:$G$58,Census!$G117+S$5-18)/INDEX(Decrements!$G$6:$G$58,Census!$G117-17)*(INDEX(Decrements!$D$6:$D$58,Census!$G117+S$5-18)+IF(S$5=$B117,INDEX(Decrements!$F$6:$F$58,Census!$G117+S$5-18),0)+INDEX(Decrements!$E$6:$E$58,Census!$G117+S$5-18)*IF((Census!$F117+S$5)&gt;=Assumptions!$B$11,1,0))*MIN(15/26*Census!$D117*(1+Assumptions!$B$9)^S$5*(INT((Census!$F117+S$5))+IF((Census!$F117+S$5)-INT((Census!$F117+S$5))&gt;0.5,1,0)),Assumptions!$B$10))</f>
        <v>0</v>
      </c>
      <c r="T117" s="30">
        <f>IF(T$5&gt;$B117,0,INDEX(Decrements!$G$6:$G$58,Census!$G117+T$5-18)/INDEX(Decrements!$G$6:$G$58,Census!$G117-17)*(INDEX(Decrements!$D$6:$D$58,Census!$G117+T$5-18)+IF(T$5=$B117,INDEX(Decrements!$F$6:$F$58,Census!$G117+T$5-18),0)+INDEX(Decrements!$E$6:$E$58,Census!$G117+T$5-18)*IF((Census!$F117+T$5)&gt;=Assumptions!$B$11,1,0))*MIN(15/26*Census!$D117*(1+Assumptions!$B$9)^T$5*(INT((Census!$F117+T$5))+IF((Census!$F117+T$5)-INT((Census!$F117+T$5))&gt;0.5,1,0)),Assumptions!$B$10))</f>
        <v>0</v>
      </c>
      <c r="U117" s="30">
        <f>IF(U$5&gt;$B117,0,INDEX(Decrements!$G$6:$G$58,Census!$G117+U$5-18)/INDEX(Decrements!$G$6:$G$58,Census!$G117-17)*(INDEX(Decrements!$D$6:$D$58,Census!$G117+U$5-18)+IF(U$5=$B117,INDEX(Decrements!$F$6:$F$58,Census!$G117+U$5-18),0)+INDEX(Decrements!$E$6:$E$58,Census!$G117+U$5-18)*IF((Census!$F117+U$5)&gt;=Assumptions!$B$11,1,0))*MIN(15/26*Census!$D117*(1+Assumptions!$B$9)^U$5*(INT((Census!$F117+U$5))+IF((Census!$F117+U$5)-INT((Census!$F117+U$5))&gt;0.5,1,0)),Assumptions!$B$10))</f>
        <v>0</v>
      </c>
      <c r="V117" s="30">
        <f>IF(V$5&gt;$B117,0,INDEX(Decrements!$G$6:$G$58,Census!$G117+V$5-18)/INDEX(Decrements!$G$6:$G$58,Census!$G117-17)*(INDEX(Decrements!$D$6:$D$58,Census!$G117+V$5-18)+IF(V$5=$B117,INDEX(Decrements!$F$6:$F$58,Census!$G117+V$5-18),0)+INDEX(Decrements!$E$6:$E$58,Census!$G117+V$5-18)*IF((Census!$F117+V$5)&gt;=Assumptions!$B$11,1,0))*MIN(15/26*Census!$D117*(1+Assumptions!$B$9)^V$5*(INT((Census!$F117+V$5))+IF((Census!$F117+V$5)-INT((Census!$F117+V$5))&gt;0.5,1,0)),Assumptions!$B$10))</f>
        <v>0</v>
      </c>
      <c r="W117" s="30">
        <f>IF(W$5&gt;$B117,0,INDEX(Decrements!$G$6:$G$58,Census!$G117+W$5-18)/INDEX(Decrements!$G$6:$G$58,Census!$G117-17)*(INDEX(Decrements!$D$6:$D$58,Census!$G117+W$5-18)+IF(W$5=$B117,INDEX(Decrements!$F$6:$F$58,Census!$G117+W$5-18),0)+INDEX(Decrements!$E$6:$E$58,Census!$G117+W$5-18)*IF((Census!$F117+W$5)&gt;=Assumptions!$B$11,1,0))*MIN(15/26*Census!$D117*(1+Assumptions!$B$9)^W$5*(INT((Census!$F117+W$5))+IF((Census!$F117+W$5)-INT((Census!$F117+W$5))&gt;0.5,1,0)),Assumptions!$B$10))</f>
        <v>0</v>
      </c>
      <c r="X117" s="30">
        <f>IF(X$5&gt;$B117,0,INDEX(Decrements!$G$6:$G$58,Census!$G117+X$5-18)/INDEX(Decrements!$G$6:$G$58,Census!$G117-17)*(INDEX(Decrements!$D$6:$D$58,Census!$G117+X$5-18)+IF(X$5=$B117,INDEX(Decrements!$F$6:$F$58,Census!$G117+X$5-18),0)+INDEX(Decrements!$E$6:$E$58,Census!$G117+X$5-18)*IF((Census!$F117+X$5)&gt;=Assumptions!$B$11,1,0))*MIN(15/26*Census!$D117*(1+Assumptions!$B$9)^X$5*(INT((Census!$F117+X$5))+IF((Census!$F117+X$5)-INT((Census!$F117+X$5))&gt;0.5,1,0)),Assumptions!$B$10))</f>
        <v>0</v>
      </c>
      <c r="Y117" s="30">
        <f>IF(Y$5&gt;$B117,0,INDEX(Decrements!$G$6:$G$58,Census!$G117+Y$5-18)/INDEX(Decrements!$G$6:$G$58,Census!$G117-17)*(INDEX(Decrements!$D$6:$D$58,Census!$G117+Y$5-18)+IF(Y$5=$B117,INDEX(Decrements!$F$6:$F$58,Census!$G117+Y$5-18),0)+INDEX(Decrements!$E$6:$E$58,Census!$G117+Y$5-18)*IF((Census!$F117+Y$5)&gt;=Assumptions!$B$11,1,0))*MIN(15/26*Census!$D117*(1+Assumptions!$B$9)^Y$5*(INT((Census!$F117+Y$5))+IF((Census!$F117+Y$5)-INT((Census!$F117+Y$5))&gt;0.5,1,0)),Assumptions!$B$10))</f>
        <v>0</v>
      </c>
      <c r="Z117" s="30">
        <f>IF(Z$5&gt;$B117,0,INDEX(Decrements!$G$6:$G$58,Census!$G117+Z$5-18)/INDEX(Decrements!$G$6:$G$58,Census!$G117-17)*(INDEX(Decrements!$D$6:$D$58,Census!$G117+Z$5-18)+IF(Z$5=$B117,INDEX(Decrements!$F$6:$F$58,Census!$G117+Z$5-18),0)+INDEX(Decrements!$E$6:$E$58,Census!$G117+Z$5-18)*IF((Census!$F117+Z$5)&gt;=Assumptions!$B$11,1,0))*MIN(15/26*Census!$D117*(1+Assumptions!$B$9)^Z$5*(INT((Census!$F117+Z$5))+IF((Census!$F117+Z$5)-INT((Census!$F117+Z$5))&gt;0.5,1,0)),Assumptions!$B$10))</f>
        <v>0</v>
      </c>
      <c r="AA117" s="30">
        <f>IF(AA$5&gt;$B117,0,INDEX(Decrements!$G$6:$G$58,Census!$G117+AA$5-18)/INDEX(Decrements!$G$6:$G$58,Census!$G117-17)*(INDEX(Decrements!$D$6:$D$58,Census!$G117+AA$5-18)+IF(AA$5=$B117,INDEX(Decrements!$F$6:$F$58,Census!$G117+AA$5-18),0)+INDEX(Decrements!$E$6:$E$58,Census!$G117+AA$5-18)*IF((Census!$F117+AA$5)&gt;=Assumptions!$B$11,1,0))*MIN(15/26*Census!$D117*(1+Assumptions!$B$9)^AA$5*(INT((Census!$F117+AA$5))+IF((Census!$F117+AA$5)-INT((Census!$F117+AA$5))&gt;0.5,1,0)),Assumptions!$B$10))</f>
        <v>0</v>
      </c>
      <c r="AB117" s="30">
        <f>IF(AB$5&gt;$B117,0,INDEX(Decrements!$G$6:$G$58,Census!$G117+AB$5-18)/INDEX(Decrements!$G$6:$G$58,Census!$G117-17)*(INDEX(Decrements!$D$6:$D$58,Census!$G117+AB$5-18)+IF(AB$5=$B117,INDEX(Decrements!$F$6:$F$58,Census!$G117+AB$5-18),0)+INDEX(Decrements!$E$6:$E$58,Census!$G117+AB$5-18)*IF((Census!$F117+AB$5)&gt;=Assumptions!$B$11,1,0))*MIN(15/26*Census!$D117*(1+Assumptions!$B$9)^AB$5*(INT((Census!$F117+AB$5))+IF((Census!$F117+AB$5)-INT((Census!$F117+AB$5))&gt;0.5,1,0)),Assumptions!$B$10))</f>
        <v>0</v>
      </c>
      <c r="AC117" s="30">
        <f>IF(AC$5&gt;$B117,0,INDEX(Decrements!$G$6:$G$58,Census!$G117+AC$5-18)/INDEX(Decrements!$G$6:$G$58,Census!$G117-17)*(INDEX(Decrements!$D$6:$D$58,Census!$G117+AC$5-18)+IF(AC$5=$B117,INDEX(Decrements!$F$6:$F$58,Census!$G117+AC$5-18),0)+INDEX(Decrements!$E$6:$E$58,Census!$G117+AC$5-18)*IF((Census!$F117+AC$5)&gt;=Assumptions!$B$11,1,0))*MIN(15/26*Census!$D117*(1+Assumptions!$B$9)^AC$5*(INT((Census!$F117+AC$5))+IF((Census!$F117+AC$5)-INT((Census!$F117+AC$5))&gt;0.5,1,0)),Assumptions!$B$10))</f>
        <v>0</v>
      </c>
      <c r="AD117" s="30">
        <f>IF(AD$5&gt;$B117,0,INDEX(Decrements!$G$6:$G$58,Census!$G117+AD$5-18)/INDEX(Decrements!$G$6:$G$58,Census!$G117-17)*(INDEX(Decrements!$D$6:$D$58,Census!$G117+AD$5-18)+IF(AD$5=$B117,INDEX(Decrements!$F$6:$F$58,Census!$G117+AD$5-18),0)+INDEX(Decrements!$E$6:$E$58,Census!$G117+AD$5-18)*IF((Census!$F117+AD$5)&gt;=Assumptions!$B$11,1,0))*MIN(15/26*Census!$D117*(1+Assumptions!$B$9)^AD$5*(INT((Census!$F117+AD$5))+IF((Census!$F117+AD$5)-INT((Census!$F117+AD$5))&gt;0.5,1,0)),Assumptions!$B$10))</f>
        <v>0</v>
      </c>
      <c r="AE117" s="30">
        <f>IF(AE$5&gt;$B117,0,INDEX(Decrements!$G$6:$G$58,Census!$G117+AE$5-18)/INDEX(Decrements!$G$6:$G$58,Census!$G117-17)*(INDEX(Decrements!$D$6:$D$58,Census!$G117+AE$5-18)+IF(AE$5=$B117,INDEX(Decrements!$F$6:$F$58,Census!$G117+AE$5-18),0)+INDEX(Decrements!$E$6:$E$58,Census!$G117+AE$5-18)*IF((Census!$F117+AE$5)&gt;=Assumptions!$B$11,1,0))*MIN(15/26*Census!$D117*(1+Assumptions!$B$9)^AE$5*(INT((Census!$F117+AE$5))+IF((Census!$F117+AE$5)-INT((Census!$F117+AE$5))&gt;0.5,1,0)),Assumptions!$B$10))</f>
        <v>0</v>
      </c>
      <c r="AF117" s="30">
        <f>IF(AF$5&gt;$B117,0,INDEX(Decrements!$G$6:$G$58,Census!$G117+AF$5-18)/INDEX(Decrements!$G$6:$G$58,Census!$G117-17)*(INDEX(Decrements!$D$6:$D$58,Census!$G117+AF$5-18)+IF(AF$5=$B117,INDEX(Decrements!$F$6:$F$58,Census!$G117+AF$5-18),0)+INDEX(Decrements!$E$6:$E$58,Census!$G117+AF$5-18)*IF((Census!$F117+AF$5)&gt;=Assumptions!$B$11,1,0))*MIN(15/26*Census!$D117*(1+Assumptions!$B$9)^AF$5*(INT((Census!$F117+AF$5))+IF((Census!$F117+AF$5)-INT((Census!$F117+AF$5))&gt;0.5,1,0)),Assumptions!$B$10))</f>
        <v>0</v>
      </c>
      <c r="AG117" s="30">
        <f>IF(AG$5&gt;$B117,0,INDEX(Decrements!$G$6:$G$58,Census!$G117+AG$5-18)/INDEX(Decrements!$G$6:$G$58,Census!$G117-17)*(INDEX(Decrements!$D$6:$D$58,Census!$G117+AG$5-18)+IF(AG$5=$B117,INDEX(Decrements!$F$6:$F$58,Census!$G117+AG$5-18),0)+INDEX(Decrements!$E$6:$E$58,Census!$G117+AG$5-18)*IF((Census!$F117+AG$5)&gt;=Assumptions!$B$11,1,0))*MIN(15/26*Census!$D117*(1+Assumptions!$B$9)^AG$5*(INT((Census!$F117+AG$5))+IF((Census!$F117+AG$5)-INT((Census!$F117+AG$5))&gt;0.5,1,0)),Assumptions!$B$10))</f>
        <v>0</v>
      </c>
      <c r="AH117" s="30">
        <f>IF(AH$5&gt;$B117,0,INDEX(Decrements!$G$6:$G$58,Census!$G117+AH$5-18)/INDEX(Decrements!$G$6:$G$58,Census!$G117-17)*(INDEX(Decrements!$D$6:$D$58,Census!$G117+AH$5-18)+IF(AH$5=$B117,INDEX(Decrements!$F$6:$F$58,Census!$G117+AH$5-18),0)+INDEX(Decrements!$E$6:$E$58,Census!$G117+AH$5-18)*IF((Census!$F117+AH$5)&gt;=Assumptions!$B$11,1,0))*MIN(15/26*Census!$D117*(1+Assumptions!$B$9)^AH$5*(INT((Census!$F117+AH$5))+IF((Census!$F117+AH$5)-INT((Census!$F117+AH$5))&gt;0.5,1,0)),Assumptions!$B$10))</f>
        <v>0</v>
      </c>
      <c r="AI117" s="30">
        <f>IF(AI$5&gt;$B117,0,INDEX(Decrements!$G$6:$G$58,Census!$G117+AI$5-18)/INDEX(Decrements!$G$6:$G$58,Census!$G117-17)*(INDEX(Decrements!$D$6:$D$58,Census!$G117+AI$5-18)+IF(AI$5=$B117,INDEX(Decrements!$F$6:$F$58,Census!$G117+AI$5-18),0)+INDEX(Decrements!$E$6:$E$58,Census!$G117+AI$5-18)*IF((Census!$F117+AI$5)&gt;=Assumptions!$B$11,1,0))*MIN(15/26*Census!$D117*(1+Assumptions!$B$9)^AI$5*(INT((Census!$F117+AI$5))+IF((Census!$F117+AI$5)-INT((Census!$F117+AI$5))&gt;0.5,1,0)),Assumptions!$B$10))</f>
        <v>0</v>
      </c>
      <c r="AJ117" s="30">
        <f>IF(AJ$5&gt;$B117,0,INDEX(Decrements!$G$6:$G$58,Census!$G117+AJ$5-18)/INDEX(Decrements!$G$6:$G$58,Census!$G117-17)*(INDEX(Decrements!$D$6:$D$58,Census!$G117+AJ$5-18)+IF(AJ$5=$B117,INDEX(Decrements!$F$6:$F$58,Census!$G117+AJ$5-18),0)+INDEX(Decrements!$E$6:$E$58,Census!$G117+AJ$5-18)*IF((Census!$F117+AJ$5)&gt;=Assumptions!$B$11,1,0))*MIN(15/26*Census!$D117*(1+Assumptions!$B$9)^AJ$5*(INT((Census!$F117+AJ$5))+IF((Census!$F117+AJ$5)-INT((Census!$F117+AJ$5))&gt;0.5,1,0)),Assumptions!$B$10))</f>
        <v>0</v>
      </c>
      <c r="AK117" s="30">
        <f>IF(AK$5&gt;$B117,0,INDEX(Decrements!$G$6:$G$58,Census!$G117+AK$5-18)/INDEX(Decrements!$G$6:$G$58,Census!$G117-17)*(INDEX(Decrements!$D$6:$D$58,Census!$G117+AK$5-18)+IF(AK$5=$B117,INDEX(Decrements!$F$6:$F$58,Census!$G117+AK$5-18),0)+INDEX(Decrements!$E$6:$E$58,Census!$G117+AK$5-18)*IF((Census!$F117+AK$5)&gt;=Assumptions!$B$11,1,0))*MIN(15/26*Census!$D117*(1+Assumptions!$B$9)^AK$5*(INT((Census!$F117+AK$5))+IF((Census!$F117+AK$5)-INT((Census!$F117+AK$5))&gt;0.5,1,0)),Assumptions!$B$10))</f>
        <v>0</v>
      </c>
      <c r="AL117" s="30">
        <f>IF(AL$5&gt;$B117,0,INDEX(Decrements!$G$6:$G$58,Census!$G117+AL$5-18)/INDEX(Decrements!$G$6:$G$58,Census!$G117-17)*(INDEX(Decrements!$D$6:$D$58,Census!$G117+AL$5-18)+IF(AL$5=$B117,INDEX(Decrements!$F$6:$F$58,Census!$G117+AL$5-18),0)+INDEX(Decrements!$E$6:$E$58,Census!$G117+AL$5-18)*IF((Census!$F117+AL$5)&gt;=Assumptions!$B$11,1,0))*MIN(15/26*Census!$D117*(1+Assumptions!$B$9)^AL$5*(INT((Census!$F117+AL$5))+IF((Census!$F117+AL$5)-INT((Census!$F117+AL$5))&gt;0.5,1,0)),Assumptions!$B$10))</f>
        <v>0</v>
      </c>
      <c r="AM117" s="30">
        <f>IF(AM$5&gt;$B117,0,INDEX(Decrements!$G$6:$G$58,Census!$G117+AM$5-18)/INDEX(Decrements!$G$6:$G$58,Census!$G117-17)*(INDEX(Decrements!$D$6:$D$58,Census!$G117+AM$5-18)+IF(AM$5=$B117,INDEX(Decrements!$F$6:$F$58,Census!$G117+AM$5-18),0)+INDEX(Decrements!$E$6:$E$58,Census!$G117+AM$5-18)*IF((Census!$F117+AM$5)&gt;=Assumptions!$B$11,1,0))*MIN(15/26*Census!$D117*(1+Assumptions!$B$9)^AM$5*(INT((Census!$F117+AM$5))+IF((Census!$F117+AM$5)-INT((Census!$F117+AM$5))&gt;0.5,1,0)),Assumptions!$B$10))</f>
        <v>0</v>
      </c>
      <c r="AN117" s="30">
        <f>IF(AN$5&gt;$B117,0,INDEX(Decrements!$G$6:$G$58,Census!$G117+AN$5-18)/INDEX(Decrements!$G$6:$G$58,Census!$G117-17)*(INDEX(Decrements!$D$6:$D$58,Census!$G117+AN$5-18)+IF(AN$5=$B117,INDEX(Decrements!$F$6:$F$58,Census!$G117+AN$5-18),0)+INDEX(Decrements!$E$6:$E$58,Census!$G117+AN$5-18)*IF((Census!$F117+AN$5)&gt;=Assumptions!$B$11,1,0))*MIN(15/26*Census!$D117*(1+Assumptions!$B$9)^AN$5*(INT((Census!$F117+AN$5))+IF((Census!$F117+AN$5)-INT((Census!$F117+AN$5))&gt;0.5,1,0)),Assumptions!$B$10))</f>
        <v>0</v>
      </c>
      <c r="AO117" s="30">
        <f>IF(AO$5&gt;$B117,0,INDEX(Decrements!$G$6:$G$58,Census!$G117+AO$5-18)/INDEX(Decrements!$G$6:$G$58,Census!$G117-17)*(INDEX(Decrements!$D$6:$D$58,Census!$G117+AO$5-18)+IF(AO$5=$B117,INDEX(Decrements!$F$6:$F$58,Census!$G117+AO$5-18),0)+INDEX(Decrements!$E$6:$E$58,Census!$G117+AO$5-18)*IF((Census!$F117+AO$5)&gt;=Assumptions!$B$11,1,0))*MIN(15/26*Census!$D117*(1+Assumptions!$B$9)^AO$5*(INT((Census!$F117+AO$5))+IF((Census!$F117+AO$5)-INT((Census!$F117+AO$5))&gt;0.5,1,0)),Assumptions!$B$10))</f>
        <v>0</v>
      </c>
      <c r="AP117" s="30">
        <f>IF(AP$5&gt;$B117,0,INDEX(Decrements!$G$6:$G$58,Census!$G117+AP$5-18)/INDEX(Decrements!$G$6:$G$58,Census!$G117-17)*(INDEX(Decrements!$D$6:$D$58,Census!$G117+AP$5-18)+IF(AP$5=$B117,INDEX(Decrements!$F$6:$F$58,Census!$G117+AP$5-18),0)+INDEX(Decrements!$E$6:$E$58,Census!$G117+AP$5-18)*IF((Census!$F117+AP$5)&gt;=Assumptions!$B$11,1,0))*MIN(15/26*Census!$D117*(1+Assumptions!$B$9)^AP$5*(INT((Census!$F117+AP$5))+IF((Census!$F117+AP$5)-INT((Census!$F117+AP$5))&gt;0.5,1,0)),Assumptions!$B$10))</f>
        <v>0</v>
      </c>
      <c r="AQ117" s="30">
        <f>IF(AQ$5&gt;$B117,0,INDEX(Decrements!$G$6:$G$58,Census!$G117+AQ$5-18)/INDEX(Decrements!$G$6:$G$58,Census!$G117-17)*(INDEX(Decrements!$D$6:$D$58,Census!$G117+AQ$5-18)+IF(AQ$5=$B117,INDEX(Decrements!$F$6:$F$58,Census!$G117+AQ$5-18),0)+INDEX(Decrements!$E$6:$E$58,Census!$G117+AQ$5-18)*IF((Census!$F117+AQ$5)&gt;=Assumptions!$B$11,1,0))*MIN(15/26*Census!$D117*(1+Assumptions!$B$9)^AQ$5*(INT((Census!$F117+AQ$5))+IF((Census!$F117+AQ$5)-INT((Census!$F117+AQ$5))&gt;0.5,1,0)),Assumptions!$B$10))</f>
        <v>0</v>
      </c>
      <c r="AR117" s="30">
        <f>IF(AR$5&gt;$B117,0,INDEX(Decrements!$G$6:$G$58,Census!$G117+AR$5-18)/INDEX(Decrements!$G$6:$G$58,Census!$G117-17)*(INDEX(Decrements!$D$6:$D$58,Census!$G117+AR$5-18)+IF(AR$5=$B117,INDEX(Decrements!$F$6:$F$58,Census!$G117+AR$5-18),0)+INDEX(Decrements!$E$6:$E$58,Census!$G117+AR$5-18)*IF((Census!$F117+AR$5)&gt;=Assumptions!$B$11,1,0))*MIN(15/26*Census!$D117*(1+Assumptions!$B$9)^AR$5*(INT((Census!$F117+AR$5))+IF((Census!$F117+AR$5)-INT((Census!$F117+AR$5))&gt;0.5,1,0)),Assumptions!$B$10))</f>
        <v>0</v>
      </c>
      <c r="AS117" s="30">
        <f>IF(AS$5&gt;$B117,0,INDEX(Decrements!$G$6:$G$58,Census!$G117+AS$5-18)/INDEX(Decrements!$G$6:$G$58,Census!$G117-17)*(INDEX(Decrements!$D$6:$D$58,Census!$G117+AS$5-18)+IF(AS$5=$B117,INDEX(Decrements!$F$6:$F$58,Census!$G117+AS$5-18),0)+INDEX(Decrements!$E$6:$E$58,Census!$G117+AS$5-18)*IF((Census!$F117+AS$5)&gt;=Assumptions!$B$11,1,0))*MIN(15/26*Census!$D117*(1+Assumptions!$B$9)^AS$5*(INT((Census!$F117+AS$5))+IF((Census!$F117+AS$5)-INT((Census!$F117+AS$5))&gt;0.5,1,0)),Assumptions!$B$10))</f>
        <v>0</v>
      </c>
      <c r="AT117" s="30">
        <f>IF(AT$5&gt;$B117,0,INDEX(Decrements!$G$6:$G$58,Census!$G117+AT$5-18)/INDEX(Decrements!$G$6:$G$58,Census!$G117-17)*(INDEX(Decrements!$D$6:$D$58,Census!$G117+AT$5-18)+IF(AT$5=$B117,INDEX(Decrements!$F$6:$F$58,Census!$G117+AT$5-18),0)+INDEX(Decrements!$E$6:$E$58,Census!$G117+AT$5-18)*IF((Census!$F117+AT$5)&gt;=Assumptions!$B$11,1,0))*MIN(15/26*Census!$D117*(1+Assumptions!$B$9)^AT$5*(INT((Census!$F117+AT$5))+IF((Census!$F117+AT$5)-INT((Census!$F117+AT$5))&gt;0.5,1,0)),Assumptions!$B$10))</f>
        <v>0</v>
      </c>
      <c r="AU117" s="30">
        <f>IF(AU$5&gt;$B117,0,INDEX(Decrements!$G$6:$G$58,Census!$G117+AU$5-18)/INDEX(Decrements!$G$6:$G$58,Census!$G117-17)*(INDEX(Decrements!$D$6:$D$58,Census!$G117+AU$5-18)+IF(AU$5=$B117,INDEX(Decrements!$F$6:$F$58,Census!$G117+AU$5-18),0)+INDEX(Decrements!$E$6:$E$58,Census!$G117+AU$5-18)*IF((Census!$F117+AU$5)&gt;=Assumptions!$B$11,1,0))*MIN(15/26*Census!$D117*(1+Assumptions!$B$9)^AU$5*(INT((Census!$F117+AU$5))+IF((Census!$F117+AU$5)-INT((Census!$F117+AU$5))&gt;0.5,1,0)),Assumptions!$B$10))</f>
        <v>0</v>
      </c>
    </row>
    <row r="118" spans="1:47" x14ac:dyDescent="0.3">
      <c r="A118" s="10" t="str">
        <f>Census!A118</f>
        <v>E113</v>
      </c>
      <c r="B118" s="29">
        <f>Census!H118</f>
        <v>28</v>
      </c>
      <c r="C118" s="30">
        <f>IF(C$5&gt;$B118,0,INDEX(Decrements!$G$6:$G$58,Census!$G118+C$5-18)/INDEX(Decrements!$G$6:$G$58,Census!$G118-17)*(INDEX(Decrements!$D$6:$D$58,Census!$G118+C$5-18)+IF(C$5=$B118,INDEX(Decrements!$F$6:$F$58,Census!$G118+C$5-18),0)+INDEX(Decrements!$E$6:$E$58,Census!$G118+C$5-18)*IF((Census!$F118+C$5)&gt;=Assumptions!$B$11,1,0))*MIN(15/26*Census!$D118*(1+Assumptions!$B$9)^C$5*(INT((Census!$F118+C$5))+IF((Census!$F118+C$5)-INT((Census!$F118+C$5))&gt;0.5,1,0)),Assumptions!$B$10))</f>
        <v>41900.303773950603</v>
      </c>
      <c r="D118" s="30">
        <f>IF(D$5&gt;$B118,0,INDEX(Decrements!$G$6:$G$58,Census!$G118+D$5-18)/INDEX(Decrements!$G$6:$G$58,Census!$G118-17)*(INDEX(Decrements!$D$6:$D$58,Census!$G118+D$5-18)+IF(D$5=$B118,INDEX(Decrements!$F$6:$F$58,Census!$G118+D$5-18),0)+INDEX(Decrements!$E$6:$E$58,Census!$G118+D$5-18)*IF((Census!$F118+D$5)&gt;=Assumptions!$B$11,1,0))*MIN(15/26*Census!$D118*(1+Assumptions!$B$9)^D$5*(INT((Census!$F118+D$5))+IF((Census!$F118+D$5)-INT((Census!$F118+D$5))&gt;0.5,1,0)),Assumptions!$B$10))</f>
        <v>43914.488375484812</v>
      </c>
      <c r="E118" s="30">
        <f>IF(E$5&gt;$B118,0,INDEX(Decrements!$G$6:$G$58,Census!$G118+E$5-18)/INDEX(Decrements!$G$6:$G$58,Census!$G118-17)*(INDEX(Decrements!$D$6:$D$58,Census!$G118+E$5-18)+IF(E$5=$B118,INDEX(Decrements!$F$6:$F$58,Census!$G118+E$5-18),0)+INDEX(Decrements!$E$6:$E$58,Census!$G118+E$5-18)*IF((Census!$F118+E$5)&gt;=Assumptions!$B$11,1,0))*MIN(15/26*Census!$D118*(1+Assumptions!$B$9)^E$5*(INT((Census!$F118+E$5))+IF((Census!$F118+E$5)-INT((Census!$F118+E$5))&gt;0.5,1,0)),Assumptions!$B$10))</f>
        <v>45705.468213926513</v>
      </c>
      <c r="F118" s="30">
        <f>IF(F$5&gt;$B118,0,INDEX(Decrements!$G$6:$G$58,Census!$G118+F$5-18)/INDEX(Decrements!$G$6:$G$58,Census!$G118-17)*(INDEX(Decrements!$D$6:$D$58,Census!$G118+F$5-18)+IF(F$5=$B118,INDEX(Decrements!$F$6:$F$58,Census!$G118+F$5-18),0)+INDEX(Decrements!$E$6:$E$58,Census!$G118+F$5-18)*IF((Census!$F118+F$5)&gt;=Assumptions!$B$11,1,0))*MIN(15/26*Census!$D118*(1+Assumptions!$B$9)^F$5*(INT((Census!$F118+F$5))+IF((Census!$F118+F$5)-INT((Census!$F118+F$5))&gt;0.5,1,0)),Assumptions!$B$10))</f>
        <v>34506.00145793931</v>
      </c>
      <c r="G118" s="30">
        <f>IF(G$5&gt;$B118,0,INDEX(Decrements!$G$6:$G$58,Census!$G118+G$5-18)/INDEX(Decrements!$G$6:$G$58,Census!$G118-17)*(INDEX(Decrements!$D$6:$D$58,Census!$G118+G$5-18)+IF(G$5=$B118,INDEX(Decrements!$F$6:$F$58,Census!$G118+G$5-18),0)+INDEX(Decrements!$E$6:$E$58,Census!$G118+G$5-18)*IF((Census!$F118+G$5)&gt;=Assumptions!$B$11,1,0))*MIN(15/26*Census!$D118*(1+Assumptions!$B$9)^G$5*(INT((Census!$F118+G$5))+IF((Census!$F118+G$5)-INT((Census!$F118+G$5))&gt;0.5,1,0)),Assumptions!$B$10))</f>
        <v>36722.347313076913</v>
      </c>
      <c r="H118" s="30">
        <f>IF(H$5&gt;$B118,0,INDEX(Decrements!$G$6:$G$58,Census!$G118+H$5-18)/INDEX(Decrements!$G$6:$G$58,Census!$G118-17)*(INDEX(Decrements!$D$6:$D$58,Census!$G118+H$5-18)+IF(H$5=$B118,INDEX(Decrements!$F$6:$F$58,Census!$G118+H$5-18),0)+INDEX(Decrements!$E$6:$E$58,Census!$G118+H$5-18)*IF((Census!$F118+H$5)&gt;=Assumptions!$B$11,1,0))*MIN(15/26*Census!$D118*(1+Assumptions!$B$9)^H$5*(INT((Census!$F118+H$5))+IF((Census!$F118+H$5)-INT((Census!$F118+H$5))&gt;0.5,1,0)),Assumptions!$B$10))</f>
        <v>38907.646176305243</v>
      </c>
      <c r="I118" s="30">
        <f>IF(I$5&gt;$B118,0,INDEX(Decrements!$G$6:$G$58,Census!$G118+I$5-18)/INDEX(Decrements!$G$6:$G$58,Census!$G118-17)*(INDEX(Decrements!$D$6:$D$58,Census!$G118+I$5-18)+IF(I$5=$B118,INDEX(Decrements!$F$6:$F$58,Census!$G118+I$5-18),0)+INDEX(Decrements!$E$6:$E$58,Census!$G118+I$5-18)*IF((Census!$F118+I$5)&gt;=Assumptions!$B$11,1,0))*MIN(15/26*Census!$D118*(1+Assumptions!$B$9)^I$5*(INT((Census!$F118+I$5))+IF((Census!$F118+I$5)-INT((Census!$F118+I$5))&gt;0.5,1,0)),Assumptions!$B$10))</f>
        <v>41062.292756172079</v>
      </c>
      <c r="J118" s="30">
        <f>IF(J$5&gt;$B118,0,INDEX(Decrements!$G$6:$G$58,Census!$G118+J$5-18)/INDEX(Decrements!$G$6:$G$58,Census!$G118-17)*(INDEX(Decrements!$D$6:$D$58,Census!$G118+J$5-18)+IF(J$5=$B118,INDEX(Decrements!$F$6:$F$58,Census!$G118+J$5-18),0)+INDEX(Decrements!$E$6:$E$58,Census!$G118+J$5-18)*IF((Census!$F118+J$5)&gt;=Assumptions!$B$11,1,0))*MIN(15/26*Census!$D118*(1+Assumptions!$B$9)^J$5*(INT((Census!$F118+J$5))+IF((Census!$F118+J$5)-INT((Census!$F118+J$5))&gt;0.5,1,0)),Assumptions!$B$10))</f>
        <v>43186.684473667425</v>
      </c>
      <c r="K118" s="30">
        <f>IF(K$5&gt;$B118,0,INDEX(Decrements!$G$6:$G$58,Census!$G118+K$5-18)/INDEX(Decrements!$G$6:$G$58,Census!$G118-17)*(INDEX(Decrements!$D$6:$D$58,Census!$G118+K$5-18)+IF(K$5=$B118,INDEX(Decrements!$F$6:$F$58,Census!$G118+K$5-18),0)+INDEX(Decrements!$E$6:$E$58,Census!$G118+K$5-18)*IF((Census!$F118+K$5)&gt;=Assumptions!$B$11,1,0))*MIN(15/26*Census!$D118*(1+Assumptions!$B$9)^K$5*(INT((Census!$F118+K$5))+IF((Census!$F118+K$5)-INT((Census!$F118+K$5))&gt;0.5,1,0)),Assumptions!$B$10))</f>
        <v>28582.684288981487</v>
      </c>
      <c r="L118" s="30">
        <f>IF(L$5&gt;$B118,0,INDEX(Decrements!$G$6:$G$58,Census!$G118+L$5-18)/INDEX(Decrements!$G$6:$G$58,Census!$G118-17)*(INDEX(Decrements!$D$6:$D$58,Census!$G118+L$5-18)+IF(L$5=$B118,INDEX(Decrements!$F$6:$F$58,Census!$G118+L$5-18),0)+INDEX(Decrements!$E$6:$E$58,Census!$G118+L$5-18)*IF((Census!$F118+L$5)&gt;=Assumptions!$B$11,1,0))*MIN(15/26*Census!$D118*(1+Assumptions!$B$9)^L$5*(INT((Census!$F118+L$5))+IF((Census!$F118+L$5)-INT((Census!$F118+L$5))&gt;0.5,1,0)),Assumptions!$B$10))</f>
        <v>30881.82420109423</v>
      </c>
      <c r="M118" s="30">
        <f>IF(M$5&gt;$B118,0,INDEX(Decrements!$G$6:$G$58,Census!$G118+M$5-18)/INDEX(Decrements!$G$6:$G$58,Census!$G118-17)*(INDEX(Decrements!$D$6:$D$58,Census!$G118+M$5-18)+IF(M$5=$B118,INDEX(Decrements!$F$6:$F$58,Census!$G118+M$5-18),0)+INDEX(Decrements!$E$6:$E$58,Census!$G118+M$5-18)*IF((Census!$F118+M$5)&gt;=Assumptions!$B$11,1,0))*MIN(15/26*Census!$D118*(1+Assumptions!$B$9)^M$5*(INT((Census!$F118+M$5))+IF((Census!$F118+M$5)-INT((Census!$F118+M$5))&gt;0.5,1,0)),Assumptions!$B$10))</f>
        <v>33285.04498479185</v>
      </c>
      <c r="N118" s="30">
        <f>IF(N$5&gt;$B118,0,INDEX(Decrements!$G$6:$G$58,Census!$G118+N$5-18)/INDEX(Decrements!$G$6:$G$58,Census!$G118-17)*(INDEX(Decrements!$D$6:$D$58,Census!$G118+N$5-18)+IF(N$5=$B118,INDEX(Decrements!$F$6:$F$58,Census!$G118+N$5-18),0)+INDEX(Decrements!$E$6:$E$58,Census!$G118+N$5-18)*IF((Census!$F118+N$5)&gt;=Assumptions!$B$11,1,0))*MIN(15/26*Census!$D118*(1+Assumptions!$B$9)^N$5*(INT((Census!$F118+N$5))+IF((Census!$F118+N$5)-INT((Census!$F118+N$5))&gt;0.5,1,0)),Assumptions!$B$10))</f>
        <v>35796.931712969374</v>
      </c>
      <c r="O118" s="30">
        <f>IF(O$5&gt;$B118,0,INDEX(Decrements!$G$6:$G$58,Census!$G118+O$5-18)/INDEX(Decrements!$G$6:$G$58,Census!$G118-17)*(INDEX(Decrements!$D$6:$D$58,Census!$G118+O$5-18)+IF(O$5=$B118,INDEX(Decrements!$F$6:$F$58,Census!$G118+O$5-18),0)+INDEX(Decrements!$E$6:$E$58,Census!$G118+O$5-18)*IF((Census!$F118+O$5)&gt;=Assumptions!$B$11,1,0))*MIN(15/26*Census!$D118*(1+Assumptions!$B$9)^O$5*(INT((Census!$F118+O$5))+IF((Census!$F118+O$5)-INT((Census!$F118+O$5))&gt;0.5,1,0)),Assumptions!$B$10))</f>
        <v>38422.341601389075</v>
      </c>
      <c r="P118" s="30">
        <f>IF(P$5&gt;$B118,0,INDEX(Decrements!$G$6:$G$58,Census!$G118+P$5-18)/INDEX(Decrements!$G$6:$G$58,Census!$G118-17)*(INDEX(Decrements!$D$6:$D$58,Census!$G118+P$5-18)+IF(P$5=$B118,INDEX(Decrements!$F$6:$F$58,Census!$G118+P$5-18),0)+INDEX(Decrements!$E$6:$E$58,Census!$G118+P$5-18)*IF((Census!$F118+P$5)&gt;=Assumptions!$B$11,1,0))*MIN(15/26*Census!$D118*(1+Assumptions!$B$9)^P$5*(INT((Census!$F118+P$5))+IF((Census!$F118+P$5)-INT((Census!$F118+P$5))&gt;0.5,1,0)),Assumptions!$B$10))</f>
        <v>22550.715686535121</v>
      </c>
      <c r="Q118" s="30">
        <f>IF(Q$5&gt;$B118,0,INDEX(Decrements!$G$6:$G$58,Census!$G118+Q$5-18)/INDEX(Decrements!$G$6:$G$58,Census!$G118-17)*(INDEX(Decrements!$D$6:$D$58,Census!$G118+Q$5-18)+IF(Q$5=$B118,INDEX(Decrements!$F$6:$F$58,Census!$G118+Q$5-18),0)+INDEX(Decrements!$E$6:$E$58,Census!$G118+Q$5-18)*IF((Census!$F118+Q$5)&gt;=Assumptions!$B$11,1,0))*MIN(15/26*Census!$D118*(1+Assumptions!$B$9)^Q$5*(INT((Census!$F118+Q$5))+IF((Census!$F118+Q$5)-INT((Census!$F118+Q$5))&gt;0.5,1,0)),Assumptions!$B$10))</f>
        <v>21933.45998360432</v>
      </c>
      <c r="R118" s="30">
        <f>IF(R$5&gt;$B118,0,INDEX(Decrements!$G$6:$G$58,Census!$G118+R$5-18)/INDEX(Decrements!$G$6:$G$58,Census!$G118-17)*(INDEX(Decrements!$D$6:$D$58,Census!$G118+R$5-18)+IF(R$5=$B118,INDEX(Decrements!$F$6:$F$58,Census!$G118+R$5-18),0)+INDEX(Decrements!$E$6:$E$58,Census!$G118+R$5-18)*IF((Census!$F118+R$5)&gt;=Assumptions!$B$11,1,0))*MIN(15/26*Census!$D118*(1+Assumptions!$B$9)^R$5*(INT((Census!$F118+R$5))+IF((Census!$F118+R$5)-INT((Census!$F118+R$5))&gt;0.5,1,0)),Assumptions!$B$10))</f>
        <v>21339.181945306518</v>
      </c>
      <c r="S118" s="30">
        <f>IF(S$5&gt;$B118,0,INDEX(Decrements!$G$6:$G$58,Census!$G118+S$5-18)/INDEX(Decrements!$G$6:$G$58,Census!$G118-17)*(INDEX(Decrements!$D$6:$D$58,Census!$G118+S$5-18)+IF(S$5=$B118,INDEX(Decrements!$F$6:$F$58,Census!$G118+S$5-18),0)+INDEX(Decrements!$E$6:$E$58,Census!$G118+S$5-18)*IF((Census!$F118+S$5)&gt;=Assumptions!$B$11,1,0))*MIN(15/26*Census!$D118*(1+Assumptions!$B$9)^S$5*(INT((Census!$F118+S$5))+IF((Census!$F118+S$5)-INT((Census!$F118+S$5))&gt;0.5,1,0)),Assumptions!$B$10))</f>
        <v>20767.412084971365</v>
      </c>
      <c r="T118" s="30">
        <f>IF(T$5&gt;$B118,0,INDEX(Decrements!$G$6:$G$58,Census!$G118+T$5-18)/INDEX(Decrements!$G$6:$G$58,Census!$G118-17)*(INDEX(Decrements!$D$6:$D$58,Census!$G118+T$5-18)+IF(T$5=$B118,INDEX(Decrements!$F$6:$F$58,Census!$G118+T$5-18),0)+INDEX(Decrements!$E$6:$E$58,Census!$G118+T$5-18)*IF((Census!$F118+T$5)&gt;=Assumptions!$B$11,1,0))*MIN(15/26*Census!$D118*(1+Assumptions!$B$9)^T$5*(INT((Census!$F118+T$5))+IF((Census!$F118+T$5)-INT((Census!$F118+T$5))&gt;0.5,1,0)),Assumptions!$B$10))</f>
        <v>20217.701659826253</v>
      </c>
      <c r="U118" s="30">
        <f>IF(U$5&gt;$B118,0,INDEX(Decrements!$G$6:$G$58,Census!$G118+U$5-18)/INDEX(Decrements!$G$6:$G$58,Census!$G118-17)*(INDEX(Decrements!$D$6:$D$58,Census!$G118+U$5-18)+IF(U$5=$B118,INDEX(Decrements!$F$6:$F$58,Census!$G118+U$5-18),0)+INDEX(Decrements!$E$6:$E$58,Census!$G118+U$5-18)*IF((Census!$F118+U$5)&gt;=Assumptions!$B$11,1,0))*MIN(15/26*Census!$D118*(1+Assumptions!$B$9)^U$5*(INT((Census!$F118+U$5))+IF((Census!$F118+U$5)-INT((Census!$F118+U$5))&gt;0.5,1,0)),Assumptions!$B$10))</f>
        <v>13699.006311373214</v>
      </c>
      <c r="V118" s="30">
        <f>IF(V$5&gt;$B118,0,INDEX(Decrements!$G$6:$G$58,Census!$G118+V$5-18)/INDEX(Decrements!$G$6:$G$58,Census!$G118-17)*(INDEX(Decrements!$D$6:$D$58,Census!$G118+V$5-18)+IF(V$5=$B118,INDEX(Decrements!$F$6:$F$58,Census!$G118+V$5-18),0)+INDEX(Decrements!$E$6:$E$58,Census!$G118+V$5-18)*IF((Census!$F118+V$5)&gt;=Assumptions!$B$11,1,0))*MIN(15/26*Census!$D118*(1+Assumptions!$B$9)^V$5*(INT((Census!$F118+V$5))+IF((Census!$F118+V$5)-INT((Census!$F118+V$5))&gt;0.5,1,0)),Assumptions!$B$10))</f>
        <v>13527.943738582888</v>
      </c>
      <c r="W118" s="30">
        <f>IF(W$5&gt;$B118,0,INDEX(Decrements!$G$6:$G$58,Census!$G118+W$5-18)/INDEX(Decrements!$G$6:$G$58,Census!$G118-17)*(INDEX(Decrements!$D$6:$D$58,Census!$G118+W$5-18)+IF(W$5=$B118,INDEX(Decrements!$F$6:$F$58,Census!$G118+W$5-18),0)+INDEX(Decrements!$E$6:$E$58,Census!$G118+W$5-18)*IF((Census!$F118+W$5)&gt;=Assumptions!$B$11,1,0))*MIN(15/26*Census!$D118*(1+Assumptions!$B$9)^W$5*(INT((Census!$F118+W$5))+IF((Census!$F118+W$5)-INT((Census!$F118+W$5))&gt;0.5,1,0)),Assumptions!$B$10))</f>
        <v>13368.035154970408</v>
      </c>
      <c r="X118" s="30">
        <f>IF(X$5&gt;$B118,0,INDEX(Decrements!$G$6:$G$58,Census!$G118+X$5-18)/INDEX(Decrements!$G$6:$G$58,Census!$G118-17)*(INDEX(Decrements!$D$6:$D$58,Census!$G118+X$5-18)+IF(X$5=$B118,INDEX(Decrements!$F$6:$F$58,Census!$G118+X$5-18),0)+INDEX(Decrements!$E$6:$E$58,Census!$G118+X$5-18)*IF((Census!$F118+X$5)&gt;=Assumptions!$B$11,1,0))*MIN(15/26*Census!$D118*(1+Assumptions!$B$9)^X$5*(INT((Census!$F118+X$5))+IF((Census!$F118+X$5)-INT((Census!$F118+X$5))&gt;0.5,1,0)),Assumptions!$B$10))</f>
        <v>13219.515597089739</v>
      </c>
      <c r="Y118" s="30">
        <f>IF(Y$5&gt;$B118,0,INDEX(Decrements!$G$6:$G$58,Census!$G118+Y$5-18)/INDEX(Decrements!$G$6:$G$58,Census!$G118-17)*(INDEX(Decrements!$D$6:$D$58,Census!$G118+Y$5-18)+IF(Y$5=$B118,INDEX(Decrements!$F$6:$F$58,Census!$G118+Y$5-18),0)+INDEX(Decrements!$E$6:$E$58,Census!$G118+Y$5-18)*IF((Census!$F118+Y$5)&gt;=Assumptions!$B$11,1,0))*MIN(15/26*Census!$D118*(1+Assumptions!$B$9)^Y$5*(INT((Census!$F118+Y$5))+IF((Census!$F118+Y$5)-INT((Census!$F118+Y$5))&gt;0.5,1,0)),Assumptions!$B$10))</f>
        <v>13082.627857677857</v>
      </c>
      <c r="Z118" s="30">
        <f>IF(Z$5&gt;$B118,0,INDEX(Decrements!$G$6:$G$58,Census!$G118+Z$5-18)/INDEX(Decrements!$G$6:$G$58,Census!$G118-17)*(INDEX(Decrements!$D$6:$D$58,Census!$G118+Z$5-18)+IF(Z$5=$B118,INDEX(Decrements!$F$6:$F$58,Census!$G118+Z$5-18),0)+INDEX(Decrements!$E$6:$E$58,Census!$G118+Z$5-18)*IF((Census!$F118+Z$5)&gt;=Assumptions!$B$11,1,0))*MIN(15/26*Census!$D118*(1+Assumptions!$B$9)^Z$5*(INT((Census!$F118+Z$5))+IF((Census!$F118+Z$5)-INT((Census!$F118+Z$5))&gt;0.5,1,0)),Assumptions!$B$10))</f>
        <v>7642.0631822858595</v>
      </c>
      <c r="AA118" s="30">
        <f>IF(AA$5&gt;$B118,0,INDEX(Decrements!$G$6:$G$58,Census!$G118+AA$5-18)/INDEX(Decrements!$G$6:$G$58,Census!$G118-17)*(INDEX(Decrements!$D$6:$D$58,Census!$G118+AA$5-18)+IF(AA$5=$B118,INDEX(Decrements!$F$6:$F$58,Census!$G118+AA$5-18),0)+INDEX(Decrements!$E$6:$E$58,Census!$G118+AA$5-18)*IF((Census!$F118+AA$5)&gt;=Assumptions!$B$11,1,0))*MIN(15/26*Census!$D118*(1+Assumptions!$B$9)^AA$5*(INT((Census!$F118+AA$5))+IF((Census!$F118+AA$5)-INT((Census!$F118+AA$5))&gt;0.5,1,0)),Assumptions!$B$10))</f>
        <v>7738.416437906526</v>
      </c>
      <c r="AB118" s="30">
        <f>IF(AB$5&gt;$B118,0,INDEX(Decrements!$G$6:$G$58,Census!$G118+AB$5-18)/INDEX(Decrements!$G$6:$G$58,Census!$G118-17)*(INDEX(Decrements!$D$6:$D$58,Census!$G118+AB$5-18)+IF(AB$5=$B118,INDEX(Decrements!$F$6:$F$58,Census!$G118+AB$5-18),0)+INDEX(Decrements!$E$6:$E$58,Census!$G118+AB$5-18)*IF((Census!$F118+AB$5)&gt;=Assumptions!$B$11,1,0))*MIN(15/26*Census!$D118*(1+Assumptions!$B$9)^AB$5*(INT((Census!$F118+AB$5))+IF((Census!$F118+AB$5)-INT((Census!$F118+AB$5))&gt;0.5,1,0)),Assumptions!$B$10))</f>
        <v>7847.5184050412518</v>
      </c>
      <c r="AC118" s="30">
        <f>IF(AC$5&gt;$B118,0,INDEX(Decrements!$G$6:$G$58,Census!$G118+AC$5-18)/INDEX(Decrements!$G$6:$G$58,Census!$G118-17)*(INDEX(Decrements!$D$6:$D$58,Census!$G118+AC$5-18)+IF(AC$5=$B118,INDEX(Decrements!$F$6:$F$58,Census!$G118+AC$5-18),0)+INDEX(Decrements!$E$6:$E$58,Census!$G118+AC$5-18)*IF((Census!$F118+AC$5)&gt;=Assumptions!$B$11,1,0))*MIN(15/26*Census!$D118*(1+Assumptions!$B$9)^AC$5*(INT((Census!$F118+AC$5))+IF((Census!$F118+AC$5)-INT((Census!$F118+AC$5))&gt;0.5,1,0)),Assumptions!$B$10))</f>
        <v>7970.1105969586306</v>
      </c>
      <c r="AD118" s="30">
        <f>IF(AD$5&gt;$B118,0,INDEX(Decrements!$G$6:$G$58,Census!$G118+AD$5-18)/INDEX(Decrements!$G$6:$G$58,Census!$G118-17)*(INDEX(Decrements!$D$6:$D$58,Census!$G118+AD$5-18)+IF(AD$5=$B118,INDEX(Decrements!$F$6:$F$58,Census!$G118+AD$5-18),0)+INDEX(Decrements!$E$6:$E$58,Census!$G118+AD$5-18)*IF((Census!$F118+AD$5)&gt;=Assumptions!$B$11,1,0))*MIN(15/26*Census!$D118*(1+Assumptions!$B$9)^AD$5*(INT((Census!$F118+AD$5))+IF((Census!$F118+AD$5)-INT((Census!$F118+AD$5))&gt;0.5,1,0)),Assumptions!$B$10))</f>
        <v>502684.01240992476</v>
      </c>
      <c r="AE118" s="30">
        <f>IF(AE$5&gt;$B118,0,INDEX(Decrements!$G$6:$G$58,Census!$G118+AE$5-18)/INDEX(Decrements!$G$6:$G$58,Census!$G118-17)*(INDEX(Decrements!$D$6:$D$58,Census!$G118+AE$5-18)+IF(AE$5=$B118,INDEX(Decrements!$F$6:$F$58,Census!$G118+AE$5-18),0)+INDEX(Decrements!$E$6:$E$58,Census!$G118+AE$5-18)*IF((Census!$F118+AE$5)&gt;=Assumptions!$B$11,1,0))*MIN(15/26*Census!$D118*(1+Assumptions!$B$9)^AE$5*(INT((Census!$F118+AE$5))+IF((Census!$F118+AE$5)-INT((Census!$F118+AE$5))&gt;0.5,1,0)),Assumptions!$B$10))</f>
        <v>0</v>
      </c>
      <c r="AF118" s="30">
        <f>IF(AF$5&gt;$B118,0,INDEX(Decrements!$G$6:$G$58,Census!$G118+AF$5-18)/INDEX(Decrements!$G$6:$G$58,Census!$G118-17)*(INDEX(Decrements!$D$6:$D$58,Census!$G118+AF$5-18)+IF(AF$5=$B118,INDEX(Decrements!$F$6:$F$58,Census!$G118+AF$5-18),0)+INDEX(Decrements!$E$6:$E$58,Census!$G118+AF$5-18)*IF((Census!$F118+AF$5)&gt;=Assumptions!$B$11,1,0))*MIN(15/26*Census!$D118*(1+Assumptions!$B$9)^AF$5*(INT((Census!$F118+AF$5))+IF((Census!$F118+AF$5)-INT((Census!$F118+AF$5))&gt;0.5,1,0)),Assumptions!$B$10))</f>
        <v>0</v>
      </c>
      <c r="AG118" s="30">
        <f>IF(AG$5&gt;$B118,0,INDEX(Decrements!$G$6:$G$58,Census!$G118+AG$5-18)/INDEX(Decrements!$G$6:$G$58,Census!$G118-17)*(INDEX(Decrements!$D$6:$D$58,Census!$G118+AG$5-18)+IF(AG$5=$B118,INDEX(Decrements!$F$6:$F$58,Census!$G118+AG$5-18),0)+INDEX(Decrements!$E$6:$E$58,Census!$G118+AG$5-18)*IF((Census!$F118+AG$5)&gt;=Assumptions!$B$11,1,0))*MIN(15/26*Census!$D118*(1+Assumptions!$B$9)^AG$5*(INT((Census!$F118+AG$5))+IF((Census!$F118+AG$5)-INT((Census!$F118+AG$5))&gt;0.5,1,0)),Assumptions!$B$10))</f>
        <v>0</v>
      </c>
      <c r="AH118" s="30">
        <f>IF(AH$5&gt;$B118,0,INDEX(Decrements!$G$6:$G$58,Census!$G118+AH$5-18)/INDEX(Decrements!$G$6:$G$58,Census!$G118-17)*(INDEX(Decrements!$D$6:$D$58,Census!$G118+AH$5-18)+IF(AH$5=$B118,INDEX(Decrements!$F$6:$F$58,Census!$G118+AH$5-18),0)+INDEX(Decrements!$E$6:$E$58,Census!$G118+AH$5-18)*IF((Census!$F118+AH$5)&gt;=Assumptions!$B$11,1,0))*MIN(15/26*Census!$D118*(1+Assumptions!$B$9)^AH$5*(INT((Census!$F118+AH$5))+IF((Census!$F118+AH$5)-INT((Census!$F118+AH$5))&gt;0.5,1,0)),Assumptions!$B$10))</f>
        <v>0</v>
      </c>
      <c r="AI118" s="30">
        <f>IF(AI$5&gt;$B118,0,INDEX(Decrements!$G$6:$G$58,Census!$G118+AI$5-18)/INDEX(Decrements!$G$6:$G$58,Census!$G118-17)*(INDEX(Decrements!$D$6:$D$58,Census!$G118+AI$5-18)+IF(AI$5=$B118,INDEX(Decrements!$F$6:$F$58,Census!$G118+AI$5-18),0)+INDEX(Decrements!$E$6:$E$58,Census!$G118+AI$5-18)*IF((Census!$F118+AI$5)&gt;=Assumptions!$B$11,1,0))*MIN(15/26*Census!$D118*(1+Assumptions!$B$9)^AI$5*(INT((Census!$F118+AI$5))+IF((Census!$F118+AI$5)-INT((Census!$F118+AI$5))&gt;0.5,1,0)),Assumptions!$B$10))</f>
        <v>0</v>
      </c>
      <c r="AJ118" s="30">
        <f>IF(AJ$5&gt;$B118,0,INDEX(Decrements!$G$6:$G$58,Census!$G118+AJ$5-18)/INDEX(Decrements!$G$6:$G$58,Census!$G118-17)*(INDEX(Decrements!$D$6:$D$58,Census!$G118+AJ$5-18)+IF(AJ$5=$B118,INDEX(Decrements!$F$6:$F$58,Census!$G118+AJ$5-18),0)+INDEX(Decrements!$E$6:$E$58,Census!$G118+AJ$5-18)*IF((Census!$F118+AJ$5)&gt;=Assumptions!$B$11,1,0))*MIN(15/26*Census!$D118*(1+Assumptions!$B$9)^AJ$5*(INT((Census!$F118+AJ$5))+IF((Census!$F118+AJ$5)-INT((Census!$F118+AJ$5))&gt;0.5,1,0)),Assumptions!$B$10))</f>
        <v>0</v>
      </c>
      <c r="AK118" s="30">
        <f>IF(AK$5&gt;$B118,0,INDEX(Decrements!$G$6:$G$58,Census!$G118+AK$5-18)/INDEX(Decrements!$G$6:$G$58,Census!$G118-17)*(INDEX(Decrements!$D$6:$D$58,Census!$G118+AK$5-18)+IF(AK$5=$B118,INDEX(Decrements!$F$6:$F$58,Census!$G118+AK$5-18),0)+INDEX(Decrements!$E$6:$E$58,Census!$G118+AK$5-18)*IF((Census!$F118+AK$5)&gt;=Assumptions!$B$11,1,0))*MIN(15/26*Census!$D118*(1+Assumptions!$B$9)^AK$5*(INT((Census!$F118+AK$5))+IF((Census!$F118+AK$5)-INT((Census!$F118+AK$5))&gt;0.5,1,0)),Assumptions!$B$10))</f>
        <v>0</v>
      </c>
      <c r="AL118" s="30">
        <f>IF(AL$5&gt;$B118,0,INDEX(Decrements!$G$6:$G$58,Census!$G118+AL$5-18)/INDEX(Decrements!$G$6:$G$58,Census!$G118-17)*(INDEX(Decrements!$D$6:$D$58,Census!$G118+AL$5-18)+IF(AL$5=$B118,INDEX(Decrements!$F$6:$F$58,Census!$G118+AL$5-18),0)+INDEX(Decrements!$E$6:$E$58,Census!$G118+AL$5-18)*IF((Census!$F118+AL$5)&gt;=Assumptions!$B$11,1,0))*MIN(15/26*Census!$D118*(1+Assumptions!$B$9)^AL$5*(INT((Census!$F118+AL$5))+IF((Census!$F118+AL$5)-INT((Census!$F118+AL$5))&gt;0.5,1,0)),Assumptions!$B$10))</f>
        <v>0</v>
      </c>
      <c r="AM118" s="30">
        <f>IF(AM$5&gt;$B118,0,INDEX(Decrements!$G$6:$G$58,Census!$G118+AM$5-18)/INDEX(Decrements!$G$6:$G$58,Census!$G118-17)*(INDEX(Decrements!$D$6:$D$58,Census!$G118+AM$5-18)+IF(AM$5=$B118,INDEX(Decrements!$F$6:$F$58,Census!$G118+AM$5-18),0)+INDEX(Decrements!$E$6:$E$58,Census!$G118+AM$5-18)*IF((Census!$F118+AM$5)&gt;=Assumptions!$B$11,1,0))*MIN(15/26*Census!$D118*(1+Assumptions!$B$9)^AM$5*(INT((Census!$F118+AM$5))+IF((Census!$F118+AM$5)-INT((Census!$F118+AM$5))&gt;0.5,1,0)),Assumptions!$B$10))</f>
        <v>0</v>
      </c>
      <c r="AN118" s="30">
        <f>IF(AN$5&gt;$B118,0,INDEX(Decrements!$G$6:$G$58,Census!$G118+AN$5-18)/INDEX(Decrements!$G$6:$G$58,Census!$G118-17)*(INDEX(Decrements!$D$6:$D$58,Census!$G118+AN$5-18)+IF(AN$5=$B118,INDEX(Decrements!$F$6:$F$58,Census!$G118+AN$5-18),0)+INDEX(Decrements!$E$6:$E$58,Census!$G118+AN$5-18)*IF((Census!$F118+AN$5)&gt;=Assumptions!$B$11,1,0))*MIN(15/26*Census!$D118*(1+Assumptions!$B$9)^AN$5*(INT((Census!$F118+AN$5))+IF((Census!$F118+AN$5)-INT((Census!$F118+AN$5))&gt;0.5,1,0)),Assumptions!$B$10))</f>
        <v>0</v>
      </c>
      <c r="AO118" s="30">
        <f>IF(AO$5&gt;$B118,0,INDEX(Decrements!$G$6:$G$58,Census!$G118+AO$5-18)/INDEX(Decrements!$G$6:$G$58,Census!$G118-17)*(INDEX(Decrements!$D$6:$D$58,Census!$G118+AO$5-18)+IF(AO$5=$B118,INDEX(Decrements!$F$6:$F$58,Census!$G118+AO$5-18),0)+INDEX(Decrements!$E$6:$E$58,Census!$G118+AO$5-18)*IF((Census!$F118+AO$5)&gt;=Assumptions!$B$11,1,0))*MIN(15/26*Census!$D118*(1+Assumptions!$B$9)^AO$5*(INT((Census!$F118+AO$5))+IF((Census!$F118+AO$5)-INT((Census!$F118+AO$5))&gt;0.5,1,0)),Assumptions!$B$10))</f>
        <v>0</v>
      </c>
      <c r="AP118" s="30">
        <f>IF(AP$5&gt;$B118,0,INDEX(Decrements!$G$6:$G$58,Census!$G118+AP$5-18)/INDEX(Decrements!$G$6:$G$58,Census!$G118-17)*(INDEX(Decrements!$D$6:$D$58,Census!$G118+AP$5-18)+IF(AP$5=$B118,INDEX(Decrements!$F$6:$F$58,Census!$G118+AP$5-18),0)+INDEX(Decrements!$E$6:$E$58,Census!$G118+AP$5-18)*IF((Census!$F118+AP$5)&gt;=Assumptions!$B$11,1,0))*MIN(15/26*Census!$D118*(1+Assumptions!$B$9)^AP$5*(INT((Census!$F118+AP$5))+IF((Census!$F118+AP$5)-INT((Census!$F118+AP$5))&gt;0.5,1,0)),Assumptions!$B$10))</f>
        <v>0</v>
      </c>
      <c r="AQ118" s="30">
        <f>IF(AQ$5&gt;$B118,0,INDEX(Decrements!$G$6:$G$58,Census!$G118+AQ$5-18)/INDEX(Decrements!$G$6:$G$58,Census!$G118-17)*(INDEX(Decrements!$D$6:$D$58,Census!$G118+AQ$5-18)+IF(AQ$5=$B118,INDEX(Decrements!$F$6:$F$58,Census!$G118+AQ$5-18),0)+INDEX(Decrements!$E$6:$E$58,Census!$G118+AQ$5-18)*IF((Census!$F118+AQ$5)&gt;=Assumptions!$B$11,1,0))*MIN(15/26*Census!$D118*(1+Assumptions!$B$9)^AQ$5*(INT((Census!$F118+AQ$5))+IF((Census!$F118+AQ$5)-INT((Census!$F118+AQ$5))&gt;0.5,1,0)),Assumptions!$B$10))</f>
        <v>0</v>
      </c>
      <c r="AR118" s="30">
        <f>IF(AR$5&gt;$B118,0,INDEX(Decrements!$G$6:$G$58,Census!$G118+AR$5-18)/INDEX(Decrements!$G$6:$G$58,Census!$G118-17)*(INDEX(Decrements!$D$6:$D$58,Census!$G118+AR$5-18)+IF(AR$5=$B118,INDEX(Decrements!$F$6:$F$58,Census!$G118+AR$5-18),0)+INDEX(Decrements!$E$6:$E$58,Census!$G118+AR$5-18)*IF((Census!$F118+AR$5)&gt;=Assumptions!$B$11,1,0))*MIN(15/26*Census!$D118*(1+Assumptions!$B$9)^AR$5*(INT((Census!$F118+AR$5))+IF((Census!$F118+AR$5)-INT((Census!$F118+AR$5))&gt;0.5,1,0)),Assumptions!$B$10))</f>
        <v>0</v>
      </c>
      <c r="AS118" s="30">
        <f>IF(AS$5&gt;$B118,0,INDEX(Decrements!$G$6:$G$58,Census!$G118+AS$5-18)/INDEX(Decrements!$G$6:$G$58,Census!$G118-17)*(INDEX(Decrements!$D$6:$D$58,Census!$G118+AS$5-18)+IF(AS$5=$B118,INDEX(Decrements!$F$6:$F$58,Census!$G118+AS$5-18),0)+INDEX(Decrements!$E$6:$E$58,Census!$G118+AS$5-18)*IF((Census!$F118+AS$5)&gt;=Assumptions!$B$11,1,0))*MIN(15/26*Census!$D118*(1+Assumptions!$B$9)^AS$5*(INT((Census!$F118+AS$5))+IF((Census!$F118+AS$5)-INT((Census!$F118+AS$5))&gt;0.5,1,0)),Assumptions!$B$10))</f>
        <v>0</v>
      </c>
      <c r="AT118" s="30">
        <f>IF(AT$5&gt;$B118,0,INDEX(Decrements!$G$6:$G$58,Census!$G118+AT$5-18)/INDEX(Decrements!$G$6:$G$58,Census!$G118-17)*(INDEX(Decrements!$D$6:$D$58,Census!$G118+AT$5-18)+IF(AT$5=$B118,INDEX(Decrements!$F$6:$F$58,Census!$G118+AT$5-18),0)+INDEX(Decrements!$E$6:$E$58,Census!$G118+AT$5-18)*IF((Census!$F118+AT$5)&gt;=Assumptions!$B$11,1,0))*MIN(15/26*Census!$D118*(1+Assumptions!$B$9)^AT$5*(INT((Census!$F118+AT$5))+IF((Census!$F118+AT$5)-INT((Census!$F118+AT$5))&gt;0.5,1,0)),Assumptions!$B$10))</f>
        <v>0</v>
      </c>
      <c r="AU118" s="30">
        <f>IF(AU$5&gt;$B118,0,INDEX(Decrements!$G$6:$G$58,Census!$G118+AU$5-18)/INDEX(Decrements!$G$6:$G$58,Census!$G118-17)*(INDEX(Decrements!$D$6:$D$58,Census!$G118+AU$5-18)+IF(AU$5=$B118,INDEX(Decrements!$F$6:$F$58,Census!$G118+AU$5-18),0)+INDEX(Decrements!$E$6:$E$58,Census!$G118+AU$5-18)*IF((Census!$F118+AU$5)&gt;=Assumptions!$B$11,1,0))*MIN(15/26*Census!$D118*(1+Assumptions!$B$9)^AU$5*(INT((Census!$F118+AU$5))+IF((Census!$F118+AU$5)-INT((Census!$F118+AU$5))&gt;0.5,1,0)),Assumptions!$B$10))</f>
        <v>0</v>
      </c>
    </row>
    <row r="119" spans="1:47" x14ac:dyDescent="0.3">
      <c r="A119" s="10" t="str">
        <f>Census!A119</f>
        <v>E114</v>
      </c>
      <c r="B119" s="29">
        <f>Census!H119</f>
        <v>30</v>
      </c>
      <c r="C119" s="30">
        <f>IF(C$5&gt;$B119,0,INDEX(Decrements!$G$6:$G$58,Census!$G119+C$5-18)/INDEX(Decrements!$G$6:$G$58,Census!$G119-17)*(INDEX(Decrements!$D$6:$D$58,Census!$G119+C$5-18)+IF(C$5=$B119,INDEX(Decrements!$F$6:$F$58,Census!$G119+C$5-18),0)+INDEX(Decrements!$E$6:$E$58,Census!$G119+C$5-18)*IF((Census!$F119+C$5)&gt;=Assumptions!$B$11,1,0))*MIN(15/26*Census!$D119*(1+Assumptions!$B$9)^C$5*(INT((Census!$F119+C$5))+IF((Census!$F119+C$5)-INT((Census!$F119+C$5))&gt;0.5,1,0)),Assumptions!$B$10))</f>
        <v>70204.501134772581</v>
      </c>
      <c r="D119" s="30">
        <f>IF(D$5&gt;$B119,0,INDEX(Decrements!$G$6:$G$58,Census!$G119+D$5-18)/INDEX(Decrements!$G$6:$G$58,Census!$G119-17)*(INDEX(Decrements!$D$6:$D$58,Census!$G119+D$5-18)+IF(D$5=$B119,INDEX(Decrements!$F$6:$F$58,Census!$G119+D$5-18),0)+INDEX(Decrements!$E$6:$E$58,Census!$G119+D$5-18)*IF((Census!$F119+D$5)&gt;=Assumptions!$B$11,1,0))*MIN(15/26*Census!$D119*(1+Assumptions!$B$9)^D$5*(INT((Census!$F119+D$5))+IF((Census!$F119+D$5)-INT((Census!$F119+D$5))&gt;0.5,1,0)),Assumptions!$B$10))</f>
        <v>74193.595352140735</v>
      </c>
      <c r="E119" s="30">
        <f>IF(E$5&gt;$B119,0,INDEX(Decrements!$G$6:$G$58,Census!$G119+E$5-18)/INDEX(Decrements!$G$6:$G$58,Census!$G119-17)*(INDEX(Decrements!$D$6:$D$58,Census!$G119+E$5-18)+IF(E$5=$B119,INDEX(Decrements!$F$6:$F$58,Census!$G119+E$5-18),0)+INDEX(Decrements!$E$6:$E$58,Census!$G119+E$5-18)*IF((Census!$F119+E$5)&gt;=Assumptions!$B$11,1,0))*MIN(15/26*Census!$D119*(1+Assumptions!$B$9)^E$5*(INT((Census!$F119+E$5))+IF((Census!$F119+E$5)-INT((Census!$F119+E$5))&gt;0.5,1,0)),Assumptions!$B$10))</f>
        <v>77760.774312022055</v>
      </c>
      <c r="F119" s="30">
        <f>IF(F$5&gt;$B119,0,INDEX(Decrements!$G$6:$G$58,Census!$G119+F$5-18)/INDEX(Decrements!$G$6:$G$58,Census!$G119-17)*(INDEX(Decrements!$D$6:$D$58,Census!$G119+F$5-18)+IF(F$5=$B119,INDEX(Decrements!$F$6:$F$58,Census!$G119+F$5-18),0)+INDEX(Decrements!$E$6:$E$58,Census!$G119+F$5-18)*IF((Census!$F119+F$5)&gt;=Assumptions!$B$11,1,0))*MIN(15/26*Census!$D119*(1+Assumptions!$B$9)^F$5*(INT((Census!$F119+F$5))+IF((Census!$F119+F$5)-INT((Census!$F119+F$5))&gt;0.5,1,0)),Assumptions!$B$10))</f>
        <v>80932.839485616088</v>
      </c>
      <c r="G119" s="30">
        <f>IF(G$5&gt;$B119,0,INDEX(Decrements!$G$6:$G$58,Census!$G119+G$5-18)/INDEX(Decrements!$G$6:$G$58,Census!$G119-17)*(INDEX(Decrements!$D$6:$D$58,Census!$G119+G$5-18)+IF(G$5=$B119,INDEX(Decrements!$F$6:$F$58,Census!$G119+G$5-18),0)+INDEX(Decrements!$E$6:$E$58,Census!$G119+G$5-18)*IF((Census!$F119+G$5)&gt;=Assumptions!$B$11,1,0))*MIN(15/26*Census!$D119*(1+Assumptions!$B$9)^G$5*(INT((Census!$F119+G$5))+IF((Census!$F119+G$5)-INT((Census!$F119+G$5))&gt;0.5,1,0)),Assumptions!$B$10))</f>
        <v>83735.128217947116</v>
      </c>
      <c r="H119" s="30">
        <f>IF(H$5&gt;$B119,0,INDEX(Decrements!$G$6:$G$58,Census!$G119+H$5-18)/INDEX(Decrements!$G$6:$G$58,Census!$G119-17)*(INDEX(Decrements!$D$6:$D$58,Census!$G119+H$5-18)+IF(H$5=$B119,INDEX(Decrements!$F$6:$F$58,Census!$G119+H$5-18),0)+INDEX(Decrements!$E$6:$E$58,Census!$G119+H$5-18)*IF((Census!$F119+H$5)&gt;=Assumptions!$B$11,1,0))*MIN(15/26*Census!$D119*(1+Assumptions!$B$9)^H$5*(INT((Census!$F119+H$5))+IF((Census!$F119+H$5)-INT((Census!$F119+H$5))&gt;0.5,1,0)),Assumptions!$B$10))</f>
        <v>62894.505040945587</v>
      </c>
      <c r="I119" s="30">
        <f>IF(I$5&gt;$B119,0,INDEX(Decrements!$G$6:$G$58,Census!$G119+I$5-18)/INDEX(Decrements!$G$6:$G$58,Census!$G119-17)*(INDEX(Decrements!$D$6:$D$58,Census!$G119+I$5-18)+IF(I$5=$B119,INDEX(Decrements!$F$6:$F$58,Census!$G119+I$5-18),0)+INDEX(Decrements!$E$6:$E$58,Census!$G119+I$5-18)*IF((Census!$F119+I$5)&gt;=Assumptions!$B$11,1,0))*MIN(15/26*Census!$D119*(1+Assumptions!$B$9)^I$5*(INT((Census!$F119+I$5))+IF((Census!$F119+I$5)-INT((Census!$F119+I$5))&gt;0.5,1,0)),Assumptions!$B$10))</f>
        <v>66636.779739046047</v>
      </c>
      <c r="J119" s="30">
        <f>IF(J$5&gt;$B119,0,INDEX(Decrements!$G$6:$G$58,Census!$G119+J$5-18)/INDEX(Decrements!$G$6:$G$58,Census!$G119-17)*(INDEX(Decrements!$D$6:$D$58,Census!$G119+J$5-18)+IF(J$5=$B119,INDEX(Decrements!$F$6:$F$58,Census!$G119+J$5-18),0)+INDEX(Decrements!$E$6:$E$58,Census!$G119+J$5-18)*IF((Census!$F119+J$5)&gt;=Assumptions!$B$11,1,0))*MIN(15/26*Census!$D119*(1+Assumptions!$B$9)^J$5*(INT((Census!$F119+J$5))+IF((Census!$F119+J$5)-INT((Census!$F119+J$5))&gt;0.5,1,0)),Assumptions!$B$10))</f>
        <v>70326.457325214738</v>
      </c>
      <c r="K119" s="30">
        <f>IF(K$5&gt;$B119,0,INDEX(Decrements!$G$6:$G$58,Census!$G119+K$5-18)/INDEX(Decrements!$G$6:$G$58,Census!$G119-17)*(INDEX(Decrements!$D$6:$D$58,Census!$G119+K$5-18)+IF(K$5=$B119,INDEX(Decrements!$F$6:$F$58,Census!$G119+K$5-18),0)+INDEX(Decrements!$E$6:$E$58,Census!$G119+K$5-18)*IF((Census!$F119+K$5)&gt;=Assumptions!$B$11,1,0))*MIN(15/26*Census!$D119*(1+Assumptions!$B$9)^K$5*(INT((Census!$F119+K$5))+IF((Census!$F119+K$5)-INT((Census!$F119+K$5))&gt;0.5,1,0)),Assumptions!$B$10))</f>
        <v>70000.25544201443</v>
      </c>
      <c r="L119" s="30">
        <f>IF(L$5&gt;$B119,0,INDEX(Decrements!$G$6:$G$58,Census!$G119+L$5-18)/INDEX(Decrements!$G$6:$G$58,Census!$G119-17)*(INDEX(Decrements!$D$6:$D$58,Census!$G119+L$5-18)+IF(L$5=$B119,INDEX(Decrements!$F$6:$F$58,Census!$G119+L$5-18),0)+INDEX(Decrements!$E$6:$E$58,Census!$G119+L$5-18)*IF((Census!$F119+L$5)&gt;=Assumptions!$B$11,1,0))*MIN(15/26*Census!$D119*(1+Assumptions!$B$9)^L$5*(INT((Census!$F119+L$5))+IF((Census!$F119+L$5)-INT((Census!$F119+L$5))&gt;0.5,1,0)),Assumptions!$B$10))</f>
        <v>64381.183259304948</v>
      </c>
      <c r="M119" s="30">
        <f>IF(M$5&gt;$B119,0,INDEX(Decrements!$G$6:$G$58,Census!$G119+M$5-18)/INDEX(Decrements!$G$6:$G$58,Census!$G119-17)*(INDEX(Decrements!$D$6:$D$58,Census!$G119+M$5-18)+IF(M$5=$B119,INDEX(Decrements!$F$6:$F$58,Census!$G119+M$5-18),0)+INDEX(Decrements!$E$6:$E$58,Census!$G119+M$5-18)*IF((Census!$F119+M$5)&gt;=Assumptions!$B$11,1,0))*MIN(15/26*Census!$D119*(1+Assumptions!$B$9)^M$5*(INT((Census!$F119+M$5))+IF((Census!$F119+M$5)-INT((Census!$F119+M$5))&gt;0.5,1,0)),Assumptions!$B$10))</f>
        <v>37377.241930064454</v>
      </c>
      <c r="N119" s="30">
        <f>IF(N$5&gt;$B119,0,INDEX(Decrements!$G$6:$G$58,Census!$G119+N$5-18)/INDEX(Decrements!$G$6:$G$58,Census!$G119-17)*(INDEX(Decrements!$D$6:$D$58,Census!$G119+N$5-18)+IF(N$5=$B119,INDEX(Decrements!$F$6:$F$58,Census!$G119+N$5-18),0)+INDEX(Decrements!$E$6:$E$58,Census!$G119+N$5-18)*IF((Census!$F119+N$5)&gt;=Assumptions!$B$11,1,0))*MIN(15/26*Census!$D119*(1+Assumptions!$B$9)^N$5*(INT((Census!$F119+N$5))+IF((Census!$F119+N$5)-INT((Census!$F119+N$5))&gt;0.5,1,0)),Assumptions!$B$10))</f>
        <v>35522.787302213626</v>
      </c>
      <c r="O119" s="30">
        <f>IF(O$5&gt;$B119,0,INDEX(Decrements!$G$6:$G$58,Census!$G119+O$5-18)/INDEX(Decrements!$G$6:$G$58,Census!$G119-17)*(INDEX(Decrements!$D$6:$D$58,Census!$G119+O$5-18)+IF(O$5=$B119,INDEX(Decrements!$F$6:$F$58,Census!$G119+O$5-18),0)+INDEX(Decrements!$E$6:$E$58,Census!$G119+O$5-18)*IF((Census!$F119+O$5)&gt;=Assumptions!$B$11,1,0))*MIN(15/26*Census!$D119*(1+Assumptions!$B$9)^O$5*(INT((Census!$F119+O$5))+IF((Census!$F119+O$5)-INT((Census!$F119+O$5))&gt;0.5,1,0)),Assumptions!$B$10))</f>
        <v>33762.934230436185</v>
      </c>
      <c r="P119" s="30">
        <f>IF(P$5&gt;$B119,0,INDEX(Decrements!$G$6:$G$58,Census!$G119+P$5-18)/INDEX(Decrements!$G$6:$G$58,Census!$G119-17)*(INDEX(Decrements!$D$6:$D$58,Census!$G119+P$5-18)+IF(P$5=$B119,INDEX(Decrements!$F$6:$F$58,Census!$G119+P$5-18),0)+INDEX(Decrements!$E$6:$E$58,Census!$G119+P$5-18)*IF((Census!$F119+P$5)&gt;=Assumptions!$B$11,1,0))*MIN(15/26*Census!$D119*(1+Assumptions!$B$9)^P$5*(INT((Census!$F119+P$5))+IF((Census!$F119+P$5)-INT((Census!$F119+P$5))&gt;0.5,1,0)),Assumptions!$B$10))</f>
        <v>32092.954190665394</v>
      </c>
      <c r="Q119" s="30">
        <f>IF(Q$5&gt;$B119,0,INDEX(Decrements!$G$6:$G$58,Census!$G119+Q$5-18)/INDEX(Decrements!$G$6:$G$58,Census!$G119-17)*(INDEX(Decrements!$D$6:$D$58,Census!$G119+Q$5-18)+IF(Q$5=$B119,INDEX(Decrements!$F$6:$F$58,Census!$G119+Q$5-18),0)+INDEX(Decrements!$E$6:$E$58,Census!$G119+Q$5-18)*IF((Census!$F119+Q$5)&gt;=Assumptions!$B$11,1,0))*MIN(15/26*Census!$D119*(1+Assumptions!$B$9)^Q$5*(INT((Census!$F119+Q$5))+IF((Census!$F119+Q$5)-INT((Census!$F119+Q$5))&gt;0.5,1,0)),Assumptions!$B$10))</f>
        <v>30508.356395530005</v>
      </c>
      <c r="R119" s="30">
        <f>IF(R$5&gt;$B119,0,INDEX(Decrements!$G$6:$G$58,Census!$G119+R$5-18)/INDEX(Decrements!$G$6:$G$58,Census!$G119-17)*(INDEX(Decrements!$D$6:$D$58,Census!$G119+R$5-18)+IF(R$5=$B119,INDEX(Decrements!$F$6:$F$58,Census!$G119+R$5-18),0)+INDEX(Decrements!$E$6:$E$58,Census!$G119+R$5-18)*IF((Census!$F119+R$5)&gt;=Assumptions!$B$11,1,0))*MIN(15/26*Census!$D119*(1+Assumptions!$B$9)^R$5*(INT((Census!$F119+R$5))+IF((Census!$F119+R$5)-INT((Census!$F119+R$5))&gt;0.5,1,0)),Assumptions!$B$10))</f>
        <v>17834.418860330734</v>
      </c>
      <c r="S119" s="30">
        <f>IF(S$5&gt;$B119,0,INDEX(Decrements!$G$6:$G$58,Census!$G119+S$5-18)/INDEX(Decrements!$G$6:$G$58,Census!$G119-17)*(INDEX(Decrements!$D$6:$D$58,Census!$G119+S$5-18)+IF(S$5=$B119,INDEX(Decrements!$F$6:$F$58,Census!$G119+S$5-18),0)+INDEX(Decrements!$E$6:$E$58,Census!$G119+S$5-18)*IF((Census!$F119+S$5)&gt;=Assumptions!$B$11,1,0))*MIN(15/26*Census!$D119*(1+Assumptions!$B$9)^S$5*(INT((Census!$F119+S$5))+IF((Census!$F119+S$5)-INT((Census!$F119+S$5))&gt;0.5,1,0)),Assumptions!$B$10))</f>
        <v>17346.257114024436</v>
      </c>
      <c r="T119" s="30">
        <f>IF(T$5&gt;$B119,0,INDEX(Decrements!$G$6:$G$58,Census!$G119+T$5-18)/INDEX(Decrements!$G$6:$G$58,Census!$G119-17)*(INDEX(Decrements!$D$6:$D$58,Census!$G119+T$5-18)+IF(T$5=$B119,INDEX(Decrements!$F$6:$F$58,Census!$G119+T$5-18),0)+INDEX(Decrements!$E$6:$E$58,Census!$G119+T$5-18)*IF((Census!$F119+T$5)&gt;=Assumptions!$B$11,1,0))*MIN(15/26*Census!$D119*(1+Assumptions!$B$9)^T$5*(INT((Census!$F119+T$5))+IF((Census!$F119+T$5)-INT((Census!$F119+T$5))&gt;0.5,1,0)),Assumptions!$B$10))</f>
        <v>16876.267442662167</v>
      </c>
      <c r="U119" s="30">
        <f>IF(U$5&gt;$B119,0,INDEX(Decrements!$G$6:$G$58,Census!$G119+U$5-18)/INDEX(Decrements!$G$6:$G$58,Census!$G119-17)*(INDEX(Decrements!$D$6:$D$58,Census!$G119+U$5-18)+IF(U$5=$B119,INDEX(Decrements!$F$6:$F$58,Census!$G119+U$5-18),0)+INDEX(Decrements!$E$6:$E$58,Census!$G119+U$5-18)*IF((Census!$F119+U$5)&gt;=Assumptions!$B$11,1,0))*MIN(15/26*Census!$D119*(1+Assumptions!$B$9)^U$5*(INT((Census!$F119+U$5))+IF((Census!$F119+U$5)-INT((Census!$F119+U$5))&gt;0.5,1,0)),Assumptions!$B$10))</f>
        <v>16424.078548851645</v>
      </c>
      <c r="V119" s="30">
        <f>IF(V$5&gt;$B119,0,INDEX(Decrements!$G$6:$G$58,Census!$G119+V$5-18)/INDEX(Decrements!$G$6:$G$58,Census!$G119-17)*(INDEX(Decrements!$D$6:$D$58,Census!$G119+V$5-18)+IF(V$5=$B119,INDEX(Decrements!$F$6:$F$58,Census!$G119+V$5-18),0)+INDEX(Decrements!$E$6:$E$58,Census!$G119+V$5-18)*IF((Census!$F119+V$5)&gt;=Assumptions!$B$11,1,0))*MIN(15/26*Census!$D119*(1+Assumptions!$B$9)^V$5*(INT((Census!$F119+V$5))+IF((Census!$F119+V$5)-INT((Census!$F119+V$5))&gt;0.5,1,0)),Assumptions!$B$10))</f>
        <v>15989.335540682634</v>
      </c>
      <c r="W119" s="30">
        <f>IF(W$5&gt;$B119,0,INDEX(Decrements!$G$6:$G$58,Census!$G119+W$5-18)/INDEX(Decrements!$G$6:$G$58,Census!$G119-17)*(INDEX(Decrements!$D$6:$D$58,Census!$G119+W$5-18)+IF(W$5=$B119,INDEX(Decrements!$F$6:$F$58,Census!$G119+W$5-18),0)+INDEX(Decrements!$E$6:$E$58,Census!$G119+W$5-18)*IF((Census!$F119+W$5)&gt;=Assumptions!$B$11,1,0))*MIN(15/26*Census!$D119*(1+Assumptions!$B$9)^W$5*(INT((Census!$F119+W$5))+IF((Census!$F119+W$5)-INT((Census!$F119+W$5))&gt;0.5,1,0)),Assumptions!$B$10))</f>
        <v>10833.971742778096</v>
      </c>
      <c r="X119" s="30">
        <f>IF(X$5&gt;$B119,0,INDEX(Decrements!$G$6:$G$58,Census!$G119+X$5-18)/INDEX(Decrements!$G$6:$G$58,Census!$G119-17)*(INDEX(Decrements!$D$6:$D$58,Census!$G119+X$5-18)+IF(X$5=$B119,INDEX(Decrements!$F$6:$F$58,Census!$G119+X$5-18),0)+INDEX(Decrements!$E$6:$E$58,Census!$G119+X$5-18)*IF((Census!$F119+X$5)&gt;=Assumptions!$B$11,1,0))*MIN(15/26*Census!$D119*(1+Assumptions!$B$9)^X$5*(INT((Census!$F119+X$5))+IF((Census!$F119+X$5)-INT((Census!$F119+X$5))&gt;0.5,1,0)),Assumptions!$B$10))</f>
        <v>10698.685501007501</v>
      </c>
      <c r="Y119" s="30">
        <f>IF(Y$5&gt;$B119,0,INDEX(Decrements!$G$6:$G$58,Census!$G119+Y$5-18)/INDEX(Decrements!$G$6:$G$58,Census!$G119-17)*(INDEX(Decrements!$D$6:$D$58,Census!$G119+Y$5-18)+IF(Y$5=$B119,INDEX(Decrements!$F$6:$F$58,Census!$G119+Y$5-18),0)+INDEX(Decrements!$E$6:$E$58,Census!$G119+Y$5-18)*IF((Census!$F119+Y$5)&gt;=Assumptions!$B$11,1,0))*MIN(15/26*Census!$D119*(1+Assumptions!$B$9)^Y$5*(INT((Census!$F119+Y$5))+IF((Census!$F119+Y$5)-INT((Census!$F119+Y$5))&gt;0.5,1,0)),Assumptions!$B$10))</f>
        <v>10572.220483260417</v>
      </c>
      <c r="Z119" s="30">
        <f>IF(Z$5&gt;$B119,0,INDEX(Decrements!$G$6:$G$58,Census!$G119+Z$5-18)/INDEX(Decrements!$G$6:$G$58,Census!$G119-17)*(INDEX(Decrements!$D$6:$D$58,Census!$G119+Z$5-18)+IF(Z$5=$B119,INDEX(Decrements!$F$6:$F$58,Census!$G119+Z$5-18),0)+INDEX(Decrements!$E$6:$E$58,Census!$G119+Z$5-18)*IF((Census!$F119+Z$5)&gt;=Assumptions!$B$11,1,0))*MIN(15/26*Census!$D119*(1+Assumptions!$B$9)^Z$5*(INT((Census!$F119+Z$5))+IF((Census!$F119+Z$5)-INT((Census!$F119+Z$5))&gt;0.5,1,0)),Assumptions!$B$10))</f>
        <v>10454.762570127461</v>
      </c>
      <c r="AA119" s="30">
        <f>IF(AA$5&gt;$B119,0,INDEX(Decrements!$G$6:$G$58,Census!$G119+AA$5-18)/INDEX(Decrements!$G$6:$G$58,Census!$G119-17)*(INDEX(Decrements!$D$6:$D$58,Census!$G119+AA$5-18)+IF(AA$5=$B119,INDEX(Decrements!$F$6:$F$58,Census!$G119+AA$5-18),0)+INDEX(Decrements!$E$6:$E$58,Census!$G119+AA$5-18)*IF((Census!$F119+AA$5)&gt;=Assumptions!$B$11,1,0))*MIN(15/26*Census!$D119*(1+Assumptions!$B$9)^AA$5*(INT((Census!$F119+AA$5))+IF((Census!$F119+AA$5)-INT((Census!$F119+AA$5))&gt;0.5,1,0)),Assumptions!$B$10))</f>
        <v>10346.503776240357</v>
      </c>
      <c r="AB119" s="30">
        <f>IF(AB$5&gt;$B119,0,INDEX(Decrements!$G$6:$G$58,Census!$G119+AB$5-18)/INDEX(Decrements!$G$6:$G$58,Census!$G119-17)*(INDEX(Decrements!$D$6:$D$58,Census!$G119+AB$5-18)+IF(AB$5=$B119,INDEX(Decrements!$F$6:$F$58,Census!$G119+AB$5-18),0)+INDEX(Decrements!$E$6:$E$58,Census!$G119+AB$5-18)*IF((Census!$F119+AB$5)&gt;=Assumptions!$B$11,1,0))*MIN(15/26*Census!$D119*(1+Assumptions!$B$9)^AB$5*(INT((Census!$F119+AB$5))+IF((Census!$F119+AB$5)-INT((Census!$F119+AB$5))&gt;0.5,1,0)),Assumptions!$B$10))</f>
        <v>6043.7884830137318</v>
      </c>
      <c r="AC119" s="30">
        <f>IF(AC$5&gt;$B119,0,INDEX(Decrements!$G$6:$G$58,Census!$G119+AC$5-18)/INDEX(Decrements!$G$6:$G$58,Census!$G119-17)*(INDEX(Decrements!$D$6:$D$58,Census!$G119+AC$5-18)+IF(AC$5=$B119,INDEX(Decrements!$F$6:$F$58,Census!$G119+AC$5-18),0)+INDEX(Decrements!$E$6:$E$58,Census!$G119+AC$5-18)*IF((Census!$F119+AC$5)&gt;=Assumptions!$B$11,1,0))*MIN(15/26*Census!$D119*(1+Assumptions!$B$9)^AC$5*(INT((Census!$F119+AC$5))+IF((Census!$F119+AC$5)-INT((Census!$F119+AC$5))&gt;0.5,1,0)),Assumptions!$B$10))</f>
        <v>6119.9902472141257</v>
      </c>
      <c r="AD119" s="30">
        <f>IF(AD$5&gt;$B119,0,INDEX(Decrements!$G$6:$G$58,Census!$G119+AD$5-18)/INDEX(Decrements!$G$6:$G$58,Census!$G119-17)*(INDEX(Decrements!$D$6:$D$58,Census!$G119+AD$5-18)+IF(AD$5=$B119,INDEX(Decrements!$F$6:$F$58,Census!$G119+AD$5-18),0)+INDEX(Decrements!$E$6:$E$58,Census!$G119+AD$5-18)*IF((Census!$F119+AD$5)&gt;=Assumptions!$B$11,1,0))*MIN(15/26*Census!$D119*(1+Assumptions!$B$9)^AD$5*(INT((Census!$F119+AD$5))+IF((Census!$F119+AD$5)-INT((Census!$F119+AD$5))&gt;0.5,1,0)),Assumptions!$B$10))</f>
        <v>6206.274434705726</v>
      </c>
      <c r="AE119" s="30">
        <f>IF(AE$5&gt;$B119,0,INDEX(Decrements!$G$6:$G$58,Census!$G119+AE$5-18)/INDEX(Decrements!$G$6:$G$58,Census!$G119-17)*(INDEX(Decrements!$D$6:$D$58,Census!$G119+AE$5-18)+IF(AE$5=$B119,INDEX(Decrements!$F$6:$F$58,Census!$G119+AE$5-18),0)+INDEX(Decrements!$E$6:$E$58,Census!$G119+AE$5-18)*IF((Census!$F119+AE$5)&gt;=Assumptions!$B$11,1,0))*MIN(15/26*Census!$D119*(1+Assumptions!$B$9)^AE$5*(INT((Census!$F119+AE$5))+IF((Census!$F119+AE$5)-INT((Census!$F119+AE$5))&gt;0.5,1,0)),Assumptions!$B$10))</f>
        <v>6303.2274773519975</v>
      </c>
      <c r="AF119" s="30">
        <f>IF(AF$5&gt;$B119,0,INDEX(Decrements!$G$6:$G$58,Census!$G119+AF$5-18)/INDEX(Decrements!$G$6:$G$58,Census!$G119-17)*(INDEX(Decrements!$D$6:$D$58,Census!$G119+AF$5-18)+IF(AF$5=$B119,INDEX(Decrements!$F$6:$F$58,Census!$G119+AF$5-18),0)+INDEX(Decrements!$E$6:$E$58,Census!$G119+AF$5-18)*IF((Census!$F119+AF$5)&gt;=Assumptions!$B$11,1,0))*MIN(15/26*Census!$D119*(1+Assumptions!$B$9)^AF$5*(INT((Census!$F119+AF$5))+IF((Census!$F119+AF$5)-INT((Census!$F119+AF$5))&gt;0.5,1,0)),Assumptions!$B$10))</f>
        <v>397551.78311539261</v>
      </c>
      <c r="AG119" s="30">
        <f>IF(AG$5&gt;$B119,0,INDEX(Decrements!$G$6:$G$58,Census!$G119+AG$5-18)/INDEX(Decrements!$G$6:$G$58,Census!$G119-17)*(INDEX(Decrements!$D$6:$D$58,Census!$G119+AG$5-18)+IF(AG$5=$B119,INDEX(Decrements!$F$6:$F$58,Census!$G119+AG$5-18),0)+INDEX(Decrements!$E$6:$E$58,Census!$G119+AG$5-18)*IF((Census!$F119+AG$5)&gt;=Assumptions!$B$11,1,0))*MIN(15/26*Census!$D119*(1+Assumptions!$B$9)^AG$5*(INT((Census!$F119+AG$5))+IF((Census!$F119+AG$5)-INT((Census!$F119+AG$5))&gt;0.5,1,0)),Assumptions!$B$10))</f>
        <v>0</v>
      </c>
      <c r="AH119" s="30">
        <f>IF(AH$5&gt;$B119,0,INDEX(Decrements!$G$6:$G$58,Census!$G119+AH$5-18)/INDEX(Decrements!$G$6:$G$58,Census!$G119-17)*(INDEX(Decrements!$D$6:$D$58,Census!$G119+AH$5-18)+IF(AH$5=$B119,INDEX(Decrements!$F$6:$F$58,Census!$G119+AH$5-18),0)+INDEX(Decrements!$E$6:$E$58,Census!$G119+AH$5-18)*IF((Census!$F119+AH$5)&gt;=Assumptions!$B$11,1,0))*MIN(15/26*Census!$D119*(1+Assumptions!$B$9)^AH$5*(INT((Census!$F119+AH$5))+IF((Census!$F119+AH$5)-INT((Census!$F119+AH$5))&gt;0.5,1,0)),Assumptions!$B$10))</f>
        <v>0</v>
      </c>
      <c r="AI119" s="30">
        <f>IF(AI$5&gt;$B119,0,INDEX(Decrements!$G$6:$G$58,Census!$G119+AI$5-18)/INDEX(Decrements!$G$6:$G$58,Census!$G119-17)*(INDEX(Decrements!$D$6:$D$58,Census!$G119+AI$5-18)+IF(AI$5=$B119,INDEX(Decrements!$F$6:$F$58,Census!$G119+AI$5-18),0)+INDEX(Decrements!$E$6:$E$58,Census!$G119+AI$5-18)*IF((Census!$F119+AI$5)&gt;=Assumptions!$B$11,1,0))*MIN(15/26*Census!$D119*(1+Assumptions!$B$9)^AI$5*(INT((Census!$F119+AI$5))+IF((Census!$F119+AI$5)-INT((Census!$F119+AI$5))&gt;0.5,1,0)),Assumptions!$B$10))</f>
        <v>0</v>
      </c>
      <c r="AJ119" s="30">
        <f>IF(AJ$5&gt;$B119,0,INDEX(Decrements!$G$6:$G$58,Census!$G119+AJ$5-18)/INDEX(Decrements!$G$6:$G$58,Census!$G119-17)*(INDEX(Decrements!$D$6:$D$58,Census!$G119+AJ$5-18)+IF(AJ$5=$B119,INDEX(Decrements!$F$6:$F$58,Census!$G119+AJ$5-18),0)+INDEX(Decrements!$E$6:$E$58,Census!$G119+AJ$5-18)*IF((Census!$F119+AJ$5)&gt;=Assumptions!$B$11,1,0))*MIN(15/26*Census!$D119*(1+Assumptions!$B$9)^AJ$5*(INT((Census!$F119+AJ$5))+IF((Census!$F119+AJ$5)-INT((Census!$F119+AJ$5))&gt;0.5,1,0)),Assumptions!$B$10))</f>
        <v>0</v>
      </c>
      <c r="AK119" s="30">
        <f>IF(AK$5&gt;$B119,0,INDEX(Decrements!$G$6:$G$58,Census!$G119+AK$5-18)/INDEX(Decrements!$G$6:$G$58,Census!$G119-17)*(INDEX(Decrements!$D$6:$D$58,Census!$G119+AK$5-18)+IF(AK$5=$B119,INDEX(Decrements!$F$6:$F$58,Census!$G119+AK$5-18),0)+INDEX(Decrements!$E$6:$E$58,Census!$G119+AK$5-18)*IF((Census!$F119+AK$5)&gt;=Assumptions!$B$11,1,0))*MIN(15/26*Census!$D119*(1+Assumptions!$B$9)^AK$5*(INT((Census!$F119+AK$5))+IF((Census!$F119+AK$5)-INT((Census!$F119+AK$5))&gt;0.5,1,0)),Assumptions!$B$10))</f>
        <v>0</v>
      </c>
      <c r="AL119" s="30">
        <f>IF(AL$5&gt;$B119,0,INDEX(Decrements!$G$6:$G$58,Census!$G119+AL$5-18)/INDEX(Decrements!$G$6:$G$58,Census!$G119-17)*(INDEX(Decrements!$D$6:$D$58,Census!$G119+AL$5-18)+IF(AL$5=$B119,INDEX(Decrements!$F$6:$F$58,Census!$G119+AL$5-18),0)+INDEX(Decrements!$E$6:$E$58,Census!$G119+AL$5-18)*IF((Census!$F119+AL$5)&gt;=Assumptions!$B$11,1,0))*MIN(15/26*Census!$D119*(1+Assumptions!$B$9)^AL$5*(INT((Census!$F119+AL$5))+IF((Census!$F119+AL$5)-INT((Census!$F119+AL$5))&gt;0.5,1,0)),Assumptions!$B$10))</f>
        <v>0</v>
      </c>
      <c r="AM119" s="30">
        <f>IF(AM$5&gt;$B119,0,INDEX(Decrements!$G$6:$G$58,Census!$G119+AM$5-18)/INDEX(Decrements!$G$6:$G$58,Census!$G119-17)*(INDEX(Decrements!$D$6:$D$58,Census!$G119+AM$5-18)+IF(AM$5=$B119,INDEX(Decrements!$F$6:$F$58,Census!$G119+AM$5-18),0)+INDEX(Decrements!$E$6:$E$58,Census!$G119+AM$5-18)*IF((Census!$F119+AM$5)&gt;=Assumptions!$B$11,1,0))*MIN(15/26*Census!$D119*(1+Assumptions!$B$9)^AM$5*(INT((Census!$F119+AM$5))+IF((Census!$F119+AM$5)-INT((Census!$F119+AM$5))&gt;0.5,1,0)),Assumptions!$B$10))</f>
        <v>0</v>
      </c>
      <c r="AN119" s="30">
        <f>IF(AN$5&gt;$B119,0,INDEX(Decrements!$G$6:$G$58,Census!$G119+AN$5-18)/INDEX(Decrements!$G$6:$G$58,Census!$G119-17)*(INDEX(Decrements!$D$6:$D$58,Census!$G119+AN$5-18)+IF(AN$5=$B119,INDEX(Decrements!$F$6:$F$58,Census!$G119+AN$5-18),0)+INDEX(Decrements!$E$6:$E$58,Census!$G119+AN$5-18)*IF((Census!$F119+AN$5)&gt;=Assumptions!$B$11,1,0))*MIN(15/26*Census!$D119*(1+Assumptions!$B$9)^AN$5*(INT((Census!$F119+AN$5))+IF((Census!$F119+AN$5)-INT((Census!$F119+AN$5))&gt;0.5,1,0)),Assumptions!$B$10))</f>
        <v>0</v>
      </c>
      <c r="AO119" s="30">
        <f>IF(AO$5&gt;$B119,0,INDEX(Decrements!$G$6:$G$58,Census!$G119+AO$5-18)/INDEX(Decrements!$G$6:$G$58,Census!$G119-17)*(INDEX(Decrements!$D$6:$D$58,Census!$G119+AO$5-18)+IF(AO$5=$B119,INDEX(Decrements!$F$6:$F$58,Census!$G119+AO$5-18),0)+INDEX(Decrements!$E$6:$E$58,Census!$G119+AO$5-18)*IF((Census!$F119+AO$5)&gt;=Assumptions!$B$11,1,0))*MIN(15/26*Census!$D119*(1+Assumptions!$B$9)^AO$5*(INT((Census!$F119+AO$5))+IF((Census!$F119+AO$5)-INT((Census!$F119+AO$5))&gt;0.5,1,0)),Assumptions!$B$10))</f>
        <v>0</v>
      </c>
      <c r="AP119" s="30">
        <f>IF(AP$5&gt;$B119,0,INDEX(Decrements!$G$6:$G$58,Census!$G119+AP$5-18)/INDEX(Decrements!$G$6:$G$58,Census!$G119-17)*(INDEX(Decrements!$D$6:$D$58,Census!$G119+AP$5-18)+IF(AP$5=$B119,INDEX(Decrements!$F$6:$F$58,Census!$G119+AP$5-18),0)+INDEX(Decrements!$E$6:$E$58,Census!$G119+AP$5-18)*IF((Census!$F119+AP$5)&gt;=Assumptions!$B$11,1,0))*MIN(15/26*Census!$D119*(1+Assumptions!$B$9)^AP$5*(INT((Census!$F119+AP$5))+IF((Census!$F119+AP$5)-INT((Census!$F119+AP$5))&gt;0.5,1,0)),Assumptions!$B$10))</f>
        <v>0</v>
      </c>
      <c r="AQ119" s="30">
        <f>IF(AQ$5&gt;$B119,0,INDEX(Decrements!$G$6:$G$58,Census!$G119+AQ$5-18)/INDEX(Decrements!$G$6:$G$58,Census!$G119-17)*(INDEX(Decrements!$D$6:$D$58,Census!$G119+AQ$5-18)+IF(AQ$5=$B119,INDEX(Decrements!$F$6:$F$58,Census!$G119+AQ$5-18),0)+INDEX(Decrements!$E$6:$E$58,Census!$G119+AQ$5-18)*IF((Census!$F119+AQ$5)&gt;=Assumptions!$B$11,1,0))*MIN(15/26*Census!$D119*(1+Assumptions!$B$9)^AQ$5*(INT((Census!$F119+AQ$5))+IF((Census!$F119+AQ$5)-INT((Census!$F119+AQ$5))&gt;0.5,1,0)),Assumptions!$B$10))</f>
        <v>0</v>
      </c>
      <c r="AR119" s="30">
        <f>IF(AR$5&gt;$B119,0,INDEX(Decrements!$G$6:$G$58,Census!$G119+AR$5-18)/INDEX(Decrements!$G$6:$G$58,Census!$G119-17)*(INDEX(Decrements!$D$6:$D$58,Census!$G119+AR$5-18)+IF(AR$5=$B119,INDEX(Decrements!$F$6:$F$58,Census!$G119+AR$5-18),0)+INDEX(Decrements!$E$6:$E$58,Census!$G119+AR$5-18)*IF((Census!$F119+AR$5)&gt;=Assumptions!$B$11,1,0))*MIN(15/26*Census!$D119*(1+Assumptions!$B$9)^AR$5*(INT((Census!$F119+AR$5))+IF((Census!$F119+AR$5)-INT((Census!$F119+AR$5))&gt;0.5,1,0)),Assumptions!$B$10))</f>
        <v>0</v>
      </c>
      <c r="AS119" s="30">
        <f>IF(AS$5&gt;$B119,0,INDEX(Decrements!$G$6:$G$58,Census!$G119+AS$5-18)/INDEX(Decrements!$G$6:$G$58,Census!$G119-17)*(INDEX(Decrements!$D$6:$D$58,Census!$G119+AS$5-18)+IF(AS$5=$B119,INDEX(Decrements!$F$6:$F$58,Census!$G119+AS$5-18),0)+INDEX(Decrements!$E$6:$E$58,Census!$G119+AS$5-18)*IF((Census!$F119+AS$5)&gt;=Assumptions!$B$11,1,0))*MIN(15/26*Census!$D119*(1+Assumptions!$B$9)^AS$5*(INT((Census!$F119+AS$5))+IF((Census!$F119+AS$5)-INT((Census!$F119+AS$5))&gt;0.5,1,0)),Assumptions!$B$10))</f>
        <v>0</v>
      </c>
      <c r="AT119" s="30">
        <f>IF(AT$5&gt;$B119,0,INDEX(Decrements!$G$6:$G$58,Census!$G119+AT$5-18)/INDEX(Decrements!$G$6:$G$58,Census!$G119-17)*(INDEX(Decrements!$D$6:$D$58,Census!$G119+AT$5-18)+IF(AT$5=$B119,INDEX(Decrements!$F$6:$F$58,Census!$G119+AT$5-18),0)+INDEX(Decrements!$E$6:$E$58,Census!$G119+AT$5-18)*IF((Census!$F119+AT$5)&gt;=Assumptions!$B$11,1,0))*MIN(15/26*Census!$D119*(1+Assumptions!$B$9)^AT$5*(INT((Census!$F119+AT$5))+IF((Census!$F119+AT$5)-INT((Census!$F119+AT$5))&gt;0.5,1,0)),Assumptions!$B$10))</f>
        <v>0</v>
      </c>
      <c r="AU119" s="30">
        <f>IF(AU$5&gt;$B119,0,INDEX(Decrements!$G$6:$G$58,Census!$G119+AU$5-18)/INDEX(Decrements!$G$6:$G$58,Census!$G119-17)*(INDEX(Decrements!$D$6:$D$58,Census!$G119+AU$5-18)+IF(AU$5=$B119,INDEX(Decrements!$F$6:$F$58,Census!$G119+AU$5-18),0)+INDEX(Decrements!$E$6:$E$58,Census!$G119+AU$5-18)*IF((Census!$F119+AU$5)&gt;=Assumptions!$B$11,1,0))*MIN(15/26*Census!$D119*(1+Assumptions!$B$9)^AU$5*(INT((Census!$F119+AU$5))+IF((Census!$F119+AU$5)-INT((Census!$F119+AU$5))&gt;0.5,1,0)),Assumptions!$B$10))</f>
        <v>0</v>
      </c>
    </row>
    <row r="120" spans="1:47" x14ac:dyDescent="0.3">
      <c r="A120" s="10" t="str">
        <f>Census!A120</f>
        <v>E115</v>
      </c>
      <c r="B120" s="29">
        <f>Census!H120</f>
        <v>11</v>
      </c>
      <c r="C120" s="30">
        <f>IF(C$5&gt;$B120,0,INDEX(Decrements!$G$6:$G$58,Census!$G120+C$5-18)/INDEX(Decrements!$G$6:$G$58,Census!$G120-17)*(INDEX(Decrements!$D$6:$D$58,Census!$G120+C$5-18)+IF(C$5=$B120,INDEX(Decrements!$F$6:$F$58,Census!$G120+C$5-18),0)+INDEX(Decrements!$E$6:$E$58,Census!$G120+C$5-18)*IF((Census!$F120+C$5)&gt;=Assumptions!$B$11,1,0))*MIN(15/26*Census!$D120*(1+Assumptions!$B$9)^C$5*(INT((Census!$F120+C$5))+IF((Census!$F120+C$5)-INT((Census!$F120+C$5))&gt;0.5,1,0)),Assumptions!$B$10))</f>
        <v>32545.926207432767</v>
      </c>
      <c r="D120" s="30">
        <f>IF(D$5&gt;$B120,0,INDEX(Decrements!$G$6:$G$58,Census!$G120+D$5-18)/INDEX(Decrements!$G$6:$G$58,Census!$G120-17)*(INDEX(Decrements!$D$6:$D$58,Census!$G120+D$5-18)+IF(D$5=$B120,INDEX(Decrements!$F$6:$F$58,Census!$G120+D$5-18),0)+INDEX(Decrements!$E$6:$E$58,Census!$G120+D$5-18)*IF((Census!$F120+D$5)&gt;=Assumptions!$B$11,1,0))*MIN(15/26*Census!$D120*(1+Assumptions!$B$9)^D$5*(INT((Census!$F120+D$5))+IF((Census!$F120+D$5)-INT((Census!$F120+D$5))&gt;0.5,1,0)),Assumptions!$B$10))</f>
        <v>24950.603752604242</v>
      </c>
      <c r="E120" s="30">
        <f>IF(E$5&gt;$B120,0,INDEX(Decrements!$G$6:$G$58,Census!$G120+E$5-18)/INDEX(Decrements!$G$6:$G$58,Census!$G120-17)*(INDEX(Decrements!$D$6:$D$58,Census!$G120+E$5-18)+IF(E$5=$B120,INDEX(Decrements!$F$6:$F$58,Census!$G120+E$5-18),0)+INDEX(Decrements!$E$6:$E$58,Census!$G120+E$5-18)*IF((Census!$F120+E$5)&gt;=Assumptions!$B$11,1,0))*MIN(15/26*Census!$D120*(1+Assumptions!$B$9)^E$5*(INT((Census!$F120+E$5))+IF((Census!$F120+E$5)-INT((Census!$F120+E$5))&gt;0.5,1,0)),Assumptions!$B$10))</f>
        <v>27819.716018554034</v>
      </c>
      <c r="F120" s="30">
        <f>IF(F$5&gt;$B120,0,INDEX(Decrements!$G$6:$G$58,Census!$G120+F$5-18)/INDEX(Decrements!$G$6:$G$58,Census!$G120-17)*(INDEX(Decrements!$D$6:$D$58,Census!$G120+F$5-18)+IF(F$5=$B120,INDEX(Decrements!$F$6:$F$58,Census!$G120+F$5-18),0)+INDEX(Decrements!$E$6:$E$58,Census!$G120+F$5-18)*IF((Census!$F120+F$5)&gt;=Assumptions!$B$11,1,0))*MIN(15/26*Census!$D120*(1+Assumptions!$B$9)^F$5*(INT((Census!$F120+F$5))+IF((Census!$F120+F$5)-INT((Census!$F120+F$5))&gt;0.5,1,0)),Assumptions!$B$10))</f>
        <v>30981.015155860965</v>
      </c>
      <c r="G120" s="30">
        <f>IF(G$5&gt;$B120,0,INDEX(Decrements!$G$6:$G$58,Census!$G120+G$5-18)/INDEX(Decrements!$G$6:$G$58,Census!$G120-17)*(INDEX(Decrements!$D$6:$D$58,Census!$G120+G$5-18)+IF(G$5=$B120,INDEX(Decrements!$F$6:$F$58,Census!$G120+G$5-18),0)+INDEX(Decrements!$E$6:$E$58,Census!$G120+G$5-18)*IF((Census!$F120+G$5)&gt;=Assumptions!$B$11,1,0))*MIN(15/26*Census!$D120*(1+Assumptions!$B$9)^G$5*(INT((Census!$F120+G$5))+IF((Census!$F120+G$5)-INT((Census!$F120+G$5))&gt;0.5,1,0)),Assumptions!$B$10))</f>
        <v>34466.416295186631</v>
      </c>
      <c r="H120" s="30">
        <f>IF(H$5&gt;$B120,0,INDEX(Decrements!$G$6:$G$58,Census!$G120+H$5-18)/INDEX(Decrements!$G$6:$G$58,Census!$G120-17)*(INDEX(Decrements!$D$6:$D$58,Census!$G120+H$5-18)+IF(H$5=$B120,INDEX(Decrements!$F$6:$F$58,Census!$G120+H$5-18),0)+INDEX(Decrements!$E$6:$E$58,Census!$G120+H$5-18)*IF((Census!$F120+H$5)&gt;=Assumptions!$B$11,1,0))*MIN(15/26*Census!$D120*(1+Assumptions!$B$9)^H$5*(INT((Census!$F120+H$5))+IF((Census!$F120+H$5)-INT((Census!$F120+H$5))&gt;0.5,1,0)),Assumptions!$B$10))</f>
        <v>38311.810003090017</v>
      </c>
      <c r="I120" s="30">
        <f>IF(I$5&gt;$B120,0,INDEX(Decrements!$G$6:$G$58,Census!$G120+I$5-18)/INDEX(Decrements!$G$6:$G$58,Census!$G120-17)*(INDEX(Decrements!$D$6:$D$58,Census!$G120+I$5-18)+IF(I$5=$B120,INDEX(Decrements!$F$6:$F$58,Census!$G120+I$5-18),0)+INDEX(Decrements!$E$6:$E$58,Census!$G120+I$5-18)*IF((Census!$F120+I$5)&gt;=Assumptions!$B$11,1,0))*MIN(15/26*Census!$D120*(1+Assumptions!$B$9)^I$5*(INT((Census!$F120+I$5))+IF((Census!$F120+I$5)-INT((Census!$F120+I$5))&gt;0.5,1,0)),Assumptions!$B$10))</f>
        <v>24612.240577517954</v>
      </c>
      <c r="J120" s="30">
        <f>IF(J$5&gt;$B120,0,INDEX(Decrements!$G$6:$G$58,Census!$G120+J$5-18)/INDEX(Decrements!$G$6:$G$58,Census!$G120-17)*(INDEX(Decrements!$D$6:$D$58,Census!$G120+J$5-18)+IF(J$5=$B120,INDEX(Decrements!$F$6:$F$58,Census!$G120+J$5-18),0)+INDEX(Decrements!$E$6:$E$58,Census!$G120+J$5-18)*IF((Census!$F120+J$5)&gt;=Assumptions!$B$11,1,0))*MIN(15/26*Census!$D120*(1+Assumptions!$B$9)^J$5*(INT((Census!$F120+J$5))+IF((Census!$F120+J$5)-INT((Census!$F120+J$5))&gt;0.5,1,0)),Assumptions!$B$10))</f>
        <v>24922.558544171246</v>
      </c>
      <c r="K120" s="30">
        <f>IF(K$5&gt;$B120,0,INDEX(Decrements!$G$6:$G$58,Census!$G120+K$5-18)/INDEX(Decrements!$G$6:$G$58,Census!$G120-17)*(INDEX(Decrements!$D$6:$D$58,Census!$G120+K$5-18)+IF(K$5=$B120,INDEX(Decrements!$F$6:$F$58,Census!$G120+K$5-18),0)+INDEX(Decrements!$E$6:$E$58,Census!$G120+K$5-18)*IF((Census!$F120+K$5)&gt;=Assumptions!$B$11,1,0))*MIN(15/26*Census!$D120*(1+Assumptions!$B$9)^K$5*(INT((Census!$F120+K$5))+IF((Census!$F120+K$5)-INT((Census!$F120+K$5))&gt;0.5,1,0)),Assumptions!$B$10))</f>
        <v>25273.935364612185</v>
      </c>
      <c r="L120" s="30">
        <f>IF(L$5&gt;$B120,0,INDEX(Decrements!$G$6:$G$58,Census!$G120+L$5-18)/INDEX(Decrements!$G$6:$G$58,Census!$G120-17)*(INDEX(Decrements!$D$6:$D$58,Census!$G120+L$5-18)+IF(L$5=$B120,INDEX(Decrements!$F$6:$F$58,Census!$G120+L$5-18),0)+INDEX(Decrements!$E$6:$E$58,Census!$G120+L$5-18)*IF((Census!$F120+L$5)&gt;=Assumptions!$B$11,1,0))*MIN(15/26*Census!$D120*(1+Assumptions!$B$9)^L$5*(INT((Census!$F120+L$5))+IF((Census!$F120+L$5)-INT((Census!$F120+L$5))&gt;0.5,1,0)),Assumptions!$B$10))</f>
        <v>25668.759177033644</v>
      </c>
      <c r="M120" s="30">
        <f>IF(M$5&gt;$B120,0,INDEX(Decrements!$G$6:$G$58,Census!$G120+M$5-18)/INDEX(Decrements!$G$6:$G$58,Census!$G120-17)*(INDEX(Decrements!$D$6:$D$58,Census!$G120+M$5-18)+IF(M$5=$B120,INDEX(Decrements!$F$6:$F$58,Census!$G120+M$5-18),0)+INDEX(Decrements!$E$6:$E$58,Census!$G120+M$5-18)*IF((Census!$F120+M$5)&gt;=Assumptions!$B$11,1,0))*MIN(15/26*Census!$D120*(1+Assumptions!$B$9)^M$5*(INT((Census!$F120+M$5))+IF((Census!$F120+M$5)-INT((Census!$F120+M$5))&gt;0.5,1,0)),Assumptions!$B$10))</f>
        <v>1618958.0683634679</v>
      </c>
      <c r="N120" s="30">
        <f>IF(N$5&gt;$B120,0,INDEX(Decrements!$G$6:$G$58,Census!$G120+N$5-18)/INDEX(Decrements!$G$6:$G$58,Census!$G120-17)*(INDEX(Decrements!$D$6:$D$58,Census!$G120+N$5-18)+IF(N$5=$B120,INDEX(Decrements!$F$6:$F$58,Census!$G120+N$5-18),0)+INDEX(Decrements!$E$6:$E$58,Census!$G120+N$5-18)*IF((Census!$F120+N$5)&gt;=Assumptions!$B$11,1,0))*MIN(15/26*Census!$D120*(1+Assumptions!$B$9)^N$5*(INT((Census!$F120+N$5))+IF((Census!$F120+N$5)-INT((Census!$F120+N$5))&gt;0.5,1,0)),Assumptions!$B$10))</f>
        <v>0</v>
      </c>
      <c r="O120" s="30">
        <f>IF(O$5&gt;$B120,0,INDEX(Decrements!$G$6:$G$58,Census!$G120+O$5-18)/INDEX(Decrements!$G$6:$G$58,Census!$G120-17)*(INDEX(Decrements!$D$6:$D$58,Census!$G120+O$5-18)+IF(O$5=$B120,INDEX(Decrements!$F$6:$F$58,Census!$G120+O$5-18),0)+INDEX(Decrements!$E$6:$E$58,Census!$G120+O$5-18)*IF((Census!$F120+O$5)&gt;=Assumptions!$B$11,1,0))*MIN(15/26*Census!$D120*(1+Assumptions!$B$9)^O$5*(INT((Census!$F120+O$5))+IF((Census!$F120+O$5)-INT((Census!$F120+O$5))&gt;0.5,1,0)),Assumptions!$B$10))</f>
        <v>0</v>
      </c>
      <c r="P120" s="30">
        <f>IF(P$5&gt;$B120,0,INDEX(Decrements!$G$6:$G$58,Census!$G120+P$5-18)/INDEX(Decrements!$G$6:$G$58,Census!$G120-17)*(INDEX(Decrements!$D$6:$D$58,Census!$G120+P$5-18)+IF(P$5=$B120,INDEX(Decrements!$F$6:$F$58,Census!$G120+P$5-18),0)+INDEX(Decrements!$E$6:$E$58,Census!$G120+P$5-18)*IF((Census!$F120+P$5)&gt;=Assumptions!$B$11,1,0))*MIN(15/26*Census!$D120*(1+Assumptions!$B$9)^P$5*(INT((Census!$F120+P$5))+IF((Census!$F120+P$5)-INT((Census!$F120+P$5))&gt;0.5,1,0)),Assumptions!$B$10))</f>
        <v>0</v>
      </c>
      <c r="Q120" s="30">
        <f>IF(Q$5&gt;$B120,0,INDEX(Decrements!$G$6:$G$58,Census!$G120+Q$5-18)/INDEX(Decrements!$G$6:$G$58,Census!$G120-17)*(INDEX(Decrements!$D$6:$D$58,Census!$G120+Q$5-18)+IF(Q$5=$B120,INDEX(Decrements!$F$6:$F$58,Census!$G120+Q$5-18),0)+INDEX(Decrements!$E$6:$E$58,Census!$G120+Q$5-18)*IF((Census!$F120+Q$5)&gt;=Assumptions!$B$11,1,0))*MIN(15/26*Census!$D120*(1+Assumptions!$B$9)^Q$5*(INT((Census!$F120+Q$5))+IF((Census!$F120+Q$5)-INT((Census!$F120+Q$5))&gt;0.5,1,0)),Assumptions!$B$10))</f>
        <v>0</v>
      </c>
      <c r="R120" s="30">
        <f>IF(R$5&gt;$B120,0,INDEX(Decrements!$G$6:$G$58,Census!$G120+R$5-18)/INDEX(Decrements!$G$6:$G$58,Census!$G120-17)*(INDEX(Decrements!$D$6:$D$58,Census!$G120+R$5-18)+IF(R$5=$B120,INDEX(Decrements!$F$6:$F$58,Census!$G120+R$5-18),0)+INDEX(Decrements!$E$6:$E$58,Census!$G120+R$5-18)*IF((Census!$F120+R$5)&gt;=Assumptions!$B$11,1,0))*MIN(15/26*Census!$D120*(1+Assumptions!$B$9)^R$5*(INT((Census!$F120+R$5))+IF((Census!$F120+R$5)-INT((Census!$F120+R$5))&gt;0.5,1,0)),Assumptions!$B$10))</f>
        <v>0</v>
      </c>
      <c r="S120" s="30">
        <f>IF(S$5&gt;$B120,0,INDEX(Decrements!$G$6:$G$58,Census!$G120+S$5-18)/INDEX(Decrements!$G$6:$G$58,Census!$G120-17)*(INDEX(Decrements!$D$6:$D$58,Census!$G120+S$5-18)+IF(S$5=$B120,INDEX(Decrements!$F$6:$F$58,Census!$G120+S$5-18),0)+INDEX(Decrements!$E$6:$E$58,Census!$G120+S$5-18)*IF((Census!$F120+S$5)&gt;=Assumptions!$B$11,1,0))*MIN(15/26*Census!$D120*(1+Assumptions!$B$9)^S$5*(INT((Census!$F120+S$5))+IF((Census!$F120+S$5)-INT((Census!$F120+S$5))&gt;0.5,1,0)),Assumptions!$B$10))</f>
        <v>0</v>
      </c>
      <c r="T120" s="30">
        <f>IF(T$5&gt;$B120,0,INDEX(Decrements!$G$6:$G$58,Census!$G120+T$5-18)/INDEX(Decrements!$G$6:$G$58,Census!$G120-17)*(INDEX(Decrements!$D$6:$D$58,Census!$G120+T$5-18)+IF(T$5=$B120,INDEX(Decrements!$F$6:$F$58,Census!$G120+T$5-18),0)+INDEX(Decrements!$E$6:$E$58,Census!$G120+T$5-18)*IF((Census!$F120+T$5)&gt;=Assumptions!$B$11,1,0))*MIN(15/26*Census!$D120*(1+Assumptions!$B$9)^T$5*(INT((Census!$F120+T$5))+IF((Census!$F120+T$5)-INT((Census!$F120+T$5))&gt;0.5,1,0)),Assumptions!$B$10))</f>
        <v>0</v>
      </c>
      <c r="U120" s="30">
        <f>IF(U$5&gt;$B120,0,INDEX(Decrements!$G$6:$G$58,Census!$G120+U$5-18)/INDEX(Decrements!$G$6:$G$58,Census!$G120-17)*(INDEX(Decrements!$D$6:$D$58,Census!$G120+U$5-18)+IF(U$5=$B120,INDEX(Decrements!$F$6:$F$58,Census!$G120+U$5-18),0)+INDEX(Decrements!$E$6:$E$58,Census!$G120+U$5-18)*IF((Census!$F120+U$5)&gt;=Assumptions!$B$11,1,0))*MIN(15/26*Census!$D120*(1+Assumptions!$B$9)^U$5*(INT((Census!$F120+U$5))+IF((Census!$F120+U$5)-INT((Census!$F120+U$5))&gt;0.5,1,0)),Assumptions!$B$10))</f>
        <v>0</v>
      </c>
      <c r="V120" s="30">
        <f>IF(V$5&gt;$B120,0,INDEX(Decrements!$G$6:$G$58,Census!$G120+V$5-18)/INDEX(Decrements!$G$6:$G$58,Census!$G120-17)*(INDEX(Decrements!$D$6:$D$58,Census!$G120+V$5-18)+IF(V$5=$B120,INDEX(Decrements!$F$6:$F$58,Census!$G120+V$5-18),0)+INDEX(Decrements!$E$6:$E$58,Census!$G120+V$5-18)*IF((Census!$F120+V$5)&gt;=Assumptions!$B$11,1,0))*MIN(15/26*Census!$D120*(1+Assumptions!$B$9)^V$5*(INT((Census!$F120+V$5))+IF((Census!$F120+V$5)-INT((Census!$F120+V$5))&gt;0.5,1,0)),Assumptions!$B$10))</f>
        <v>0</v>
      </c>
      <c r="W120" s="30">
        <f>IF(W$5&gt;$B120,0,INDEX(Decrements!$G$6:$G$58,Census!$G120+W$5-18)/INDEX(Decrements!$G$6:$G$58,Census!$G120-17)*(INDEX(Decrements!$D$6:$D$58,Census!$G120+W$5-18)+IF(W$5=$B120,INDEX(Decrements!$F$6:$F$58,Census!$G120+W$5-18),0)+INDEX(Decrements!$E$6:$E$58,Census!$G120+W$5-18)*IF((Census!$F120+W$5)&gt;=Assumptions!$B$11,1,0))*MIN(15/26*Census!$D120*(1+Assumptions!$B$9)^W$5*(INT((Census!$F120+W$5))+IF((Census!$F120+W$5)-INT((Census!$F120+W$5))&gt;0.5,1,0)),Assumptions!$B$10))</f>
        <v>0</v>
      </c>
      <c r="X120" s="30">
        <f>IF(X$5&gt;$B120,0,INDEX(Decrements!$G$6:$G$58,Census!$G120+X$5-18)/INDEX(Decrements!$G$6:$G$58,Census!$G120-17)*(INDEX(Decrements!$D$6:$D$58,Census!$G120+X$5-18)+IF(X$5=$B120,INDEX(Decrements!$F$6:$F$58,Census!$G120+X$5-18),0)+INDEX(Decrements!$E$6:$E$58,Census!$G120+X$5-18)*IF((Census!$F120+X$5)&gt;=Assumptions!$B$11,1,0))*MIN(15/26*Census!$D120*(1+Assumptions!$B$9)^X$5*(INT((Census!$F120+X$5))+IF((Census!$F120+X$5)-INT((Census!$F120+X$5))&gt;0.5,1,0)),Assumptions!$B$10))</f>
        <v>0</v>
      </c>
      <c r="Y120" s="30">
        <f>IF(Y$5&gt;$B120,0,INDEX(Decrements!$G$6:$G$58,Census!$G120+Y$5-18)/INDEX(Decrements!$G$6:$G$58,Census!$G120-17)*(INDEX(Decrements!$D$6:$D$58,Census!$G120+Y$5-18)+IF(Y$5=$B120,INDEX(Decrements!$F$6:$F$58,Census!$G120+Y$5-18),0)+INDEX(Decrements!$E$6:$E$58,Census!$G120+Y$5-18)*IF((Census!$F120+Y$5)&gt;=Assumptions!$B$11,1,0))*MIN(15/26*Census!$D120*(1+Assumptions!$B$9)^Y$5*(INT((Census!$F120+Y$5))+IF((Census!$F120+Y$5)-INT((Census!$F120+Y$5))&gt;0.5,1,0)),Assumptions!$B$10))</f>
        <v>0</v>
      </c>
      <c r="Z120" s="30">
        <f>IF(Z$5&gt;$B120,0,INDEX(Decrements!$G$6:$G$58,Census!$G120+Z$5-18)/INDEX(Decrements!$G$6:$G$58,Census!$G120-17)*(INDEX(Decrements!$D$6:$D$58,Census!$G120+Z$5-18)+IF(Z$5=$B120,INDEX(Decrements!$F$6:$F$58,Census!$G120+Z$5-18),0)+INDEX(Decrements!$E$6:$E$58,Census!$G120+Z$5-18)*IF((Census!$F120+Z$5)&gt;=Assumptions!$B$11,1,0))*MIN(15/26*Census!$D120*(1+Assumptions!$B$9)^Z$5*(INT((Census!$F120+Z$5))+IF((Census!$F120+Z$5)-INT((Census!$F120+Z$5))&gt;0.5,1,0)),Assumptions!$B$10))</f>
        <v>0</v>
      </c>
      <c r="AA120" s="30">
        <f>IF(AA$5&gt;$B120,0,INDEX(Decrements!$G$6:$G$58,Census!$G120+AA$5-18)/INDEX(Decrements!$G$6:$G$58,Census!$G120-17)*(INDEX(Decrements!$D$6:$D$58,Census!$G120+AA$5-18)+IF(AA$5=$B120,INDEX(Decrements!$F$6:$F$58,Census!$G120+AA$5-18),0)+INDEX(Decrements!$E$6:$E$58,Census!$G120+AA$5-18)*IF((Census!$F120+AA$5)&gt;=Assumptions!$B$11,1,0))*MIN(15/26*Census!$D120*(1+Assumptions!$B$9)^AA$5*(INT((Census!$F120+AA$5))+IF((Census!$F120+AA$5)-INT((Census!$F120+AA$5))&gt;0.5,1,0)),Assumptions!$B$10))</f>
        <v>0</v>
      </c>
      <c r="AB120" s="30">
        <f>IF(AB$5&gt;$B120,0,INDEX(Decrements!$G$6:$G$58,Census!$G120+AB$5-18)/INDEX(Decrements!$G$6:$G$58,Census!$G120-17)*(INDEX(Decrements!$D$6:$D$58,Census!$G120+AB$5-18)+IF(AB$5=$B120,INDEX(Decrements!$F$6:$F$58,Census!$G120+AB$5-18),0)+INDEX(Decrements!$E$6:$E$58,Census!$G120+AB$5-18)*IF((Census!$F120+AB$5)&gt;=Assumptions!$B$11,1,0))*MIN(15/26*Census!$D120*(1+Assumptions!$B$9)^AB$5*(INT((Census!$F120+AB$5))+IF((Census!$F120+AB$5)-INT((Census!$F120+AB$5))&gt;0.5,1,0)),Assumptions!$B$10))</f>
        <v>0</v>
      </c>
      <c r="AC120" s="30">
        <f>IF(AC$5&gt;$B120,0,INDEX(Decrements!$G$6:$G$58,Census!$G120+AC$5-18)/INDEX(Decrements!$G$6:$G$58,Census!$G120-17)*(INDEX(Decrements!$D$6:$D$58,Census!$G120+AC$5-18)+IF(AC$5=$B120,INDEX(Decrements!$F$6:$F$58,Census!$G120+AC$5-18),0)+INDEX(Decrements!$E$6:$E$58,Census!$G120+AC$5-18)*IF((Census!$F120+AC$5)&gt;=Assumptions!$B$11,1,0))*MIN(15/26*Census!$D120*(1+Assumptions!$B$9)^AC$5*(INT((Census!$F120+AC$5))+IF((Census!$F120+AC$5)-INT((Census!$F120+AC$5))&gt;0.5,1,0)),Assumptions!$B$10))</f>
        <v>0</v>
      </c>
      <c r="AD120" s="30">
        <f>IF(AD$5&gt;$B120,0,INDEX(Decrements!$G$6:$G$58,Census!$G120+AD$5-18)/INDEX(Decrements!$G$6:$G$58,Census!$G120-17)*(INDEX(Decrements!$D$6:$D$58,Census!$G120+AD$5-18)+IF(AD$5=$B120,INDEX(Decrements!$F$6:$F$58,Census!$G120+AD$5-18),0)+INDEX(Decrements!$E$6:$E$58,Census!$G120+AD$5-18)*IF((Census!$F120+AD$5)&gt;=Assumptions!$B$11,1,0))*MIN(15/26*Census!$D120*(1+Assumptions!$B$9)^AD$5*(INT((Census!$F120+AD$5))+IF((Census!$F120+AD$5)-INT((Census!$F120+AD$5))&gt;0.5,1,0)),Assumptions!$B$10))</f>
        <v>0</v>
      </c>
      <c r="AE120" s="30">
        <f>IF(AE$5&gt;$B120,0,INDEX(Decrements!$G$6:$G$58,Census!$G120+AE$5-18)/INDEX(Decrements!$G$6:$G$58,Census!$G120-17)*(INDEX(Decrements!$D$6:$D$58,Census!$G120+AE$5-18)+IF(AE$5=$B120,INDEX(Decrements!$F$6:$F$58,Census!$G120+AE$5-18),0)+INDEX(Decrements!$E$6:$E$58,Census!$G120+AE$5-18)*IF((Census!$F120+AE$5)&gt;=Assumptions!$B$11,1,0))*MIN(15/26*Census!$D120*(1+Assumptions!$B$9)^AE$5*(INT((Census!$F120+AE$5))+IF((Census!$F120+AE$5)-INT((Census!$F120+AE$5))&gt;0.5,1,0)),Assumptions!$B$10))</f>
        <v>0</v>
      </c>
      <c r="AF120" s="30">
        <f>IF(AF$5&gt;$B120,0,INDEX(Decrements!$G$6:$G$58,Census!$G120+AF$5-18)/INDEX(Decrements!$G$6:$G$58,Census!$G120-17)*(INDEX(Decrements!$D$6:$D$58,Census!$G120+AF$5-18)+IF(AF$5=$B120,INDEX(Decrements!$F$6:$F$58,Census!$G120+AF$5-18),0)+INDEX(Decrements!$E$6:$E$58,Census!$G120+AF$5-18)*IF((Census!$F120+AF$5)&gt;=Assumptions!$B$11,1,0))*MIN(15/26*Census!$D120*(1+Assumptions!$B$9)^AF$5*(INT((Census!$F120+AF$5))+IF((Census!$F120+AF$5)-INT((Census!$F120+AF$5))&gt;0.5,1,0)),Assumptions!$B$10))</f>
        <v>0</v>
      </c>
      <c r="AG120" s="30">
        <f>IF(AG$5&gt;$B120,0,INDEX(Decrements!$G$6:$G$58,Census!$G120+AG$5-18)/INDEX(Decrements!$G$6:$G$58,Census!$G120-17)*(INDEX(Decrements!$D$6:$D$58,Census!$G120+AG$5-18)+IF(AG$5=$B120,INDEX(Decrements!$F$6:$F$58,Census!$G120+AG$5-18),0)+INDEX(Decrements!$E$6:$E$58,Census!$G120+AG$5-18)*IF((Census!$F120+AG$5)&gt;=Assumptions!$B$11,1,0))*MIN(15/26*Census!$D120*(1+Assumptions!$B$9)^AG$5*(INT((Census!$F120+AG$5))+IF((Census!$F120+AG$5)-INT((Census!$F120+AG$5))&gt;0.5,1,0)),Assumptions!$B$10))</f>
        <v>0</v>
      </c>
      <c r="AH120" s="30">
        <f>IF(AH$5&gt;$B120,0,INDEX(Decrements!$G$6:$G$58,Census!$G120+AH$5-18)/INDEX(Decrements!$G$6:$G$58,Census!$G120-17)*(INDEX(Decrements!$D$6:$D$58,Census!$G120+AH$5-18)+IF(AH$5=$B120,INDEX(Decrements!$F$6:$F$58,Census!$G120+AH$5-18),0)+INDEX(Decrements!$E$6:$E$58,Census!$G120+AH$5-18)*IF((Census!$F120+AH$5)&gt;=Assumptions!$B$11,1,0))*MIN(15/26*Census!$D120*(1+Assumptions!$B$9)^AH$5*(INT((Census!$F120+AH$5))+IF((Census!$F120+AH$5)-INT((Census!$F120+AH$5))&gt;0.5,1,0)),Assumptions!$B$10))</f>
        <v>0</v>
      </c>
      <c r="AI120" s="30">
        <f>IF(AI$5&gt;$B120,0,INDEX(Decrements!$G$6:$G$58,Census!$G120+AI$5-18)/INDEX(Decrements!$G$6:$G$58,Census!$G120-17)*(INDEX(Decrements!$D$6:$D$58,Census!$G120+AI$5-18)+IF(AI$5=$B120,INDEX(Decrements!$F$6:$F$58,Census!$G120+AI$5-18),0)+INDEX(Decrements!$E$6:$E$58,Census!$G120+AI$5-18)*IF((Census!$F120+AI$5)&gt;=Assumptions!$B$11,1,0))*MIN(15/26*Census!$D120*(1+Assumptions!$B$9)^AI$5*(INT((Census!$F120+AI$5))+IF((Census!$F120+AI$5)-INT((Census!$F120+AI$5))&gt;0.5,1,0)),Assumptions!$B$10))</f>
        <v>0</v>
      </c>
      <c r="AJ120" s="30">
        <f>IF(AJ$5&gt;$B120,0,INDEX(Decrements!$G$6:$G$58,Census!$G120+AJ$5-18)/INDEX(Decrements!$G$6:$G$58,Census!$G120-17)*(INDEX(Decrements!$D$6:$D$58,Census!$G120+AJ$5-18)+IF(AJ$5=$B120,INDEX(Decrements!$F$6:$F$58,Census!$G120+AJ$5-18),0)+INDEX(Decrements!$E$6:$E$58,Census!$G120+AJ$5-18)*IF((Census!$F120+AJ$5)&gt;=Assumptions!$B$11,1,0))*MIN(15/26*Census!$D120*(1+Assumptions!$B$9)^AJ$5*(INT((Census!$F120+AJ$5))+IF((Census!$F120+AJ$5)-INT((Census!$F120+AJ$5))&gt;0.5,1,0)),Assumptions!$B$10))</f>
        <v>0</v>
      </c>
      <c r="AK120" s="30">
        <f>IF(AK$5&gt;$B120,0,INDEX(Decrements!$G$6:$G$58,Census!$G120+AK$5-18)/INDEX(Decrements!$G$6:$G$58,Census!$G120-17)*(INDEX(Decrements!$D$6:$D$58,Census!$G120+AK$5-18)+IF(AK$5=$B120,INDEX(Decrements!$F$6:$F$58,Census!$G120+AK$5-18),0)+INDEX(Decrements!$E$6:$E$58,Census!$G120+AK$5-18)*IF((Census!$F120+AK$5)&gt;=Assumptions!$B$11,1,0))*MIN(15/26*Census!$D120*(1+Assumptions!$B$9)^AK$5*(INT((Census!$F120+AK$5))+IF((Census!$F120+AK$5)-INT((Census!$F120+AK$5))&gt;0.5,1,0)),Assumptions!$B$10))</f>
        <v>0</v>
      </c>
      <c r="AL120" s="30">
        <f>IF(AL$5&gt;$B120,0,INDEX(Decrements!$G$6:$G$58,Census!$G120+AL$5-18)/INDEX(Decrements!$G$6:$G$58,Census!$G120-17)*(INDEX(Decrements!$D$6:$D$58,Census!$G120+AL$5-18)+IF(AL$5=$B120,INDEX(Decrements!$F$6:$F$58,Census!$G120+AL$5-18),0)+INDEX(Decrements!$E$6:$E$58,Census!$G120+AL$5-18)*IF((Census!$F120+AL$5)&gt;=Assumptions!$B$11,1,0))*MIN(15/26*Census!$D120*(1+Assumptions!$B$9)^AL$5*(INT((Census!$F120+AL$5))+IF((Census!$F120+AL$5)-INT((Census!$F120+AL$5))&gt;0.5,1,0)),Assumptions!$B$10))</f>
        <v>0</v>
      </c>
      <c r="AM120" s="30">
        <f>IF(AM$5&gt;$B120,0,INDEX(Decrements!$G$6:$G$58,Census!$G120+AM$5-18)/INDEX(Decrements!$G$6:$G$58,Census!$G120-17)*(INDEX(Decrements!$D$6:$D$58,Census!$G120+AM$5-18)+IF(AM$5=$B120,INDEX(Decrements!$F$6:$F$58,Census!$G120+AM$5-18),0)+INDEX(Decrements!$E$6:$E$58,Census!$G120+AM$5-18)*IF((Census!$F120+AM$5)&gt;=Assumptions!$B$11,1,0))*MIN(15/26*Census!$D120*(1+Assumptions!$B$9)^AM$5*(INT((Census!$F120+AM$5))+IF((Census!$F120+AM$5)-INT((Census!$F120+AM$5))&gt;0.5,1,0)),Assumptions!$B$10))</f>
        <v>0</v>
      </c>
      <c r="AN120" s="30">
        <f>IF(AN$5&gt;$B120,0,INDEX(Decrements!$G$6:$G$58,Census!$G120+AN$5-18)/INDEX(Decrements!$G$6:$G$58,Census!$G120-17)*(INDEX(Decrements!$D$6:$D$58,Census!$G120+AN$5-18)+IF(AN$5=$B120,INDEX(Decrements!$F$6:$F$58,Census!$G120+AN$5-18),0)+INDEX(Decrements!$E$6:$E$58,Census!$G120+AN$5-18)*IF((Census!$F120+AN$5)&gt;=Assumptions!$B$11,1,0))*MIN(15/26*Census!$D120*(1+Assumptions!$B$9)^AN$5*(INT((Census!$F120+AN$5))+IF((Census!$F120+AN$5)-INT((Census!$F120+AN$5))&gt;0.5,1,0)),Assumptions!$B$10))</f>
        <v>0</v>
      </c>
      <c r="AO120" s="30">
        <f>IF(AO$5&gt;$B120,0,INDEX(Decrements!$G$6:$G$58,Census!$G120+AO$5-18)/INDEX(Decrements!$G$6:$G$58,Census!$G120-17)*(INDEX(Decrements!$D$6:$D$58,Census!$G120+AO$5-18)+IF(AO$5=$B120,INDEX(Decrements!$F$6:$F$58,Census!$G120+AO$5-18),0)+INDEX(Decrements!$E$6:$E$58,Census!$G120+AO$5-18)*IF((Census!$F120+AO$5)&gt;=Assumptions!$B$11,1,0))*MIN(15/26*Census!$D120*(1+Assumptions!$B$9)^AO$5*(INT((Census!$F120+AO$5))+IF((Census!$F120+AO$5)-INT((Census!$F120+AO$5))&gt;0.5,1,0)),Assumptions!$B$10))</f>
        <v>0</v>
      </c>
      <c r="AP120" s="30">
        <f>IF(AP$5&gt;$B120,0,INDEX(Decrements!$G$6:$G$58,Census!$G120+AP$5-18)/INDEX(Decrements!$G$6:$G$58,Census!$G120-17)*(INDEX(Decrements!$D$6:$D$58,Census!$G120+AP$5-18)+IF(AP$5=$B120,INDEX(Decrements!$F$6:$F$58,Census!$G120+AP$5-18),0)+INDEX(Decrements!$E$6:$E$58,Census!$G120+AP$5-18)*IF((Census!$F120+AP$5)&gt;=Assumptions!$B$11,1,0))*MIN(15/26*Census!$D120*(1+Assumptions!$B$9)^AP$5*(INT((Census!$F120+AP$5))+IF((Census!$F120+AP$5)-INT((Census!$F120+AP$5))&gt;0.5,1,0)),Assumptions!$B$10))</f>
        <v>0</v>
      </c>
      <c r="AQ120" s="30">
        <f>IF(AQ$5&gt;$B120,0,INDEX(Decrements!$G$6:$G$58,Census!$G120+AQ$5-18)/INDEX(Decrements!$G$6:$G$58,Census!$G120-17)*(INDEX(Decrements!$D$6:$D$58,Census!$G120+AQ$5-18)+IF(AQ$5=$B120,INDEX(Decrements!$F$6:$F$58,Census!$G120+AQ$5-18),0)+INDEX(Decrements!$E$6:$E$58,Census!$G120+AQ$5-18)*IF((Census!$F120+AQ$5)&gt;=Assumptions!$B$11,1,0))*MIN(15/26*Census!$D120*(1+Assumptions!$B$9)^AQ$5*(INT((Census!$F120+AQ$5))+IF((Census!$F120+AQ$5)-INT((Census!$F120+AQ$5))&gt;0.5,1,0)),Assumptions!$B$10))</f>
        <v>0</v>
      </c>
      <c r="AR120" s="30">
        <f>IF(AR$5&gt;$B120,0,INDEX(Decrements!$G$6:$G$58,Census!$G120+AR$5-18)/INDEX(Decrements!$G$6:$G$58,Census!$G120-17)*(INDEX(Decrements!$D$6:$D$58,Census!$G120+AR$5-18)+IF(AR$5=$B120,INDEX(Decrements!$F$6:$F$58,Census!$G120+AR$5-18),0)+INDEX(Decrements!$E$6:$E$58,Census!$G120+AR$5-18)*IF((Census!$F120+AR$5)&gt;=Assumptions!$B$11,1,0))*MIN(15/26*Census!$D120*(1+Assumptions!$B$9)^AR$5*(INT((Census!$F120+AR$5))+IF((Census!$F120+AR$5)-INT((Census!$F120+AR$5))&gt;0.5,1,0)),Assumptions!$B$10))</f>
        <v>0</v>
      </c>
      <c r="AS120" s="30">
        <f>IF(AS$5&gt;$B120,0,INDEX(Decrements!$G$6:$G$58,Census!$G120+AS$5-18)/INDEX(Decrements!$G$6:$G$58,Census!$G120-17)*(INDEX(Decrements!$D$6:$D$58,Census!$G120+AS$5-18)+IF(AS$5=$B120,INDEX(Decrements!$F$6:$F$58,Census!$G120+AS$5-18),0)+INDEX(Decrements!$E$6:$E$58,Census!$G120+AS$5-18)*IF((Census!$F120+AS$5)&gt;=Assumptions!$B$11,1,0))*MIN(15/26*Census!$D120*(1+Assumptions!$B$9)^AS$5*(INT((Census!$F120+AS$5))+IF((Census!$F120+AS$5)-INT((Census!$F120+AS$5))&gt;0.5,1,0)),Assumptions!$B$10))</f>
        <v>0</v>
      </c>
      <c r="AT120" s="30">
        <f>IF(AT$5&gt;$B120,0,INDEX(Decrements!$G$6:$G$58,Census!$G120+AT$5-18)/INDEX(Decrements!$G$6:$G$58,Census!$G120-17)*(INDEX(Decrements!$D$6:$D$58,Census!$G120+AT$5-18)+IF(AT$5=$B120,INDEX(Decrements!$F$6:$F$58,Census!$G120+AT$5-18),0)+INDEX(Decrements!$E$6:$E$58,Census!$G120+AT$5-18)*IF((Census!$F120+AT$5)&gt;=Assumptions!$B$11,1,0))*MIN(15/26*Census!$D120*(1+Assumptions!$B$9)^AT$5*(INT((Census!$F120+AT$5))+IF((Census!$F120+AT$5)-INT((Census!$F120+AT$5))&gt;0.5,1,0)),Assumptions!$B$10))</f>
        <v>0</v>
      </c>
      <c r="AU120" s="30">
        <f>IF(AU$5&gt;$B120,0,INDEX(Decrements!$G$6:$G$58,Census!$G120+AU$5-18)/INDEX(Decrements!$G$6:$G$58,Census!$G120-17)*(INDEX(Decrements!$D$6:$D$58,Census!$G120+AU$5-18)+IF(AU$5=$B120,INDEX(Decrements!$F$6:$F$58,Census!$G120+AU$5-18),0)+INDEX(Decrements!$E$6:$E$58,Census!$G120+AU$5-18)*IF((Census!$F120+AU$5)&gt;=Assumptions!$B$11,1,0))*MIN(15/26*Census!$D120*(1+Assumptions!$B$9)^AU$5*(INT((Census!$F120+AU$5))+IF((Census!$F120+AU$5)-INT((Census!$F120+AU$5))&gt;0.5,1,0)),Assumptions!$B$10))</f>
        <v>0</v>
      </c>
    </row>
    <row r="121" spans="1:47" x14ac:dyDescent="0.3">
      <c r="A121" s="10" t="str">
        <f>Census!A121</f>
        <v>E116</v>
      </c>
      <c r="B121" s="29">
        <f>Census!H121</f>
        <v>26</v>
      </c>
      <c r="C121" s="30">
        <f>IF(C$5&gt;$B121,0,INDEX(Decrements!$G$6:$G$58,Census!$G121+C$5-18)/INDEX(Decrements!$G$6:$G$58,Census!$G121-17)*(INDEX(Decrements!$D$6:$D$58,Census!$G121+C$5-18)+IF(C$5=$B121,INDEX(Decrements!$F$6:$F$58,Census!$G121+C$5-18),0)+INDEX(Decrements!$E$6:$E$58,Census!$G121+C$5-18)*IF((Census!$F121+C$5)&gt;=Assumptions!$B$11,1,0))*MIN(15/26*Census!$D121*(1+Assumptions!$B$9)^C$5*(INT((Census!$F121+C$5))+IF((Census!$F121+C$5)-INT((Census!$F121+C$5))&gt;0.5,1,0)),Assumptions!$B$10))</f>
        <v>14260.336476650233</v>
      </c>
      <c r="D121" s="30">
        <f>IF(D$5&gt;$B121,0,INDEX(Decrements!$G$6:$G$58,Census!$G121+D$5-18)/INDEX(Decrements!$G$6:$G$58,Census!$G121-17)*(INDEX(Decrements!$D$6:$D$58,Census!$G121+D$5-18)+IF(D$5=$B121,INDEX(Decrements!$F$6:$F$58,Census!$G121+D$5-18),0)+INDEX(Decrements!$E$6:$E$58,Census!$G121+D$5-18)*IF((Census!$F121+D$5)&gt;=Assumptions!$B$11,1,0))*MIN(15/26*Census!$D121*(1+Assumptions!$B$9)^D$5*(INT((Census!$F121+D$5))+IF((Census!$F121+D$5)-INT((Census!$F121+D$5))&gt;0.5,1,0)),Assumptions!$B$10))</f>
        <v>11996.451696253658</v>
      </c>
      <c r="E121" s="30">
        <f>IF(E$5&gt;$B121,0,INDEX(Decrements!$G$6:$G$58,Census!$G121+E$5-18)/INDEX(Decrements!$G$6:$G$58,Census!$G121-17)*(INDEX(Decrements!$D$6:$D$58,Census!$G121+E$5-18)+IF(E$5=$B121,INDEX(Decrements!$F$6:$F$58,Census!$G121+E$5-18),0)+INDEX(Decrements!$E$6:$E$58,Census!$G121+E$5-18)*IF((Census!$F121+E$5)&gt;=Assumptions!$B$11,1,0))*MIN(15/26*Census!$D121*(1+Assumptions!$B$9)^E$5*(INT((Census!$F121+E$5))+IF((Census!$F121+E$5)-INT((Census!$F121+E$5))&gt;0.5,1,0)),Assumptions!$B$10))</f>
        <v>13901.836400718057</v>
      </c>
      <c r="F121" s="30">
        <f>IF(F$5&gt;$B121,0,INDEX(Decrements!$G$6:$G$58,Census!$G121+F$5-18)/INDEX(Decrements!$G$6:$G$58,Census!$G121-17)*(INDEX(Decrements!$D$6:$D$58,Census!$G121+F$5-18)+IF(F$5=$B121,INDEX(Decrements!$F$6:$F$58,Census!$G121+F$5-18),0)+INDEX(Decrements!$E$6:$E$58,Census!$G121+F$5-18)*IF((Census!$F121+F$5)&gt;=Assumptions!$B$11,1,0))*MIN(15/26*Census!$D121*(1+Assumptions!$B$9)^F$5*(INT((Census!$F121+F$5))+IF((Census!$F121+F$5)-INT((Census!$F121+F$5))&gt;0.5,1,0)),Assumptions!$B$10))</f>
        <v>15781.196254442037</v>
      </c>
      <c r="G121" s="30">
        <f>IF(G$5&gt;$B121,0,INDEX(Decrements!$G$6:$G$58,Census!$G121+G$5-18)/INDEX(Decrements!$G$6:$G$58,Census!$G121-17)*(INDEX(Decrements!$D$6:$D$58,Census!$G121+G$5-18)+IF(G$5=$B121,INDEX(Decrements!$F$6:$F$58,Census!$G121+G$5-18),0)+INDEX(Decrements!$E$6:$E$58,Census!$G121+G$5-18)*IF((Census!$F121+G$5)&gt;=Assumptions!$B$11,1,0))*MIN(15/26*Census!$D121*(1+Assumptions!$B$9)^G$5*(INT((Census!$F121+G$5))+IF((Census!$F121+G$5)-INT((Census!$F121+G$5))&gt;0.5,1,0)),Assumptions!$B$10))</f>
        <v>17634.848851938063</v>
      </c>
      <c r="H121" s="30">
        <f>IF(H$5&gt;$B121,0,INDEX(Decrements!$G$6:$G$58,Census!$G121+H$5-18)/INDEX(Decrements!$G$6:$G$58,Census!$G121-17)*(INDEX(Decrements!$D$6:$D$58,Census!$G121+H$5-18)+IF(H$5=$B121,INDEX(Decrements!$F$6:$F$58,Census!$G121+H$5-18),0)+INDEX(Decrements!$E$6:$E$58,Census!$G121+H$5-18)*IF((Census!$F121+H$5)&gt;=Assumptions!$B$11,1,0))*MIN(15/26*Census!$D121*(1+Assumptions!$B$9)^H$5*(INT((Census!$F121+H$5))+IF((Census!$F121+H$5)-INT((Census!$F121+H$5))&gt;0.5,1,0)),Assumptions!$B$10))</f>
        <v>19463.113587531141</v>
      </c>
      <c r="I121" s="30">
        <f>IF(I$5&gt;$B121,0,INDEX(Decrements!$G$6:$G$58,Census!$G121+I$5-18)/INDEX(Decrements!$G$6:$G$58,Census!$G121-17)*(INDEX(Decrements!$D$6:$D$58,Census!$G121+I$5-18)+IF(I$5=$B121,INDEX(Decrements!$F$6:$F$58,Census!$G121+I$5-18),0)+INDEX(Decrements!$E$6:$E$58,Census!$G121+I$5-18)*IF((Census!$F121+I$5)&gt;=Assumptions!$B$11,1,0))*MIN(15/26*Census!$D121*(1+Assumptions!$B$9)^I$5*(INT((Census!$F121+I$5))+IF((Census!$F121+I$5)-INT((Census!$F121+I$5))&gt;0.5,1,0)),Assumptions!$B$10))</f>
        <v>13423.848902932077</v>
      </c>
      <c r="J121" s="30">
        <f>IF(J$5&gt;$B121,0,INDEX(Decrements!$G$6:$G$58,Census!$G121+J$5-18)/INDEX(Decrements!$G$6:$G$58,Census!$G121-17)*(INDEX(Decrements!$D$6:$D$58,Census!$G121+J$5-18)+IF(J$5=$B121,INDEX(Decrements!$F$6:$F$58,Census!$G121+J$5-18),0)+INDEX(Decrements!$E$6:$E$58,Census!$G121+J$5-18)*IF((Census!$F121+J$5)&gt;=Assumptions!$B$11,1,0))*MIN(15/26*Census!$D121*(1+Assumptions!$B$9)^J$5*(INT((Census!$F121+J$5))+IF((Census!$F121+J$5)-INT((Census!$F121+J$5))&gt;0.5,1,0)),Assumptions!$B$10))</f>
        <v>15031.044320828943</v>
      </c>
      <c r="K121" s="30">
        <f>IF(K$5&gt;$B121,0,INDEX(Decrements!$G$6:$G$58,Census!$G121+K$5-18)/INDEX(Decrements!$G$6:$G$58,Census!$G121-17)*(INDEX(Decrements!$D$6:$D$58,Census!$G121+K$5-18)+IF(K$5=$B121,INDEX(Decrements!$F$6:$F$58,Census!$G121+K$5-18),0)+INDEX(Decrements!$E$6:$E$58,Census!$G121+K$5-18)*IF((Census!$F121+K$5)&gt;=Assumptions!$B$11,1,0))*MIN(15/26*Census!$D121*(1+Assumptions!$B$9)^K$5*(INT((Census!$F121+K$5))+IF((Census!$F121+K$5)-INT((Census!$F121+K$5))&gt;0.5,1,0)),Assumptions!$B$10))</f>
        <v>16715.068643308132</v>
      </c>
      <c r="L121" s="30">
        <f>IF(L$5&gt;$B121,0,INDEX(Decrements!$G$6:$G$58,Census!$G121+L$5-18)/INDEX(Decrements!$G$6:$G$58,Census!$G121-17)*(INDEX(Decrements!$D$6:$D$58,Census!$G121+L$5-18)+IF(L$5=$B121,INDEX(Decrements!$F$6:$F$58,Census!$G121+L$5-18),0)+INDEX(Decrements!$E$6:$E$58,Census!$G121+L$5-18)*IF((Census!$F121+L$5)&gt;=Assumptions!$B$11,1,0))*MIN(15/26*Census!$D121*(1+Assumptions!$B$9)^L$5*(INT((Census!$F121+L$5))+IF((Census!$F121+L$5)-INT((Census!$F121+L$5))&gt;0.5,1,0)),Assumptions!$B$10))</f>
        <v>18479.325560587975</v>
      </c>
      <c r="M121" s="30">
        <f>IF(M$5&gt;$B121,0,INDEX(Decrements!$G$6:$G$58,Census!$G121+M$5-18)/INDEX(Decrements!$G$6:$G$58,Census!$G121-17)*(INDEX(Decrements!$D$6:$D$58,Census!$G121+M$5-18)+IF(M$5=$B121,INDEX(Decrements!$F$6:$F$58,Census!$G121+M$5-18),0)+INDEX(Decrements!$E$6:$E$58,Census!$G121+M$5-18)*IF((Census!$F121+M$5)&gt;=Assumptions!$B$11,1,0))*MIN(15/26*Census!$D121*(1+Assumptions!$B$9)^M$5*(INT((Census!$F121+M$5))+IF((Census!$F121+M$5)-INT((Census!$F121+M$5))&gt;0.5,1,0)),Assumptions!$B$10))</f>
        <v>20327.417659058035</v>
      </c>
      <c r="N121" s="30">
        <f>IF(N$5&gt;$B121,0,INDEX(Decrements!$G$6:$G$58,Census!$G121+N$5-18)/INDEX(Decrements!$G$6:$G$58,Census!$G121-17)*(INDEX(Decrements!$D$6:$D$58,Census!$G121+N$5-18)+IF(N$5=$B121,INDEX(Decrements!$F$6:$F$58,Census!$G121+N$5-18),0)+INDEX(Decrements!$E$6:$E$58,Census!$G121+N$5-18)*IF((Census!$F121+N$5)&gt;=Assumptions!$B$11,1,0))*MIN(15/26*Census!$D121*(1+Assumptions!$B$9)^N$5*(INT((Census!$F121+N$5))+IF((Census!$F121+N$5)-INT((Census!$F121+N$5))&gt;0.5,1,0)),Assumptions!$B$10))</f>
        <v>13689.0982575369</v>
      </c>
      <c r="O121" s="30">
        <f>IF(O$5&gt;$B121,0,INDEX(Decrements!$G$6:$G$58,Census!$G121+O$5-18)/INDEX(Decrements!$G$6:$G$58,Census!$G121-17)*(INDEX(Decrements!$D$6:$D$58,Census!$G121+O$5-18)+IF(O$5=$B121,INDEX(Decrements!$F$6:$F$58,Census!$G121+O$5-18),0)+INDEX(Decrements!$E$6:$E$58,Census!$G121+O$5-18)*IF((Census!$F121+O$5)&gt;=Assumptions!$B$11,1,0))*MIN(15/26*Census!$D121*(1+Assumptions!$B$9)^O$5*(INT((Census!$F121+O$5))+IF((Census!$F121+O$5)-INT((Census!$F121+O$5))&gt;0.5,1,0)),Assumptions!$B$10))</f>
        <v>15278.27603065485</v>
      </c>
      <c r="P121" s="30">
        <f>IF(P$5&gt;$B121,0,INDEX(Decrements!$G$6:$G$58,Census!$G121+P$5-18)/INDEX(Decrements!$G$6:$G$58,Census!$G121-17)*(INDEX(Decrements!$D$6:$D$58,Census!$G121+P$5-18)+IF(P$5=$B121,INDEX(Decrements!$F$6:$F$58,Census!$G121+P$5-18),0)+INDEX(Decrements!$E$6:$E$58,Census!$G121+P$5-18)*IF((Census!$F121+P$5)&gt;=Assumptions!$B$11,1,0))*MIN(15/26*Census!$D121*(1+Assumptions!$B$9)^P$5*(INT((Census!$F121+P$5))+IF((Census!$F121+P$5)-INT((Census!$F121+P$5))&gt;0.5,1,0)),Assumptions!$B$10))</f>
        <v>16997.784192780768</v>
      </c>
      <c r="Q121" s="30">
        <f>IF(Q$5&gt;$B121,0,INDEX(Decrements!$G$6:$G$58,Census!$G121+Q$5-18)/INDEX(Decrements!$G$6:$G$58,Census!$G121-17)*(INDEX(Decrements!$D$6:$D$58,Census!$G121+Q$5-18)+IF(Q$5=$B121,INDEX(Decrements!$F$6:$F$58,Census!$G121+Q$5-18),0)+INDEX(Decrements!$E$6:$E$58,Census!$G121+Q$5-18)*IF((Census!$F121+Q$5)&gt;=Assumptions!$B$11,1,0))*MIN(15/26*Census!$D121*(1+Assumptions!$B$9)^Q$5*(INT((Census!$F121+Q$5))+IF((Census!$F121+Q$5)-INT((Census!$F121+Q$5))&gt;0.5,1,0)),Assumptions!$B$10))</f>
        <v>18858.266841489967</v>
      </c>
      <c r="R121" s="30">
        <f>IF(R$5&gt;$B121,0,INDEX(Decrements!$G$6:$G$58,Census!$G121+R$5-18)/INDEX(Decrements!$G$6:$G$58,Census!$G121-17)*(INDEX(Decrements!$D$6:$D$58,Census!$G121+R$5-18)+IF(R$5=$B121,INDEX(Decrements!$F$6:$F$58,Census!$G121+R$5-18),0)+INDEX(Decrements!$E$6:$E$58,Census!$G121+R$5-18)*IF((Census!$F121+R$5)&gt;=Assumptions!$B$11,1,0))*MIN(15/26*Census!$D121*(1+Assumptions!$B$9)^R$5*(INT((Census!$F121+R$5))+IF((Census!$F121+R$5)-INT((Census!$F121+R$5))&gt;0.5,1,0)),Assumptions!$B$10))</f>
        <v>20871.387910598252</v>
      </c>
      <c r="S121" s="30">
        <f>IF(S$5&gt;$B121,0,INDEX(Decrements!$G$6:$G$58,Census!$G121+S$5-18)/INDEX(Decrements!$G$6:$G$58,Census!$G121-17)*(INDEX(Decrements!$D$6:$D$58,Census!$G121+S$5-18)+IF(S$5=$B121,INDEX(Decrements!$F$6:$F$58,Census!$G121+S$5-18),0)+INDEX(Decrements!$E$6:$E$58,Census!$G121+S$5-18)*IF((Census!$F121+S$5)&gt;=Assumptions!$B$11,1,0))*MIN(15/26*Census!$D121*(1+Assumptions!$B$9)^S$5*(INT((Census!$F121+S$5))+IF((Census!$F121+S$5)-INT((Census!$F121+S$5))&gt;0.5,1,0)),Assumptions!$B$10))</f>
        <v>16036.945988296895</v>
      </c>
      <c r="T121" s="30">
        <f>IF(T$5&gt;$B121,0,INDEX(Decrements!$G$6:$G$58,Census!$G121+T$5-18)/INDEX(Decrements!$G$6:$G$58,Census!$G121-17)*(INDEX(Decrements!$D$6:$D$58,Census!$G121+T$5-18)+IF(T$5=$B121,INDEX(Decrements!$F$6:$F$58,Census!$G121+T$5-18),0)+INDEX(Decrements!$E$6:$E$58,Census!$G121+T$5-18)*IF((Census!$F121+T$5)&gt;=Assumptions!$B$11,1,0))*MIN(15/26*Census!$D121*(1+Assumptions!$B$9)^T$5*(INT((Census!$F121+T$5))+IF((Census!$F121+T$5)-INT((Census!$F121+T$5))&gt;0.5,1,0)),Assumptions!$B$10))</f>
        <v>17108.159245155817</v>
      </c>
      <c r="U121" s="30">
        <f>IF(U$5&gt;$B121,0,INDEX(Decrements!$G$6:$G$58,Census!$G121+U$5-18)/INDEX(Decrements!$G$6:$G$58,Census!$G121-17)*(INDEX(Decrements!$D$6:$D$58,Census!$G121+U$5-18)+IF(U$5=$B121,INDEX(Decrements!$F$6:$F$58,Census!$G121+U$5-18),0)+INDEX(Decrements!$E$6:$E$58,Census!$G121+U$5-18)*IF((Census!$F121+U$5)&gt;=Assumptions!$B$11,1,0))*MIN(15/26*Census!$D121*(1+Assumptions!$B$9)^U$5*(INT((Census!$F121+U$5))+IF((Census!$F121+U$5)-INT((Census!$F121+U$5))&gt;0.5,1,0)),Assumptions!$B$10))</f>
        <v>16905.930320644027</v>
      </c>
      <c r="V121" s="30">
        <f>IF(V$5&gt;$B121,0,INDEX(Decrements!$G$6:$G$58,Census!$G121+V$5-18)/INDEX(Decrements!$G$6:$G$58,Census!$G121-17)*(INDEX(Decrements!$D$6:$D$58,Census!$G121+V$5-18)+IF(V$5=$B121,INDEX(Decrements!$F$6:$F$58,Census!$G121+V$5-18),0)+INDEX(Decrements!$E$6:$E$58,Census!$G121+V$5-18)*IF((Census!$F121+V$5)&gt;=Assumptions!$B$11,1,0))*MIN(15/26*Census!$D121*(1+Assumptions!$B$9)^V$5*(INT((Census!$F121+V$5))+IF((Census!$F121+V$5)-INT((Census!$F121+V$5))&gt;0.5,1,0)),Assumptions!$B$10))</f>
        <v>16718.104565574115</v>
      </c>
      <c r="W121" s="30">
        <f>IF(W$5&gt;$B121,0,INDEX(Decrements!$G$6:$G$58,Census!$G121+W$5-18)/INDEX(Decrements!$G$6:$G$58,Census!$G121-17)*(INDEX(Decrements!$D$6:$D$58,Census!$G121+W$5-18)+IF(W$5=$B121,INDEX(Decrements!$F$6:$F$58,Census!$G121+W$5-18),0)+INDEX(Decrements!$E$6:$E$58,Census!$G121+W$5-18)*IF((Census!$F121+W$5)&gt;=Assumptions!$B$11,1,0))*MIN(15/26*Census!$D121*(1+Assumptions!$B$9)^W$5*(INT((Census!$F121+W$5))+IF((Census!$F121+W$5)-INT((Census!$F121+W$5))&gt;0.5,1,0)),Assumptions!$B$10))</f>
        <v>16544.989028592052</v>
      </c>
      <c r="X121" s="30">
        <f>IF(X$5&gt;$B121,0,INDEX(Decrements!$G$6:$G$58,Census!$G121+X$5-18)/INDEX(Decrements!$G$6:$G$58,Census!$G121-17)*(INDEX(Decrements!$D$6:$D$58,Census!$G121+X$5-18)+IF(X$5=$B121,INDEX(Decrements!$F$6:$F$58,Census!$G121+X$5-18),0)+INDEX(Decrements!$E$6:$E$58,Census!$G121+X$5-18)*IF((Census!$F121+X$5)&gt;=Assumptions!$B$11,1,0))*MIN(15/26*Census!$D121*(1+Assumptions!$B$9)^X$5*(INT((Census!$F121+X$5))+IF((Census!$F121+X$5)-INT((Census!$F121+X$5))&gt;0.5,1,0)),Assumptions!$B$10))</f>
        <v>9664.5607352137376</v>
      </c>
      <c r="Y121" s="30">
        <f>IF(Y$5&gt;$B121,0,INDEX(Decrements!$G$6:$G$58,Census!$G121+Y$5-18)/INDEX(Decrements!$G$6:$G$58,Census!$G121-17)*(INDEX(Decrements!$D$6:$D$58,Census!$G121+Y$5-18)+IF(Y$5=$B121,INDEX(Decrements!$F$6:$F$58,Census!$G121+Y$5-18),0)+INDEX(Decrements!$E$6:$E$58,Census!$G121+Y$5-18)*IF((Census!$F121+Y$5)&gt;=Assumptions!$B$11,1,0))*MIN(15/26*Census!$D121*(1+Assumptions!$B$9)^Y$5*(INT((Census!$F121+Y$5))+IF((Census!$F121+Y$5)-INT((Census!$F121+Y$5))&gt;0.5,1,0)),Assumptions!$B$10))</f>
        <v>9786.4142018456332</v>
      </c>
      <c r="Z121" s="30">
        <f>IF(Z$5&gt;$B121,0,INDEX(Decrements!$G$6:$G$58,Census!$G121+Z$5-18)/INDEX(Decrements!$G$6:$G$58,Census!$G121-17)*(INDEX(Decrements!$D$6:$D$58,Census!$G121+Z$5-18)+IF(Z$5=$B121,INDEX(Decrements!$F$6:$F$58,Census!$G121+Z$5-18),0)+INDEX(Decrements!$E$6:$E$58,Census!$G121+Z$5-18)*IF((Census!$F121+Z$5)&gt;=Assumptions!$B$11,1,0))*MIN(15/26*Census!$D121*(1+Assumptions!$B$9)^Z$5*(INT((Census!$F121+Z$5))+IF((Census!$F121+Z$5)-INT((Census!$F121+Z$5))&gt;0.5,1,0)),Assumptions!$B$10))</f>
        <v>9924.3903690865664</v>
      </c>
      <c r="AA121" s="30">
        <f>IF(AA$5&gt;$B121,0,INDEX(Decrements!$G$6:$G$58,Census!$G121+AA$5-18)/INDEX(Decrements!$G$6:$G$58,Census!$G121-17)*(INDEX(Decrements!$D$6:$D$58,Census!$G121+AA$5-18)+IF(AA$5=$B121,INDEX(Decrements!$F$6:$F$58,Census!$G121+AA$5-18),0)+INDEX(Decrements!$E$6:$E$58,Census!$G121+AA$5-18)*IF((Census!$F121+AA$5)&gt;=Assumptions!$B$11,1,0))*MIN(15/26*Census!$D121*(1+Assumptions!$B$9)^AA$5*(INT((Census!$F121+AA$5))+IF((Census!$F121+AA$5)-INT((Census!$F121+AA$5))&gt;0.5,1,0)),Assumptions!$B$10))</f>
        <v>10079.42699416902</v>
      </c>
      <c r="AB121" s="30">
        <f>IF(AB$5&gt;$B121,0,INDEX(Decrements!$G$6:$G$58,Census!$G121+AB$5-18)/INDEX(Decrements!$G$6:$G$58,Census!$G121-17)*(INDEX(Decrements!$D$6:$D$58,Census!$G121+AB$5-18)+IF(AB$5=$B121,INDEX(Decrements!$F$6:$F$58,Census!$G121+AB$5-18),0)+INDEX(Decrements!$E$6:$E$58,Census!$G121+AB$5-18)*IF((Census!$F121+AB$5)&gt;=Assumptions!$B$11,1,0))*MIN(15/26*Census!$D121*(1+Assumptions!$B$9)^AB$5*(INT((Census!$F121+AB$5))+IF((Census!$F121+AB$5)-INT((Census!$F121+AB$5))&gt;0.5,1,0)),Assumptions!$B$10))</f>
        <v>635721.01573537174</v>
      </c>
      <c r="AC121" s="30">
        <f>IF(AC$5&gt;$B121,0,INDEX(Decrements!$G$6:$G$58,Census!$G121+AC$5-18)/INDEX(Decrements!$G$6:$G$58,Census!$G121-17)*(INDEX(Decrements!$D$6:$D$58,Census!$G121+AC$5-18)+IF(AC$5=$B121,INDEX(Decrements!$F$6:$F$58,Census!$G121+AC$5-18),0)+INDEX(Decrements!$E$6:$E$58,Census!$G121+AC$5-18)*IF((Census!$F121+AC$5)&gt;=Assumptions!$B$11,1,0))*MIN(15/26*Census!$D121*(1+Assumptions!$B$9)^AC$5*(INT((Census!$F121+AC$5))+IF((Census!$F121+AC$5)-INT((Census!$F121+AC$5))&gt;0.5,1,0)),Assumptions!$B$10))</f>
        <v>0</v>
      </c>
      <c r="AD121" s="30">
        <f>IF(AD$5&gt;$B121,0,INDEX(Decrements!$G$6:$G$58,Census!$G121+AD$5-18)/INDEX(Decrements!$G$6:$G$58,Census!$G121-17)*(INDEX(Decrements!$D$6:$D$58,Census!$G121+AD$5-18)+IF(AD$5=$B121,INDEX(Decrements!$F$6:$F$58,Census!$G121+AD$5-18),0)+INDEX(Decrements!$E$6:$E$58,Census!$G121+AD$5-18)*IF((Census!$F121+AD$5)&gt;=Assumptions!$B$11,1,0))*MIN(15/26*Census!$D121*(1+Assumptions!$B$9)^AD$5*(INT((Census!$F121+AD$5))+IF((Census!$F121+AD$5)-INT((Census!$F121+AD$5))&gt;0.5,1,0)),Assumptions!$B$10))</f>
        <v>0</v>
      </c>
      <c r="AE121" s="30">
        <f>IF(AE$5&gt;$B121,0,INDEX(Decrements!$G$6:$G$58,Census!$G121+AE$5-18)/INDEX(Decrements!$G$6:$G$58,Census!$G121-17)*(INDEX(Decrements!$D$6:$D$58,Census!$G121+AE$5-18)+IF(AE$5=$B121,INDEX(Decrements!$F$6:$F$58,Census!$G121+AE$5-18),0)+INDEX(Decrements!$E$6:$E$58,Census!$G121+AE$5-18)*IF((Census!$F121+AE$5)&gt;=Assumptions!$B$11,1,0))*MIN(15/26*Census!$D121*(1+Assumptions!$B$9)^AE$5*(INT((Census!$F121+AE$5))+IF((Census!$F121+AE$5)-INT((Census!$F121+AE$5))&gt;0.5,1,0)),Assumptions!$B$10))</f>
        <v>0</v>
      </c>
      <c r="AF121" s="30">
        <f>IF(AF$5&gt;$B121,0,INDEX(Decrements!$G$6:$G$58,Census!$G121+AF$5-18)/INDEX(Decrements!$G$6:$G$58,Census!$G121-17)*(INDEX(Decrements!$D$6:$D$58,Census!$G121+AF$5-18)+IF(AF$5=$B121,INDEX(Decrements!$F$6:$F$58,Census!$G121+AF$5-18),0)+INDEX(Decrements!$E$6:$E$58,Census!$G121+AF$5-18)*IF((Census!$F121+AF$5)&gt;=Assumptions!$B$11,1,0))*MIN(15/26*Census!$D121*(1+Assumptions!$B$9)^AF$5*(INT((Census!$F121+AF$5))+IF((Census!$F121+AF$5)-INT((Census!$F121+AF$5))&gt;0.5,1,0)),Assumptions!$B$10))</f>
        <v>0</v>
      </c>
      <c r="AG121" s="30">
        <f>IF(AG$5&gt;$B121,0,INDEX(Decrements!$G$6:$G$58,Census!$G121+AG$5-18)/INDEX(Decrements!$G$6:$G$58,Census!$G121-17)*(INDEX(Decrements!$D$6:$D$58,Census!$G121+AG$5-18)+IF(AG$5=$B121,INDEX(Decrements!$F$6:$F$58,Census!$G121+AG$5-18),0)+INDEX(Decrements!$E$6:$E$58,Census!$G121+AG$5-18)*IF((Census!$F121+AG$5)&gt;=Assumptions!$B$11,1,0))*MIN(15/26*Census!$D121*(1+Assumptions!$B$9)^AG$5*(INT((Census!$F121+AG$5))+IF((Census!$F121+AG$5)-INT((Census!$F121+AG$5))&gt;0.5,1,0)),Assumptions!$B$10))</f>
        <v>0</v>
      </c>
      <c r="AH121" s="30">
        <f>IF(AH$5&gt;$B121,0,INDEX(Decrements!$G$6:$G$58,Census!$G121+AH$5-18)/INDEX(Decrements!$G$6:$G$58,Census!$G121-17)*(INDEX(Decrements!$D$6:$D$58,Census!$G121+AH$5-18)+IF(AH$5=$B121,INDEX(Decrements!$F$6:$F$58,Census!$G121+AH$5-18),0)+INDEX(Decrements!$E$6:$E$58,Census!$G121+AH$5-18)*IF((Census!$F121+AH$5)&gt;=Assumptions!$B$11,1,0))*MIN(15/26*Census!$D121*(1+Assumptions!$B$9)^AH$5*(INT((Census!$F121+AH$5))+IF((Census!$F121+AH$5)-INT((Census!$F121+AH$5))&gt;0.5,1,0)),Assumptions!$B$10))</f>
        <v>0</v>
      </c>
      <c r="AI121" s="30">
        <f>IF(AI$5&gt;$B121,0,INDEX(Decrements!$G$6:$G$58,Census!$G121+AI$5-18)/INDEX(Decrements!$G$6:$G$58,Census!$G121-17)*(INDEX(Decrements!$D$6:$D$58,Census!$G121+AI$5-18)+IF(AI$5=$B121,INDEX(Decrements!$F$6:$F$58,Census!$G121+AI$5-18),0)+INDEX(Decrements!$E$6:$E$58,Census!$G121+AI$5-18)*IF((Census!$F121+AI$5)&gt;=Assumptions!$B$11,1,0))*MIN(15/26*Census!$D121*(1+Assumptions!$B$9)^AI$5*(INT((Census!$F121+AI$5))+IF((Census!$F121+AI$5)-INT((Census!$F121+AI$5))&gt;0.5,1,0)),Assumptions!$B$10))</f>
        <v>0</v>
      </c>
      <c r="AJ121" s="30">
        <f>IF(AJ$5&gt;$B121,0,INDEX(Decrements!$G$6:$G$58,Census!$G121+AJ$5-18)/INDEX(Decrements!$G$6:$G$58,Census!$G121-17)*(INDEX(Decrements!$D$6:$D$58,Census!$G121+AJ$5-18)+IF(AJ$5=$B121,INDEX(Decrements!$F$6:$F$58,Census!$G121+AJ$5-18),0)+INDEX(Decrements!$E$6:$E$58,Census!$G121+AJ$5-18)*IF((Census!$F121+AJ$5)&gt;=Assumptions!$B$11,1,0))*MIN(15/26*Census!$D121*(1+Assumptions!$B$9)^AJ$5*(INT((Census!$F121+AJ$5))+IF((Census!$F121+AJ$5)-INT((Census!$F121+AJ$5))&gt;0.5,1,0)),Assumptions!$B$10))</f>
        <v>0</v>
      </c>
      <c r="AK121" s="30">
        <f>IF(AK$5&gt;$B121,0,INDEX(Decrements!$G$6:$G$58,Census!$G121+AK$5-18)/INDEX(Decrements!$G$6:$G$58,Census!$G121-17)*(INDEX(Decrements!$D$6:$D$58,Census!$G121+AK$5-18)+IF(AK$5=$B121,INDEX(Decrements!$F$6:$F$58,Census!$G121+AK$5-18),0)+INDEX(Decrements!$E$6:$E$58,Census!$G121+AK$5-18)*IF((Census!$F121+AK$5)&gt;=Assumptions!$B$11,1,0))*MIN(15/26*Census!$D121*(1+Assumptions!$B$9)^AK$5*(INT((Census!$F121+AK$5))+IF((Census!$F121+AK$5)-INT((Census!$F121+AK$5))&gt;0.5,1,0)),Assumptions!$B$10))</f>
        <v>0</v>
      </c>
      <c r="AL121" s="30">
        <f>IF(AL$5&gt;$B121,0,INDEX(Decrements!$G$6:$G$58,Census!$G121+AL$5-18)/INDEX(Decrements!$G$6:$G$58,Census!$G121-17)*(INDEX(Decrements!$D$6:$D$58,Census!$G121+AL$5-18)+IF(AL$5=$B121,INDEX(Decrements!$F$6:$F$58,Census!$G121+AL$5-18),0)+INDEX(Decrements!$E$6:$E$58,Census!$G121+AL$5-18)*IF((Census!$F121+AL$5)&gt;=Assumptions!$B$11,1,0))*MIN(15/26*Census!$D121*(1+Assumptions!$B$9)^AL$5*(INT((Census!$F121+AL$5))+IF((Census!$F121+AL$5)-INT((Census!$F121+AL$5))&gt;0.5,1,0)),Assumptions!$B$10))</f>
        <v>0</v>
      </c>
      <c r="AM121" s="30">
        <f>IF(AM$5&gt;$B121,0,INDEX(Decrements!$G$6:$G$58,Census!$G121+AM$5-18)/INDEX(Decrements!$G$6:$G$58,Census!$G121-17)*(INDEX(Decrements!$D$6:$D$58,Census!$G121+AM$5-18)+IF(AM$5=$B121,INDEX(Decrements!$F$6:$F$58,Census!$G121+AM$5-18),0)+INDEX(Decrements!$E$6:$E$58,Census!$G121+AM$5-18)*IF((Census!$F121+AM$5)&gt;=Assumptions!$B$11,1,0))*MIN(15/26*Census!$D121*(1+Assumptions!$B$9)^AM$5*(INT((Census!$F121+AM$5))+IF((Census!$F121+AM$5)-INT((Census!$F121+AM$5))&gt;0.5,1,0)),Assumptions!$B$10))</f>
        <v>0</v>
      </c>
      <c r="AN121" s="30">
        <f>IF(AN$5&gt;$B121,0,INDEX(Decrements!$G$6:$G$58,Census!$G121+AN$5-18)/INDEX(Decrements!$G$6:$G$58,Census!$G121-17)*(INDEX(Decrements!$D$6:$D$58,Census!$G121+AN$5-18)+IF(AN$5=$B121,INDEX(Decrements!$F$6:$F$58,Census!$G121+AN$5-18),0)+INDEX(Decrements!$E$6:$E$58,Census!$G121+AN$5-18)*IF((Census!$F121+AN$5)&gt;=Assumptions!$B$11,1,0))*MIN(15/26*Census!$D121*(1+Assumptions!$B$9)^AN$5*(INT((Census!$F121+AN$5))+IF((Census!$F121+AN$5)-INT((Census!$F121+AN$5))&gt;0.5,1,0)),Assumptions!$B$10))</f>
        <v>0</v>
      </c>
      <c r="AO121" s="30">
        <f>IF(AO$5&gt;$B121,0,INDEX(Decrements!$G$6:$G$58,Census!$G121+AO$5-18)/INDEX(Decrements!$G$6:$G$58,Census!$G121-17)*(INDEX(Decrements!$D$6:$D$58,Census!$G121+AO$5-18)+IF(AO$5=$B121,INDEX(Decrements!$F$6:$F$58,Census!$G121+AO$5-18),0)+INDEX(Decrements!$E$6:$E$58,Census!$G121+AO$5-18)*IF((Census!$F121+AO$5)&gt;=Assumptions!$B$11,1,0))*MIN(15/26*Census!$D121*(1+Assumptions!$B$9)^AO$5*(INT((Census!$F121+AO$5))+IF((Census!$F121+AO$5)-INT((Census!$F121+AO$5))&gt;0.5,1,0)),Assumptions!$B$10))</f>
        <v>0</v>
      </c>
      <c r="AP121" s="30">
        <f>IF(AP$5&gt;$B121,0,INDEX(Decrements!$G$6:$G$58,Census!$G121+AP$5-18)/INDEX(Decrements!$G$6:$G$58,Census!$G121-17)*(INDEX(Decrements!$D$6:$D$58,Census!$G121+AP$5-18)+IF(AP$5=$B121,INDEX(Decrements!$F$6:$F$58,Census!$G121+AP$5-18),0)+INDEX(Decrements!$E$6:$E$58,Census!$G121+AP$5-18)*IF((Census!$F121+AP$5)&gt;=Assumptions!$B$11,1,0))*MIN(15/26*Census!$D121*(1+Assumptions!$B$9)^AP$5*(INT((Census!$F121+AP$5))+IF((Census!$F121+AP$5)-INT((Census!$F121+AP$5))&gt;0.5,1,0)),Assumptions!$B$10))</f>
        <v>0</v>
      </c>
      <c r="AQ121" s="30">
        <f>IF(AQ$5&gt;$B121,0,INDEX(Decrements!$G$6:$G$58,Census!$G121+AQ$5-18)/INDEX(Decrements!$G$6:$G$58,Census!$G121-17)*(INDEX(Decrements!$D$6:$D$58,Census!$G121+AQ$5-18)+IF(AQ$5=$B121,INDEX(Decrements!$F$6:$F$58,Census!$G121+AQ$5-18),0)+INDEX(Decrements!$E$6:$E$58,Census!$G121+AQ$5-18)*IF((Census!$F121+AQ$5)&gt;=Assumptions!$B$11,1,0))*MIN(15/26*Census!$D121*(1+Assumptions!$B$9)^AQ$5*(INT((Census!$F121+AQ$5))+IF((Census!$F121+AQ$5)-INT((Census!$F121+AQ$5))&gt;0.5,1,0)),Assumptions!$B$10))</f>
        <v>0</v>
      </c>
      <c r="AR121" s="30">
        <f>IF(AR$5&gt;$B121,0,INDEX(Decrements!$G$6:$G$58,Census!$G121+AR$5-18)/INDEX(Decrements!$G$6:$G$58,Census!$G121-17)*(INDEX(Decrements!$D$6:$D$58,Census!$G121+AR$5-18)+IF(AR$5=$B121,INDEX(Decrements!$F$6:$F$58,Census!$G121+AR$5-18),0)+INDEX(Decrements!$E$6:$E$58,Census!$G121+AR$5-18)*IF((Census!$F121+AR$5)&gt;=Assumptions!$B$11,1,0))*MIN(15/26*Census!$D121*(1+Assumptions!$B$9)^AR$5*(INT((Census!$F121+AR$5))+IF((Census!$F121+AR$5)-INT((Census!$F121+AR$5))&gt;0.5,1,0)),Assumptions!$B$10))</f>
        <v>0</v>
      </c>
      <c r="AS121" s="30">
        <f>IF(AS$5&gt;$B121,0,INDEX(Decrements!$G$6:$G$58,Census!$G121+AS$5-18)/INDEX(Decrements!$G$6:$G$58,Census!$G121-17)*(INDEX(Decrements!$D$6:$D$58,Census!$G121+AS$5-18)+IF(AS$5=$B121,INDEX(Decrements!$F$6:$F$58,Census!$G121+AS$5-18),0)+INDEX(Decrements!$E$6:$E$58,Census!$G121+AS$5-18)*IF((Census!$F121+AS$5)&gt;=Assumptions!$B$11,1,0))*MIN(15/26*Census!$D121*(1+Assumptions!$B$9)^AS$5*(INT((Census!$F121+AS$5))+IF((Census!$F121+AS$5)-INT((Census!$F121+AS$5))&gt;0.5,1,0)),Assumptions!$B$10))</f>
        <v>0</v>
      </c>
      <c r="AT121" s="30">
        <f>IF(AT$5&gt;$B121,0,INDEX(Decrements!$G$6:$G$58,Census!$G121+AT$5-18)/INDEX(Decrements!$G$6:$G$58,Census!$G121-17)*(INDEX(Decrements!$D$6:$D$58,Census!$G121+AT$5-18)+IF(AT$5=$B121,INDEX(Decrements!$F$6:$F$58,Census!$G121+AT$5-18),0)+INDEX(Decrements!$E$6:$E$58,Census!$G121+AT$5-18)*IF((Census!$F121+AT$5)&gt;=Assumptions!$B$11,1,0))*MIN(15/26*Census!$D121*(1+Assumptions!$B$9)^AT$5*(INT((Census!$F121+AT$5))+IF((Census!$F121+AT$5)-INT((Census!$F121+AT$5))&gt;0.5,1,0)),Assumptions!$B$10))</f>
        <v>0</v>
      </c>
      <c r="AU121" s="30">
        <f>IF(AU$5&gt;$B121,0,INDEX(Decrements!$G$6:$G$58,Census!$G121+AU$5-18)/INDEX(Decrements!$G$6:$G$58,Census!$G121-17)*(INDEX(Decrements!$D$6:$D$58,Census!$G121+AU$5-18)+IF(AU$5=$B121,INDEX(Decrements!$F$6:$F$58,Census!$G121+AU$5-18),0)+INDEX(Decrements!$E$6:$E$58,Census!$G121+AU$5-18)*IF((Census!$F121+AU$5)&gt;=Assumptions!$B$11,1,0))*MIN(15/26*Census!$D121*(1+Assumptions!$B$9)^AU$5*(INT((Census!$F121+AU$5))+IF((Census!$F121+AU$5)-INT((Census!$F121+AU$5))&gt;0.5,1,0)),Assumptions!$B$10))</f>
        <v>0</v>
      </c>
    </row>
    <row r="122" spans="1:47" x14ac:dyDescent="0.3">
      <c r="A122" s="10" t="str">
        <f>Census!A122</f>
        <v>E117</v>
      </c>
      <c r="B122" s="29">
        <f>Census!H122</f>
        <v>26</v>
      </c>
      <c r="C122" s="30">
        <f>IF(C$5&gt;$B122,0,INDEX(Decrements!$G$6:$G$58,Census!$G122+C$5-18)/INDEX(Decrements!$G$6:$G$58,Census!$G122-17)*(INDEX(Decrements!$D$6:$D$58,Census!$G122+C$5-18)+IF(C$5=$B122,INDEX(Decrements!$F$6:$F$58,Census!$G122+C$5-18),0)+INDEX(Decrements!$E$6:$E$58,Census!$G122+C$5-18)*IF((Census!$F122+C$5)&gt;=Assumptions!$B$11,1,0))*MIN(15/26*Census!$D122*(1+Assumptions!$B$9)^C$5*(INT((Census!$F122+C$5))+IF((Census!$F122+C$5)-INT((Census!$F122+C$5))&gt;0.5,1,0)),Assumptions!$B$10))</f>
        <v>10393.126584677288</v>
      </c>
      <c r="D122" s="30">
        <f>IF(D$5&gt;$B122,0,INDEX(Decrements!$G$6:$G$58,Census!$G122+D$5-18)/INDEX(Decrements!$G$6:$G$58,Census!$G122-17)*(INDEX(Decrements!$D$6:$D$58,Census!$G122+D$5-18)+IF(D$5=$B122,INDEX(Decrements!$F$6:$F$58,Census!$G122+D$5-18),0)+INDEX(Decrements!$E$6:$E$58,Census!$G122+D$5-18)*IF((Census!$F122+D$5)&gt;=Assumptions!$B$11,1,0))*MIN(15/26*Census!$D122*(1+Assumptions!$B$9)^D$5*(INT((Census!$F122+D$5))+IF((Census!$F122+D$5)-INT((Census!$F122+D$5))&gt;0.5,1,0)),Assumptions!$B$10))</f>
        <v>8743.17665998148</v>
      </c>
      <c r="E122" s="30">
        <f>IF(E$5&gt;$B122,0,INDEX(Decrements!$G$6:$G$58,Census!$G122+E$5-18)/INDEX(Decrements!$G$6:$G$58,Census!$G122-17)*(INDEX(Decrements!$D$6:$D$58,Census!$G122+E$5-18)+IF(E$5=$B122,INDEX(Decrements!$F$6:$F$58,Census!$G122+E$5-18),0)+INDEX(Decrements!$E$6:$E$58,Census!$G122+E$5-18)*IF((Census!$F122+E$5)&gt;=Assumptions!$B$11,1,0))*MIN(15/26*Census!$D122*(1+Assumptions!$B$9)^E$5*(INT((Census!$F122+E$5))+IF((Census!$F122+E$5)-INT((Census!$F122+E$5))&gt;0.5,1,0)),Assumptions!$B$10))</f>
        <v>10131.846868319943</v>
      </c>
      <c r="F122" s="30">
        <f>IF(F$5&gt;$B122,0,INDEX(Decrements!$G$6:$G$58,Census!$G122+F$5-18)/INDEX(Decrements!$G$6:$G$58,Census!$G122-17)*(INDEX(Decrements!$D$6:$D$58,Census!$G122+F$5-18)+IF(F$5=$B122,INDEX(Decrements!$F$6:$F$58,Census!$G122+F$5-18),0)+INDEX(Decrements!$E$6:$E$58,Census!$G122+F$5-18)*IF((Census!$F122+F$5)&gt;=Assumptions!$B$11,1,0))*MIN(15/26*Census!$D122*(1+Assumptions!$B$9)^F$5*(INT((Census!$F122+F$5))+IF((Census!$F122+F$5)-INT((Census!$F122+F$5))&gt;0.5,1,0)),Assumptions!$B$10))</f>
        <v>11501.549812559449</v>
      </c>
      <c r="G122" s="30">
        <f>IF(G$5&gt;$B122,0,INDEX(Decrements!$G$6:$G$58,Census!$G122+G$5-18)/INDEX(Decrements!$G$6:$G$58,Census!$G122-17)*(INDEX(Decrements!$D$6:$D$58,Census!$G122+G$5-18)+IF(G$5=$B122,INDEX(Decrements!$F$6:$F$58,Census!$G122+G$5-18),0)+INDEX(Decrements!$E$6:$E$58,Census!$G122+G$5-18)*IF((Census!$F122+G$5)&gt;=Assumptions!$B$11,1,0))*MIN(15/26*Census!$D122*(1+Assumptions!$B$9)^G$5*(INT((Census!$F122+G$5))+IF((Census!$F122+G$5)-INT((Census!$F122+G$5))&gt;0.5,1,0)),Assumptions!$B$10))</f>
        <v>12852.516959887062</v>
      </c>
      <c r="H122" s="30">
        <f>IF(H$5&gt;$B122,0,INDEX(Decrements!$G$6:$G$58,Census!$G122+H$5-18)/INDEX(Decrements!$G$6:$G$58,Census!$G122-17)*(INDEX(Decrements!$D$6:$D$58,Census!$G122+H$5-18)+IF(H$5=$B122,INDEX(Decrements!$F$6:$F$58,Census!$G122+H$5-18),0)+INDEX(Decrements!$E$6:$E$58,Census!$G122+H$5-18)*IF((Census!$F122+H$5)&gt;=Assumptions!$B$11,1,0))*MIN(15/26*Census!$D122*(1+Assumptions!$B$9)^H$5*(INT((Census!$F122+H$5))+IF((Census!$F122+H$5)-INT((Census!$F122+H$5))&gt;0.5,1,0)),Assumptions!$B$10))</f>
        <v>14184.981089217612</v>
      </c>
      <c r="I122" s="30">
        <f>IF(I$5&gt;$B122,0,INDEX(Decrements!$G$6:$G$58,Census!$G122+I$5-18)/INDEX(Decrements!$G$6:$G$58,Census!$G122-17)*(INDEX(Decrements!$D$6:$D$58,Census!$G122+I$5-18)+IF(I$5=$B122,INDEX(Decrements!$F$6:$F$58,Census!$G122+I$5-18),0)+INDEX(Decrements!$E$6:$E$58,Census!$G122+I$5-18)*IF((Census!$F122+I$5)&gt;=Assumptions!$B$11,1,0))*MIN(15/26*Census!$D122*(1+Assumptions!$B$9)^I$5*(INT((Census!$F122+I$5))+IF((Census!$F122+I$5)-INT((Census!$F122+I$5))&gt;0.5,1,0)),Assumptions!$B$10))</f>
        <v>9783.4830987471069</v>
      </c>
      <c r="J122" s="30">
        <f>IF(J$5&gt;$B122,0,INDEX(Decrements!$G$6:$G$58,Census!$G122+J$5-18)/INDEX(Decrements!$G$6:$G$58,Census!$G122-17)*(INDEX(Decrements!$D$6:$D$58,Census!$G122+J$5-18)+IF(J$5=$B122,INDEX(Decrements!$F$6:$F$58,Census!$G122+J$5-18),0)+INDEX(Decrements!$E$6:$E$58,Census!$G122+J$5-18)*IF((Census!$F122+J$5)&gt;=Assumptions!$B$11,1,0))*MIN(15/26*Census!$D122*(1+Assumptions!$B$9)^J$5*(INT((Census!$F122+J$5))+IF((Census!$F122+J$5)-INT((Census!$F122+J$5))&gt;0.5,1,0)),Assumptions!$B$10))</f>
        <v>10954.828911790586</v>
      </c>
      <c r="K122" s="30">
        <f>IF(K$5&gt;$B122,0,INDEX(Decrements!$G$6:$G$58,Census!$G122+K$5-18)/INDEX(Decrements!$G$6:$G$58,Census!$G122-17)*(INDEX(Decrements!$D$6:$D$58,Census!$G122+K$5-18)+IF(K$5=$B122,INDEX(Decrements!$F$6:$F$58,Census!$G122+K$5-18),0)+INDEX(Decrements!$E$6:$E$58,Census!$G122+K$5-18)*IF((Census!$F122+K$5)&gt;=Assumptions!$B$11,1,0))*MIN(15/26*Census!$D122*(1+Assumptions!$B$9)^K$5*(INT((Census!$F122+K$5))+IF((Census!$F122+K$5)-INT((Census!$F122+K$5))&gt;0.5,1,0)),Assumptions!$B$10))</f>
        <v>12182.168672241518</v>
      </c>
      <c r="L122" s="30">
        <f>IF(L$5&gt;$B122,0,INDEX(Decrements!$G$6:$G$58,Census!$G122+L$5-18)/INDEX(Decrements!$G$6:$G$58,Census!$G122-17)*(INDEX(Decrements!$D$6:$D$58,Census!$G122+L$5-18)+IF(L$5=$B122,INDEX(Decrements!$F$6:$F$58,Census!$G122+L$5-18),0)+INDEX(Decrements!$E$6:$E$58,Census!$G122+L$5-18)*IF((Census!$F122+L$5)&gt;=Assumptions!$B$11,1,0))*MIN(15/26*Census!$D122*(1+Assumptions!$B$9)^L$5*(INT((Census!$F122+L$5))+IF((Census!$F122+L$5)-INT((Census!$F122+L$5))&gt;0.5,1,0)),Assumptions!$B$10))</f>
        <v>13467.983035682761</v>
      </c>
      <c r="M122" s="30">
        <f>IF(M$5&gt;$B122,0,INDEX(Decrements!$G$6:$G$58,Census!$G122+M$5-18)/INDEX(Decrements!$G$6:$G$58,Census!$G122-17)*(INDEX(Decrements!$D$6:$D$58,Census!$G122+M$5-18)+IF(M$5=$B122,INDEX(Decrements!$F$6:$F$58,Census!$G122+M$5-18),0)+INDEX(Decrements!$E$6:$E$58,Census!$G122+M$5-18)*IF((Census!$F122+M$5)&gt;=Assumptions!$B$11,1,0))*MIN(15/26*Census!$D122*(1+Assumptions!$B$9)^M$5*(INT((Census!$F122+M$5))+IF((Census!$F122+M$5)-INT((Census!$F122+M$5))&gt;0.5,1,0)),Assumptions!$B$10))</f>
        <v>14814.897615923654</v>
      </c>
      <c r="N122" s="30">
        <f>IF(N$5&gt;$B122,0,INDEX(Decrements!$G$6:$G$58,Census!$G122+N$5-18)/INDEX(Decrements!$G$6:$G$58,Census!$G122-17)*(INDEX(Decrements!$D$6:$D$58,Census!$G122+N$5-18)+IF(N$5=$B122,INDEX(Decrements!$F$6:$F$58,Census!$G122+N$5-18),0)+INDEX(Decrements!$E$6:$E$58,Census!$G122+N$5-18)*IF((Census!$F122+N$5)&gt;=Assumptions!$B$11,1,0))*MIN(15/26*Census!$D122*(1+Assumptions!$B$9)^N$5*(INT((Census!$F122+N$5))+IF((Census!$F122+N$5)-INT((Census!$F122+N$5))&gt;0.5,1,0)),Assumptions!$B$10))</f>
        <v>9976.8004249845199</v>
      </c>
      <c r="O122" s="30">
        <f>IF(O$5&gt;$B122,0,INDEX(Decrements!$G$6:$G$58,Census!$G122+O$5-18)/INDEX(Decrements!$G$6:$G$58,Census!$G122-17)*(INDEX(Decrements!$D$6:$D$58,Census!$G122+O$5-18)+IF(O$5=$B122,INDEX(Decrements!$F$6:$F$58,Census!$G122+O$5-18),0)+INDEX(Decrements!$E$6:$E$58,Census!$G122+O$5-18)*IF((Census!$F122+O$5)&gt;=Assumptions!$B$11,1,0))*MIN(15/26*Census!$D122*(1+Assumptions!$B$9)^O$5*(INT((Census!$F122+O$5))+IF((Census!$F122+O$5)-INT((Census!$F122+O$5))&gt;0.5,1,0)),Assumptions!$B$10))</f>
        <v>11135.014734206079</v>
      </c>
      <c r="P122" s="30">
        <f>IF(P$5&gt;$B122,0,INDEX(Decrements!$G$6:$G$58,Census!$G122+P$5-18)/INDEX(Decrements!$G$6:$G$58,Census!$G122-17)*(INDEX(Decrements!$D$6:$D$58,Census!$G122+P$5-18)+IF(P$5=$B122,INDEX(Decrements!$F$6:$F$58,Census!$G122+P$5-18),0)+INDEX(Decrements!$E$6:$E$58,Census!$G122+P$5-18)*IF((Census!$F122+P$5)&gt;=Assumptions!$B$11,1,0))*MIN(15/26*Census!$D122*(1+Assumptions!$B$9)^P$5*(INT((Census!$F122+P$5))+IF((Census!$F122+P$5)-INT((Census!$F122+P$5))&gt;0.5,1,0)),Assumptions!$B$10))</f>
        <v>12388.215598128356</v>
      </c>
      <c r="Q122" s="30">
        <f>IF(Q$5&gt;$B122,0,INDEX(Decrements!$G$6:$G$58,Census!$G122+Q$5-18)/INDEX(Decrements!$G$6:$G$58,Census!$G122-17)*(INDEX(Decrements!$D$6:$D$58,Census!$G122+Q$5-18)+IF(Q$5=$B122,INDEX(Decrements!$F$6:$F$58,Census!$G122+Q$5-18),0)+INDEX(Decrements!$E$6:$E$58,Census!$G122+Q$5-18)*IF((Census!$F122+Q$5)&gt;=Assumptions!$B$11,1,0))*MIN(15/26*Census!$D122*(1+Assumptions!$B$9)^Q$5*(INT((Census!$F122+Q$5))+IF((Census!$F122+Q$5)-INT((Census!$F122+Q$5))&gt;0.5,1,0)),Assumptions!$B$10))</f>
        <v>13744.160579390993</v>
      </c>
      <c r="R122" s="30">
        <f>IF(R$5&gt;$B122,0,INDEX(Decrements!$G$6:$G$58,Census!$G122+R$5-18)/INDEX(Decrements!$G$6:$G$58,Census!$G122-17)*(INDEX(Decrements!$D$6:$D$58,Census!$G122+R$5-18)+IF(R$5=$B122,INDEX(Decrements!$F$6:$F$58,Census!$G122+R$5-18),0)+INDEX(Decrements!$E$6:$E$58,Census!$G122+R$5-18)*IF((Census!$F122+R$5)&gt;=Assumptions!$B$11,1,0))*MIN(15/26*Census!$D122*(1+Assumptions!$B$9)^R$5*(INT((Census!$F122+R$5))+IF((Census!$F122+R$5)-INT((Census!$F122+R$5))&gt;0.5,1,0)),Assumptions!$B$10))</f>
        <v>15211.350511113982</v>
      </c>
      <c r="S122" s="30">
        <f>IF(S$5&gt;$B122,0,INDEX(Decrements!$G$6:$G$58,Census!$G122+S$5-18)/INDEX(Decrements!$G$6:$G$58,Census!$G122-17)*(INDEX(Decrements!$D$6:$D$58,Census!$G122+S$5-18)+IF(S$5=$B122,INDEX(Decrements!$F$6:$F$58,Census!$G122+S$5-18),0)+INDEX(Decrements!$E$6:$E$58,Census!$G122+S$5-18)*IF((Census!$F122+S$5)&gt;=Assumptions!$B$11,1,0))*MIN(15/26*Census!$D122*(1+Assumptions!$B$9)^S$5*(INT((Census!$F122+S$5))+IF((Census!$F122+S$5)-INT((Census!$F122+S$5))&gt;0.5,1,0)),Assumptions!$B$10))</f>
        <v>11687.943686385872</v>
      </c>
      <c r="T122" s="30">
        <f>IF(T$5&gt;$B122,0,INDEX(Decrements!$G$6:$G$58,Census!$G122+T$5-18)/INDEX(Decrements!$G$6:$G$58,Census!$G122-17)*(INDEX(Decrements!$D$6:$D$58,Census!$G122+T$5-18)+IF(T$5=$B122,INDEX(Decrements!$F$6:$F$58,Census!$G122+T$5-18),0)+INDEX(Decrements!$E$6:$E$58,Census!$G122+T$5-18)*IF((Census!$F122+T$5)&gt;=Assumptions!$B$11,1,0))*MIN(15/26*Census!$D122*(1+Assumptions!$B$9)^T$5*(INT((Census!$F122+T$5))+IF((Census!$F122+T$5)-INT((Census!$F122+T$5))&gt;0.5,1,0)),Assumptions!$B$10))</f>
        <v>13058.941448964162</v>
      </c>
      <c r="U122" s="30">
        <f>IF(U$5&gt;$B122,0,INDEX(Decrements!$G$6:$G$58,Census!$G122+U$5-18)/INDEX(Decrements!$G$6:$G$58,Census!$G122-17)*(INDEX(Decrements!$D$6:$D$58,Census!$G122+U$5-18)+IF(U$5=$B122,INDEX(Decrements!$F$6:$F$58,Census!$G122+U$5-18),0)+INDEX(Decrements!$E$6:$E$58,Census!$G122+U$5-18)*IF((Census!$F122+U$5)&gt;=Assumptions!$B$11,1,0))*MIN(15/26*Census!$D122*(1+Assumptions!$B$9)^U$5*(INT((Census!$F122+U$5))+IF((Census!$F122+U$5)-INT((Census!$F122+U$5))&gt;0.5,1,0)),Assumptions!$B$10))</f>
        <v>14570.440305127162</v>
      </c>
      <c r="V122" s="30">
        <f>IF(V$5&gt;$B122,0,INDEX(Decrements!$G$6:$G$58,Census!$G122+V$5-18)/INDEX(Decrements!$G$6:$G$58,Census!$G122-17)*(INDEX(Decrements!$D$6:$D$58,Census!$G122+V$5-18)+IF(V$5=$B122,INDEX(Decrements!$F$6:$F$58,Census!$G122+V$5-18),0)+INDEX(Decrements!$E$6:$E$58,Census!$G122+V$5-18)*IF((Census!$F122+V$5)&gt;=Assumptions!$B$11,1,0))*MIN(15/26*Census!$D122*(1+Assumptions!$B$9)^V$5*(INT((Census!$F122+V$5))+IF((Census!$F122+V$5)-INT((Census!$F122+V$5))&gt;0.5,1,0)),Assumptions!$B$10))</f>
        <v>16237.822874445861</v>
      </c>
      <c r="W122" s="30">
        <f>IF(W$5&gt;$B122,0,INDEX(Decrements!$G$6:$G$58,Census!$G122+W$5-18)/INDEX(Decrements!$G$6:$G$58,Census!$G122-17)*(INDEX(Decrements!$D$6:$D$58,Census!$G122+W$5-18)+IF(W$5=$B122,INDEX(Decrements!$F$6:$F$58,Census!$G122+W$5-18),0)+INDEX(Decrements!$E$6:$E$58,Census!$G122+W$5-18)*IF((Census!$F122+W$5)&gt;=Assumptions!$B$11,1,0))*MIN(15/26*Census!$D122*(1+Assumptions!$B$9)^W$5*(INT((Census!$F122+W$5))+IF((Census!$F122+W$5)-INT((Census!$F122+W$5))&gt;0.5,1,0)),Assumptions!$B$10))</f>
        <v>16544.989028592052</v>
      </c>
      <c r="X122" s="30">
        <f>IF(X$5&gt;$B122,0,INDEX(Decrements!$G$6:$G$58,Census!$G122+X$5-18)/INDEX(Decrements!$G$6:$G$58,Census!$G122-17)*(INDEX(Decrements!$D$6:$D$58,Census!$G122+X$5-18)+IF(X$5=$B122,INDEX(Decrements!$F$6:$F$58,Census!$G122+X$5-18),0)+INDEX(Decrements!$E$6:$E$58,Census!$G122+X$5-18)*IF((Census!$F122+X$5)&gt;=Assumptions!$B$11,1,0))*MIN(15/26*Census!$D122*(1+Assumptions!$B$9)^X$5*(INT((Census!$F122+X$5))+IF((Census!$F122+X$5)-INT((Census!$F122+X$5))&gt;0.5,1,0)),Assumptions!$B$10))</f>
        <v>9664.5607352137376</v>
      </c>
      <c r="Y122" s="30">
        <f>IF(Y$5&gt;$B122,0,INDEX(Decrements!$G$6:$G$58,Census!$G122+Y$5-18)/INDEX(Decrements!$G$6:$G$58,Census!$G122-17)*(INDEX(Decrements!$D$6:$D$58,Census!$G122+Y$5-18)+IF(Y$5=$B122,INDEX(Decrements!$F$6:$F$58,Census!$G122+Y$5-18),0)+INDEX(Decrements!$E$6:$E$58,Census!$G122+Y$5-18)*IF((Census!$F122+Y$5)&gt;=Assumptions!$B$11,1,0))*MIN(15/26*Census!$D122*(1+Assumptions!$B$9)^Y$5*(INT((Census!$F122+Y$5))+IF((Census!$F122+Y$5)-INT((Census!$F122+Y$5))&gt;0.5,1,0)),Assumptions!$B$10))</f>
        <v>9786.4142018456332</v>
      </c>
      <c r="Z122" s="30">
        <f>IF(Z$5&gt;$B122,0,INDEX(Decrements!$G$6:$G$58,Census!$G122+Z$5-18)/INDEX(Decrements!$G$6:$G$58,Census!$G122-17)*(INDEX(Decrements!$D$6:$D$58,Census!$G122+Z$5-18)+IF(Z$5=$B122,INDEX(Decrements!$F$6:$F$58,Census!$G122+Z$5-18),0)+INDEX(Decrements!$E$6:$E$58,Census!$G122+Z$5-18)*IF((Census!$F122+Z$5)&gt;=Assumptions!$B$11,1,0))*MIN(15/26*Census!$D122*(1+Assumptions!$B$9)^Z$5*(INT((Census!$F122+Z$5))+IF((Census!$F122+Z$5)-INT((Census!$F122+Z$5))&gt;0.5,1,0)),Assumptions!$B$10))</f>
        <v>9924.3903690865664</v>
      </c>
      <c r="AA122" s="30">
        <f>IF(AA$5&gt;$B122,0,INDEX(Decrements!$G$6:$G$58,Census!$G122+AA$5-18)/INDEX(Decrements!$G$6:$G$58,Census!$G122-17)*(INDEX(Decrements!$D$6:$D$58,Census!$G122+AA$5-18)+IF(AA$5=$B122,INDEX(Decrements!$F$6:$F$58,Census!$G122+AA$5-18),0)+INDEX(Decrements!$E$6:$E$58,Census!$G122+AA$5-18)*IF((Census!$F122+AA$5)&gt;=Assumptions!$B$11,1,0))*MIN(15/26*Census!$D122*(1+Assumptions!$B$9)^AA$5*(INT((Census!$F122+AA$5))+IF((Census!$F122+AA$5)-INT((Census!$F122+AA$5))&gt;0.5,1,0)),Assumptions!$B$10))</f>
        <v>10079.42699416902</v>
      </c>
      <c r="AB122" s="30">
        <f>IF(AB$5&gt;$B122,0,INDEX(Decrements!$G$6:$G$58,Census!$G122+AB$5-18)/INDEX(Decrements!$G$6:$G$58,Census!$G122-17)*(INDEX(Decrements!$D$6:$D$58,Census!$G122+AB$5-18)+IF(AB$5=$B122,INDEX(Decrements!$F$6:$F$58,Census!$G122+AB$5-18),0)+INDEX(Decrements!$E$6:$E$58,Census!$G122+AB$5-18)*IF((Census!$F122+AB$5)&gt;=Assumptions!$B$11,1,0))*MIN(15/26*Census!$D122*(1+Assumptions!$B$9)^AB$5*(INT((Census!$F122+AB$5))+IF((Census!$F122+AB$5)-INT((Census!$F122+AB$5))&gt;0.5,1,0)),Assumptions!$B$10))</f>
        <v>635721.01573537174</v>
      </c>
      <c r="AC122" s="30">
        <f>IF(AC$5&gt;$B122,0,INDEX(Decrements!$G$6:$G$58,Census!$G122+AC$5-18)/INDEX(Decrements!$G$6:$G$58,Census!$G122-17)*(INDEX(Decrements!$D$6:$D$58,Census!$G122+AC$5-18)+IF(AC$5=$B122,INDEX(Decrements!$F$6:$F$58,Census!$G122+AC$5-18),0)+INDEX(Decrements!$E$6:$E$58,Census!$G122+AC$5-18)*IF((Census!$F122+AC$5)&gt;=Assumptions!$B$11,1,0))*MIN(15/26*Census!$D122*(1+Assumptions!$B$9)^AC$5*(INT((Census!$F122+AC$5))+IF((Census!$F122+AC$5)-INT((Census!$F122+AC$5))&gt;0.5,1,0)),Assumptions!$B$10))</f>
        <v>0</v>
      </c>
      <c r="AD122" s="30">
        <f>IF(AD$5&gt;$B122,0,INDEX(Decrements!$G$6:$G$58,Census!$G122+AD$5-18)/INDEX(Decrements!$G$6:$G$58,Census!$G122-17)*(INDEX(Decrements!$D$6:$D$58,Census!$G122+AD$5-18)+IF(AD$5=$B122,INDEX(Decrements!$F$6:$F$58,Census!$G122+AD$5-18),0)+INDEX(Decrements!$E$6:$E$58,Census!$G122+AD$5-18)*IF((Census!$F122+AD$5)&gt;=Assumptions!$B$11,1,0))*MIN(15/26*Census!$D122*(1+Assumptions!$B$9)^AD$5*(INT((Census!$F122+AD$5))+IF((Census!$F122+AD$5)-INT((Census!$F122+AD$5))&gt;0.5,1,0)),Assumptions!$B$10))</f>
        <v>0</v>
      </c>
      <c r="AE122" s="30">
        <f>IF(AE$5&gt;$B122,0,INDEX(Decrements!$G$6:$G$58,Census!$G122+AE$5-18)/INDEX(Decrements!$G$6:$G$58,Census!$G122-17)*(INDEX(Decrements!$D$6:$D$58,Census!$G122+AE$5-18)+IF(AE$5=$B122,INDEX(Decrements!$F$6:$F$58,Census!$G122+AE$5-18),0)+INDEX(Decrements!$E$6:$E$58,Census!$G122+AE$5-18)*IF((Census!$F122+AE$5)&gt;=Assumptions!$B$11,1,0))*MIN(15/26*Census!$D122*(1+Assumptions!$B$9)^AE$5*(INT((Census!$F122+AE$5))+IF((Census!$F122+AE$5)-INT((Census!$F122+AE$5))&gt;0.5,1,0)),Assumptions!$B$10))</f>
        <v>0</v>
      </c>
      <c r="AF122" s="30">
        <f>IF(AF$5&gt;$B122,0,INDEX(Decrements!$G$6:$G$58,Census!$G122+AF$5-18)/INDEX(Decrements!$G$6:$G$58,Census!$G122-17)*(INDEX(Decrements!$D$6:$D$58,Census!$G122+AF$5-18)+IF(AF$5=$B122,INDEX(Decrements!$F$6:$F$58,Census!$G122+AF$5-18),0)+INDEX(Decrements!$E$6:$E$58,Census!$G122+AF$5-18)*IF((Census!$F122+AF$5)&gt;=Assumptions!$B$11,1,0))*MIN(15/26*Census!$D122*(1+Assumptions!$B$9)^AF$5*(INT((Census!$F122+AF$5))+IF((Census!$F122+AF$5)-INT((Census!$F122+AF$5))&gt;0.5,1,0)),Assumptions!$B$10))</f>
        <v>0</v>
      </c>
      <c r="AG122" s="30">
        <f>IF(AG$5&gt;$B122,0,INDEX(Decrements!$G$6:$G$58,Census!$G122+AG$5-18)/INDEX(Decrements!$G$6:$G$58,Census!$G122-17)*(INDEX(Decrements!$D$6:$D$58,Census!$G122+AG$5-18)+IF(AG$5=$B122,INDEX(Decrements!$F$6:$F$58,Census!$G122+AG$5-18),0)+INDEX(Decrements!$E$6:$E$58,Census!$G122+AG$5-18)*IF((Census!$F122+AG$5)&gt;=Assumptions!$B$11,1,0))*MIN(15/26*Census!$D122*(1+Assumptions!$B$9)^AG$5*(INT((Census!$F122+AG$5))+IF((Census!$F122+AG$5)-INT((Census!$F122+AG$5))&gt;0.5,1,0)),Assumptions!$B$10))</f>
        <v>0</v>
      </c>
      <c r="AH122" s="30">
        <f>IF(AH$5&gt;$B122,0,INDEX(Decrements!$G$6:$G$58,Census!$G122+AH$5-18)/INDEX(Decrements!$G$6:$G$58,Census!$G122-17)*(INDEX(Decrements!$D$6:$D$58,Census!$G122+AH$5-18)+IF(AH$5=$B122,INDEX(Decrements!$F$6:$F$58,Census!$G122+AH$5-18),0)+INDEX(Decrements!$E$6:$E$58,Census!$G122+AH$5-18)*IF((Census!$F122+AH$5)&gt;=Assumptions!$B$11,1,0))*MIN(15/26*Census!$D122*(1+Assumptions!$B$9)^AH$5*(INT((Census!$F122+AH$5))+IF((Census!$F122+AH$5)-INT((Census!$F122+AH$5))&gt;0.5,1,0)),Assumptions!$B$10))</f>
        <v>0</v>
      </c>
      <c r="AI122" s="30">
        <f>IF(AI$5&gt;$B122,0,INDEX(Decrements!$G$6:$G$58,Census!$G122+AI$5-18)/INDEX(Decrements!$G$6:$G$58,Census!$G122-17)*(INDEX(Decrements!$D$6:$D$58,Census!$G122+AI$5-18)+IF(AI$5=$B122,INDEX(Decrements!$F$6:$F$58,Census!$G122+AI$5-18),0)+INDEX(Decrements!$E$6:$E$58,Census!$G122+AI$5-18)*IF((Census!$F122+AI$5)&gt;=Assumptions!$B$11,1,0))*MIN(15/26*Census!$D122*(1+Assumptions!$B$9)^AI$5*(INT((Census!$F122+AI$5))+IF((Census!$F122+AI$5)-INT((Census!$F122+AI$5))&gt;0.5,1,0)),Assumptions!$B$10))</f>
        <v>0</v>
      </c>
      <c r="AJ122" s="30">
        <f>IF(AJ$5&gt;$B122,0,INDEX(Decrements!$G$6:$G$58,Census!$G122+AJ$5-18)/INDEX(Decrements!$G$6:$G$58,Census!$G122-17)*(INDEX(Decrements!$D$6:$D$58,Census!$G122+AJ$5-18)+IF(AJ$5=$B122,INDEX(Decrements!$F$6:$F$58,Census!$G122+AJ$5-18),0)+INDEX(Decrements!$E$6:$E$58,Census!$G122+AJ$5-18)*IF((Census!$F122+AJ$5)&gt;=Assumptions!$B$11,1,0))*MIN(15/26*Census!$D122*(1+Assumptions!$B$9)^AJ$5*(INT((Census!$F122+AJ$5))+IF((Census!$F122+AJ$5)-INT((Census!$F122+AJ$5))&gt;0.5,1,0)),Assumptions!$B$10))</f>
        <v>0</v>
      </c>
      <c r="AK122" s="30">
        <f>IF(AK$5&gt;$B122,0,INDEX(Decrements!$G$6:$G$58,Census!$G122+AK$5-18)/INDEX(Decrements!$G$6:$G$58,Census!$G122-17)*(INDEX(Decrements!$D$6:$D$58,Census!$G122+AK$5-18)+IF(AK$5=$B122,INDEX(Decrements!$F$6:$F$58,Census!$G122+AK$5-18),0)+INDEX(Decrements!$E$6:$E$58,Census!$G122+AK$5-18)*IF((Census!$F122+AK$5)&gt;=Assumptions!$B$11,1,0))*MIN(15/26*Census!$D122*(1+Assumptions!$B$9)^AK$5*(INT((Census!$F122+AK$5))+IF((Census!$F122+AK$5)-INT((Census!$F122+AK$5))&gt;0.5,1,0)),Assumptions!$B$10))</f>
        <v>0</v>
      </c>
      <c r="AL122" s="30">
        <f>IF(AL$5&gt;$B122,0,INDEX(Decrements!$G$6:$G$58,Census!$G122+AL$5-18)/INDEX(Decrements!$G$6:$G$58,Census!$G122-17)*(INDEX(Decrements!$D$6:$D$58,Census!$G122+AL$5-18)+IF(AL$5=$B122,INDEX(Decrements!$F$6:$F$58,Census!$G122+AL$5-18),0)+INDEX(Decrements!$E$6:$E$58,Census!$G122+AL$5-18)*IF((Census!$F122+AL$5)&gt;=Assumptions!$B$11,1,0))*MIN(15/26*Census!$D122*(1+Assumptions!$B$9)^AL$5*(INT((Census!$F122+AL$5))+IF((Census!$F122+AL$5)-INT((Census!$F122+AL$5))&gt;0.5,1,0)),Assumptions!$B$10))</f>
        <v>0</v>
      </c>
      <c r="AM122" s="30">
        <f>IF(AM$5&gt;$B122,0,INDEX(Decrements!$G$6:$G$58,Census!$G122+AM$5-18)/INDEX(Decrements!$G$6:$G$58,Census!$G122-17)*(INDEX(Decrements!$D$6:$D$58,Census!$G122+AM$5-18)+IF(AM$5=$B122,INDEX(Decrements!$F$6:$F$58,Census!$G122+AM$5-18),0)+INDEX(Decrements!$E$6:$E$58,Census!$G122+AM$5-18)*IF((Census!$F122+AM$5)&gt;=Assumptions!$B$11,1,0))*MIN(15/26*Census!$D122*(1+Assumptions!$B$9)^AM$5*(INT((Census!$F122+AM$5))+IF((Census!$F122+AM$5)-INT((Census!$F122+AM$5))&gt;0.5,1,0)),Assumptions!$B$10))</f>
        <v>0</v>
      </c>
      <c r="AN122" s="30">
        <f>IF(AN$5&gt;$B122,0,INDEX(Decrements!$G$6:$G$58,Census!$G122+AN$5-18)/INDEX(Decrements!$G$6:$G$58,Census!$G122-17)*(INDEX(Decrements!$D$6:$D$58,Census!$G122+AN$5-18)+IF(AN$5=$B122,INDEX(Decrements!$F$6:$F$58,Census!$G122+AN$5-18),0)+INDEX(Decrements!$E$6:$E$58,Census!$G122+AN$5-18)*IF((Census!$F122+AN$5)&gt;=Assumptions!$B$11,1,0))*MIN(15/26*Census!$D122*(1+Assumptions!$B$9)^AN$5*(INT((Census!$F122+AN$5))+IF((Census!$F122+AN$5)-INT((Census!$F122+AN$5))&gt;0.5,1,0)),Assumptions!$B$10))</f>
        <v>0</v>
      </c>
      <c r="AO122" s="30">
        <f>IF(AO$5&gt;$B122,0,INDEX(Decrements!$G$6:$G$58,Census!$G122+AO$5-18)/INDEX(Decrements!$G$6:$G$58,Census!$G122-17)*(INDEX(Decrements!$D$6:$D$58,Census!$G122+AO$5-18)+IF(AO$5=$B122,INDEX(Decrements!$F$6:$F$58,Census!$G122+AO$5-18),0)+INDEX(Decrements!$E$6:$E$58,Census!$G122+AO$5-18)*IF((Census!$F122+AO$5)&gt;=Assumptions!$B$11,1,0))*MIN(15/26*Census!$D122*(1+Assumptions!$B$9)^AO$5*(INT((Census!$F122+AO$5))+IF((Census!$F122+AO$5)-INT((Census!$F122+AO$5))&gt;0.5,1,0)),Assumptions!$B$10))</f>
        <v>0</v>
      </c>
      <c r="AP122" s="30">
        <f>IF(AP$5&gt;$B122,0,INDEX(Decrements!$G$6:$G$58,Census!$G122+AP$5-18)/INDEX(Decrements!$G$6:$G$58,Census!$G122-17)*(INDEX(Decrements!$D$6:$D$58,Census!$G122+AP$5-18)+IF(AP$5=$B122,INDEX(Decrements!$F$6:$F$58,Census!$G122+AP$5-18),0)+INDEX(Decrements!$E$6:$E$58,Census!$G122+AP$5-18)*IF((Census!$F122+AP$5)&gt;=Assumptions!$B$11,1,0))*MIN(15/26*Census!$D122*(1+Assumptions!$B$9)^AP$5*(INT((Census!$F122+AP$5))+IF((Census!$F122+AP$5)-INT((Census!$F122+AP$5))&gt;0.5,1,0)),Assumptions!$B$10))</f>
        <v>0</v>
      </c>
      <c r="AQ122" s="30">
        <f>IF(AQ$5&gt;$B122,0,INDEX(Decrements!$G$6:$G$58,Census!$G122+AQ$5-18)/INDEX(Decrements!$G$6:$G$58,Census!$G122-17)*(INDEX(Decrements!$D$6:$D$58,Census!$G122+AQ$5-18)+IF(AQ$5=$B122,INDEX(Decrements!$F$6:$F$58,Census!$G122+AQ$5-18),0)+INDEX(Decrements!$E$6:$E$58,Census!$G122+AQ$5-18)*IF((Census!$F122+AQ$5)&gt;=Assumptions!$B$11,1,0))*MIN(15/26*Census!$D122*(1+Assumptions!$B$9)^AQ$5*(INT((Census!$F122+AQ$5))+IF((Census!$F122+AQ$5)-INT((Census!$F122+AQ$5))&gt;0.5,1,0)),Assumptions!$B$10))</f>
        <v>0</v>
      </c>
      <c r="AR122" s="30">
        <f>IF(AR$5&gt;$B122,0,INDEX(Decrements!$G$6:$G$58,Census!$G122+AR$5-18)/INDEX(Decrements!$G$6:$G$58,Census!$G122-17)*(INDEX(Decrements!$D$6:$D$58,Census!$G122+AR$5-18)+IF(AR$5=$B122,INDEX(Decrements!$F$6:$F$58,Census!$G122+AR$5-18),0)+INDEX(Decrements!$E$6:$E$58,Census!$G122+AR$5-18)*IF((Census!$F122+AR$5)&gt;=Assumptions!$B$11,1,0))*MIN(15/26*Census!$D122*(1+Assumptions!$B$9)^AR$5*(INT((Census!$F122+AR$5))+IF((Census!$F122+AR$5)-INT((Census!$F122+AR$5))&gt;0.5,1,0)),Assumptions!$B$10))</f>
        <v>0</v>
      </c>
      <c r="AS122" s="30">
        <f>IF(AS$5&gt;$B122,0,INDEX(Decrements!$G$6:$G$58,Census!$G122+AS$5-18)/INDEX(Decrements!$G$6:$G$58,Census!$G122-17)*(INDEX(Decrements!$D$6:$D$58,Census!$G122+AS$5-18)+IF(AS$5=$B122,INDEX(Decrements!$F$6:$F$58,Census!$G122+AS$5-18),0)+INDEX(Decrements!$E$6:$E$58,Census!$G122+AS$5-18)*IF((Census!$F122+AS$5)&gt;=Assumptions!$B$11,1,0))*MIN(15/26*Census!$D122*(1+Assumptions!$B$9)^AS$5*(INT((Census!$F122+AS$5))+IF((Census!$F122+AS$5)-INT((Census!$F122+AS$5))&gt;0.5,1,0)),Assumptions!$B$10))</f>
        <v>0</v>
      </c>
      <c r="AT122" s="30">
        <f>IF(AT$5&gt;$B122,0,INDEX(Decrements!$G$6:$G$58,Census!$G122+AT$5-18)/INDEX(Decrements!$G$6:$G$58,Census!$G122-17)*(INDEX(Decrements!$D$6:$D$58,Census!$G122+AT$5-18)+IF(AT$5=$B122,INDEX(Decrements!$F$6:$F$58,Census!$G122+AT$5-18),0)+INDEX(Decrements!$E$6:$E$58,Census!$G122+AT$5-18)*IF((Census!$F122+AT$5)&gt;=Assumptions!$B$11,1,0))*MIN(15/26*Census!$D122*(1+Assumptions!$B$9)^AT$5*(INT((Census!$F122+AT$5))+IF((Census!$F122+AT$5)-INT((Census!$F122+AT$5))&gt;0.5,1,0)),Assumptions!$B$10))</f>
        <v>0</v>
      </c>
      <c r="AU122" s="30">
        <f>IF(AU$5&gt;$B122,0,INDEX(Decrements!$G$6:$G$58,Census!$G122+AU$5-18)/INDEX(Decrements!$G$6:$G$58,Census!$G122-17)*(INDEX(Decrements!$D$6:$D$58,Census!$G122+AU$5-18)+IF(AU$5=$B122,INDEX(Decrements!$F$6:$F$58,Census!$G122+AU$5-18),0)+INDEX(Decrements!$E$6:$E$58,Census!$G122+AU$5-18)*IF((Census!$F122+AU$5)&gt;=Assumptions!$B$11,1,0))*MIN(15/26*Census!$D122*(1+Assumptions!$B$9)^AU$5*(INT((Census!$F122+AU$5))+IF((Census!$F122+AU$5)-INT((Census!$F122+AU$5))&gt;0.5,1,0)),Assumptions!$B$10))</f>
        <v>0</v>
      </c>
    </row>
    <row r="123" spans="1:47" x14ac:dyDescent="0.3">
      <c r="A123" s="10" t="str">
        <f>Census!A123</f>
        <v>E118</v>
      </c>
      <c r="B123" s="29">
        <f>Census!H123</f>
        <v>28</v>
      </c>
      <c r="C123" s="30">
        <f>IF(C$5&gt;$B123,0,INDEX(Decrements!$G$6:$G$58,Census!$G123+C$5-18)/INDEX(Decrements!$G$6:$G$58,Census!$G123-17)*(INDEX(Decrements!$D$6:$D$58,Census!$G123+C$5-18)+IF(C$5=$B123,INDEX(Decrements!$F$6:$F$58,Census!$G123+C$5-18),0)+INDEX(Decrements!$E$6:$E$58,Census!$G123+C$5-18)*IF((Census!$F123+C$5)&gt;=Assumptions!$B$11,1,0))*MIN(15/26*Census!$D123*(1+Assumptions!$B$9)^C$5*(INT((Census!$F123+C$5))+IF((Census!$F123+C$5)-INT((Census!$F123+C$5))&gt;0.5,1,0)),Assumptions!$B$10))</f>
        <v>41.679748020951131</v>
      </c>
      <c r="D123" s="30">
        <f>IF(D$5&gt;$B123,0,INDEX(Decrements!$G$6:$G$58,Census!$G123+D$5-18)/INDEX(Decrements!$G$6:$G$58,Census!$G123-17)*(INDEX(Decrements!$D$6:$D$58,Census!$G123+D$5-18)+IF(D$5=$B123,INDEX(Decrements!$F$6:$F$58,Census!$G123+D$5-18),0)+INDEX(Decrements!$E$6:$E$58,Census!$G123+D$5-18)*IF((Census!$F123+D$5)&gt;=Assumptions!$B$11,1,0))*MIN(15/26*Census!$D123*(1+Assumptions!$B$9)^D$5*(INT((Census!$F123+D$5))+IF((Census!$F123+D$5)-INT((Census!$F123+D$5))&gt;0.5,1,0)),Assumptions!$B$10))</f>
        <v>56.175376339598145</v>
      </c>
      <c r="E123" s="30">
        <f>IF(E$5&gt;$B123,0,INDEX(Decrements!$G$6:$G$58,Census!$G123+E$5-18)/INDEX(Decrements!$G$6:$G$58,Census!$G123-17)*(INDEX(Decrements!$D$6:$D$58,Census!$G123+E$5-18)+IF(E$5=$B123,INDEX(Decrements!$F$6:$F$58,Census!$G123+E$5-18),0)+INDEX(Decrements!$E$6:$E$58,Census!$G123+E$5-18)*IF((Census!$F123+E$5)&gt;=Assumptions!$B$11,1,0))*MIN(15/26*Census!$D123*(1+Assumptions!$B$9)^E$5*(INT((Census!$F123+E$5))+IF((Census!$F123+E$5)-INT((Census!$F123+E$5))&gt;0.5,1,0)),Assumptions!$B$10))</f>
        <v>8916.8973661506589</v>
      </c>
      <c r="F123" s="30">
        <f>IF(F$5&gt;$B123,0,INDEX(Decrements!$G$6:$G$58,Census!$G123+F$5-18)/INDEX(Decrements!$G$6:$G$58,Census!$G123-17)*(INDEX(Decrements!$D$6:$D$58,Census!$G123+F$5-18)+IF(F$5=$B123,INDEX(Decrements!$F$6:$F$58,Census!$G123+F$5-18),0)+INDEX(Decrements!$E$6:$E$58,Census!$G123+F$5-18)*IF((Census!$F123+F$5)&gt;=Assumptions!$B$11,1,0))*MIN(15/26*Census!$D123*(1+Assumptions!$B$9)^F$5*(INT((Census!$F123+F$5))+IF((Census!$F123+F$5)-INT((Census!$F123+F$5))&gt;0.5,1,0)),Assumptions!$B$10))</f>
        <v>7501.3046647694146</v>
      </c>
      <c r="G123" s="30">
        <f>IF(G$5&gt;$B123,0,INDEX(Decrements!$G$6:$G$58,Census!$G123+G$5-18)/INDEX(Decrements!$G$6:$G$58,Census!$G123-17)*(INDEX(Decrements!$D$6:$D$58,Census!$G123+G$5-18)+IF(G$5=$B123,INDEX(Decrements!$F$6:$F$58,Census!$G123+G$5-18),0)+INDEX(Decrements!$E$6:$E$58,Census!$G123+G$5-18)*IF((Census!$F123+G$5)&gt;=Assumptions!$B$11,1,0))*MIN(15/26*Census!$D123*(1+Assumptions!$B$9)^G$5*(INT((Census!$F123+G$5))+IF((Census!$F123+G$5)-INT((Census!$F123+G$5))&gt;0.5,1,0)),Assumptions!$B$10))</f>
        <v>8692.7295572017811</v>
      </c>
      <c r="H123" s="30">
        <f>IF(H$5&gt;$B123,0,INDEX(Decrements!$G$6:$G$58,Census!$G123+H$5-18)/INDEX(Decrements!$G$6:$G$58,Census!$G123-17)*(INDEX(Decrements!$D$6:$D$58,Census!$G123+H$5-18)+IF(H$5=$B123,INDEX(Decrements!$F$6:$F$58,Census!$G123+H$5-18),0)+INDEX(Decrements!$E$6:$E$58,Census!$G123+H$5-18)*IF((Census!$F123+H$5)&gt;=Assumptions!$B$11,1,0))*MIN(15/26*Census!$D123*(1+Assumptions!$B$9)^H$5*(INT((Census!$F123+H$5))+IF((Census!$F123+H$5)-INT((Census!$F123+H$5))&gt;0.5,1,0)),Assumptions!$B$10))</f>
        <v>9867.8812765991552</v>
      </c>
      <c r="I123" s="30">
        <f>IF(I$5&gt;$B123,0,INDEX(Decrements!$G$6:$G$58,Census!$G123+I$5-18)/INDEX(Decrements!$G$6:$G$58,Census!$G123-17)*(INDEX(Decrements!$D$6:$D$58,Census!$G123+I$5-18)+IF(I$5=$B123,INDEX(Decrements!$F$6:$F$58,Census!$G123+I$5-18),0)+INDEX(Decrements!$E$6:$E$58,Census!$G123+I$5-18)*IF((Census!$F123+I$5)&gt;=Assumptions!$B$11,1,0))*MIN(15/26*Census!$D123*(1+Assumptions!$B$9)^I$5*(INT((Census!$F123+I$5))+IF((Census!$F123+I$5)-INT((Census!$F123+I$5))&gt;0.5,1,0)),Assumptions!$B$10))</f>
        <v>11026.958412782784</v>
      </c>
      <c r="J123" s="30">
        <f>IF(J$5&gt;$B123,0,INDEX(Decrements!$G$6:$G$58,Census!$G123+J$5-18)/INDEX(Decrements!$G$6:$G$58,Census!$G123-17)*(INDEX(Decrements!$D$6:$D$58,Census!$G123+J$5-18)+IF(J$5=$B123,INDEX(Decrements!$F$6:$F$58,Census!$G123+J$5-18),0)+INDEX(Decrements!$E$6:$E$58,Census!$G123+J$5-18)*IF((Census!$F123+J$5)&gt;=Assumptions!$B$11,1,0))*MIN(15/26*Census!$D123*(1+Assumptions!$B$9)^J$5*(INT((Census!$F123+J$5))+IF((Census!$F123+J$5)-INT((Census!$F123+J$5))&gt;0.5,1,0)),Assumptions!$B$10))</f>
        <v>12170.160680985184</v>
      </c>
      <c r="K123" s="30">
        <f>IF(K$5&gt;$B123,0,INDEX(Decrements!$G$6:$G$58,Census!$G123+K$5-18)/INDEX(Decrements!$G$6:$G$58,Census!$G123-17)*(INDEX(Decrements!$D$6:$D$58,Census!$G123+K$5-18)+IF(K$5=$B123,INDEX(Decrements!$F$6:$F$58,Census!$G123+K$5-18),0)+INDEX(Decrements!$E$6:$E$58,Census!$G123+K$5-18)*IF((Census!$F123+K$5)&gt;=Assumptions!$B$11,1,0))*MIN(15/26*Census!$D123*(1+Assumptions!$B$9)^K$5*(INT((Census!$F123+K$5))+IF((Census!$F123+K$5)-INT((Census!$F123+K$5))&gt;0.5,1,0)),Assumptions!$B$10))</f>
        <v>8393.8470261310995</v>
      </c>
      <c r="L123" s="30">
        <f>IF(L$5&gt;$B123,0,INDEX(Decrements!$G$6:$G$58,Census!$G123+L$5-18)/INDEX(Decrements!$G$6:$G$58,Census!$G123-17)*(INDEX(Decrements!$D$6:$D$58,Census!$G123+L$5-18)+IF(L$5=$B123,INDEX(Decrements!$F$6:$F$58,Census!$G123+L$5-18),0)+INDEX(Decrements!$E$6:$E$58,Census!$G123+L$5-18)*IF((Census!$F123+L$5)&gt;=Assumptions!$B$11,1,0))*MIN(15/26*Census!$D123*(1+Assumptions!$B$9)^L$5*(INT((Census!$F123+L$5))+IF((Census!$F123+L$5)-INT((Census!$F123+L$5))&gt;0.5,1,0)),Assumptions!$B$10))</f>
        <v>9398.8160612025913</v>
      </c>
      <c r="M123" s="30">
        <f>IF(M$5&gt;$B123,0,INDEX(Decrements!$G$6:$G$58,Census!$G123+M$5-18)/INDEX(Decrements!$G$6:$G$58,Census!$G123-17)*(INDEX(Decrements!$D$6:$D$58,Census!$G123+M$5-18)+IF(M$5=$B123,INDEX(Decrements!$F$6:$F$58,Census!$G123+M$5-18),0)+INDEX(Decrements!$E$6:$E$58,Census!$G123+M$5-18)*IF((Census!$F123+M$5)&gt;=Assumptions!$B$11,1,0))*MIN(15/26*Census!$D123*(1+Assumptions!$B$9)^M$5*(INT((Census!$F123+M$5))+IF((Census!$F123+M$5)-INT((Census!$F123+M$5))&gt;0.5,1,0)),Assumptions!$B$10))</f>
        <v>10451.825719862174</v>
      </c>
      <c r="N123" s="30">
        <f>IF(N$5&gt;$B123,0,INDEX(Decrements!$G$6:$G$58,Census!$G123+N$5-18)/INDEX(Decrements!$G$6:$G$58,Census!$G123-17)*(INDEX(Decrements!$D$6:$D$58,Census!$G123+N$5-18)+IF(N$5=$B123,INDEX(Decrements!$F$6:$F$58,Census!$G123+N$5-18),0)+INDEX(Decrements!$E$6:$E$58,Census!$G123+N$5-18)*IF((Census!$F123+N$5)&gt;=Assumptions!$B$11,1,0))*MIN(15/26*Census!$D123*(1+Assumptions!$B$9)^N$5*(INT((Census!$F123+N$5))+IF((Census!$F123+N$5)-INT((Census!$F123+N$5))&gt;0.5,1,0)),Assumptions!$B$10))</f>
        <v>11555.00430787549</v>
      </c>
      <c r="O123" s="30">
        <f>IF(O$5&gt;$B123,0,INDEX(Decrements!$G$6:$G$58,Census!$G123+O$5-18)/INDEX(Decrements!$G$6:$G$58,Census!$G123-17)*(INDEX(Decrements!$D$6:$D$58,Census!$G123+O$5-18)+IF(O$5=$B123,INDEX(Decrements!$F$6:$F$58,Census!$G123+O$5-18),0)+INDEX(Decrements!$E$6:$E$58,Census!$G123+O$5-18)*IF((Census!$F123+O$5)&gt;=Assumptions!$B$11,1,0))*MIN(15/26*Census!$D123*(1+Assumptions!$B$9)^O$5*(INT((Census!$F123+O$5))+IF((Census!$F123+O$5)-INT((Census!$F123+O$5))&gt;0.5,1,0)),Assumptions!$B$10))</f>
        <v>12710.604499514344</v>
      </c>
      <c r="P123" s="30">
        <f>IF(P$5&gt;$B123,0,INDEX(Decrements!$G$6:$G$58,Census!$G123+P$5-18)/INDEX(Decrements!$G$6:$G$58,Census!$G123-17)*(INDEX(Decrements!$D$6:$D$58,Census!$G123+P$5-18)+IF(P$5=$B123,INDEX(Decrements!$F$6:$F$58,Census!$G123+P$5-18),0)+INDEX(Decrements!$E$6:$E$58,Census!$G123+P$5-18)*IF((Census!$F123+P$5)&gt;=Assumptions!$B$11,1,0))*MIN(15/26*Census!$D123*(1+Assumptions!$B$9)^P$5*(INT((Census!$F123+P$5))+IF((Census!$F123+P$5)-INT((Census!$F123+P$5))&gt;0.5,1,0)),Assumptions!$B$10))</f>
        <v>8559.7057543120027</v>
      </c>
      <c r="Q123" s="30">
        <f>IF(Q$5&gt;$B123,0,INDEX(Decrements!$G$6:$G$58,Census!$G123+Q$5-18)/INDEX(Decrements!$G$6:$G$58,Census!$G123-17)*(INDEX(Decrements!$D$6:$D$58,Census!$G123+Q$5-18)+IF(Q$5=$B123,INDEX(Decrements!$F$6:$F$58,Census!$G123+Q$5-18),0)+INDEX(Decrements!$E$6:$E$58,Census!$G123+Q$5-18)*IF((Census!$F123+Q$5)&gt;=Assumptions!$B$11,1,0))*MIN(15/26*Census!$D123*(1+Assumptions!$B$9)^Q$5*(INT((Census!$F123+Q$5))+IF((Census!$F123+Q$5)-INT((Census!$F123+Q$5))&gt;0.5,1,0)),Assumptions!$B$10))</f>
        <v>9553.4084711211999</v>
      </c>
      <c r="R123" s="30">
        <f>IF(R$5&gt;$B123,0,INDEX(Decrements!$G$6:$G$58,Census!$G123+R$5-18)/INDEX(Decrements!$G$6:$G$58,Census!$G123-17)*(INDEX(Decrements!$D$6:$D$58,Census!$G123+R$5-18)+IF(R$5=$B123,INDEX(Decrements!$F$6:$F$58,Census!$G123+R$5-18),0)+INDEX(Decrements!$E$6:$E$58,Census!$G123+R$5-18)*IF((Census!$F123+R$5)&gt;=Assumptions!$B$11,1,0))*MIN(15/26*Census!$D123*(1+Assumptions!$B$9)^R$5*(INT((Census!$F123+R$5))+IF((Census!$F123+R$5)-INT((Census!$F123+R$5))&gt;0.5,1,0)),Assumptions!$B$10))</f>
        <v>10628.605948196213</v>
      </c>
      <c r="S123" s="30">
        <f>IF(S$5&gt;$B123,0,INDEX(Decrements!$G$6:$G$58,Census!$G123+S$5-18)/INDEX(Decrements!$G$6:$G$58,Census!$G123-17)*(INDEX(Decrements!$D$6:$D$58,Census!$G123+S$5-18)+IF(S$5=$B123,INDEX(Decrements!$F$6:$F$58,Census!$G123+S$5-18),0)+INDEX(Decrements!$E$6:$E$58,Census!$G123+S$5-18)*IF((Census!$F123+S$5)&gt;=Assumptions!$B$11,1,0))*MIN(15/26*Census!$D123*(1+Assumptions!$B$9)^S$5*(INT((Census!$F123+S$5))+IF((Census!$F123+S$5)-INT((Census!$F123+S$5))&gt;0.5,1,0)),Assumptions!$B$10))</f>
        <v>11791.953871802922</v>
      </c>
      <c r="T123" s="30">
        <f>IF(T$5&gt;$B123,0,INDEX(Decrements!$G$6:$G$58,Census!$G123+T$5-18)/INDEX(Decrements!$G$6:$G$58,Census!$G123-17)*(INDEX(Decrements!$D$6:$D$58,Census!$G123+T$5-18)+IF(T$5=$B123,INDEX(Decrements!$F$6:$F$58,Census!$G123+T$5-18),0)+INDEX(Decrements!$E$6:$E$58,Census!$G123+T$5-18)*IF((Census!$F123+T$5)&gt;=Assumptions!$B$11,1,0))*MIN(15/26*Census!$D123*(1+Assumptions!$B$9)^T$5*(INT((Census!$F123+T$5))+IF((Census!$F123+T$5)-INT((Census!$F123+T$5))&gt;0.5,1,0)),Assumptions!$B$10))</f>
        <v>13050.745625298116</v>
      </c>
      <c r="U123" s="30">
        <f>IF(U$5&gt;$B123,0,INDEX(Decrements!$G$6:$G$58,Census!$G123+U$5-18)/INDEX(Decrements!$G$6:$G$58,Census!$G123-17)*(INDEX(Decrements!$D$6:$D$58,Census!$G123+U$5-18)+IF(U$5=$B123,INDEX(Decrements!$F$6:$F$58,Census!$G123+U$5-18),0)+INDEX(Decrements!$E$6:$E$58,Census!$G123+U$5-18)*IF((Census!$F123+U$5)&gt;=Assumptions!$B$11,1,0))*MIN(15/26*Census!$D123*(1+Assumptions!$B$9)^U$5*(INT((Census!$F123+U$5))+IF((Census!$F123+U$5)-INT((Census!$F123+U$5))&gt;0.5,1,0)),Assumptions!$B$10))</f>
        <v>10027.799952567162</v>
      </c>
      <c r="V123" s="30">
        <f>IF(V$5&gt;$B123,0,INDEX(Decrements!$G$6:$G$58,Census!$G123+V$5-18)/INDEX(Decrements!$G$6:$G$58,Census!$G123-17)*(INDEX(Decrements!$D$6:$D$58,Census!$G123+V$5-18)+IF(V$5=$B123,INDEX(Decrements!$F$6:$F$58,Census!$G123+V$5-18),0)+INDEX(Decrements!$E$6:$E$58,Census!$G123+V$5-18)*IF((Census!$F123+V$5)&gt;=Assumptions!$B$11,1,0))*MIN(15/26*Census!$D123*(1+Assumptions!$B$9)^V$5*(INT((Census!$F123+V$5))+IF((Census!$F123+V$5)-INT((Census!$F123+V$5))&gt;0.5,1,0)),Assumptions!$B$10))</f>
        <v>11204.06257561231</v>
      </c>
      <c r="W123" s="30">
        <f>IF(W$5&gt;$B123,0,INDEX(Decrements!$G$6:$G$58,Census!$G123+W$5-18)/INDEX(Decrements!$G$6:$G$58,Census!$G123-17)*(INDEX(Decrements!$D$6:$D$58,Census!$G123+W$5-18)+IF(W$5=$B123,INDEX(Decrements!$F$6:$F$58,Census!$G123+W$5-18),0)+INDEX(Decrements!$E$6:$E$58,Census!$G123+W$5-18)*IF((Census!$F123+W$5)&gt;=Assumptions!$B$11,1,0))*MIN(15/26*Census!$D123*(1+Assumptions!$B$9)^W$5*(INT((Census!$F123+W$5))+IF((Census!$F123+W$5)-INT((Census!$F123+W$5))&gt;0.5,1,0)),Assumptions!$B$10))</f>
        <v>12500.869658606005</v>
      </c>
      <c r="X123" s="30">
        <f>IF(X$5&gt;$B123,0,INDEX(Decrements!$G$6:$G$58,Census!$G123+X$5-18)/INDEX(Decrements!$G$6:$G$58,Census!$G123-17)*(INDEX(Decrements!$D$6:$D$58,Census!$G123+X$5-18)+IF(X$5=$B123,INDEX(Decrements!$F$6:$F$58,Census!$G123+X$5-18),0)+INDEX(Decrements!$E$6:$E$58,Census!$G123+X$5-18)*IF((Census!$F123+X$5)&gt;=Assumptions!$B$11,1,0))*MIN(15/26*Census!$D123*(1+Assumptions!$B$9)^X$5*(INT((Census!$F123+X$5))+IF((Census!$F123+X$5)-INT((Census!$F123+X$5))&gt;0.5,1,0)),Assumptions!$B$10))</f>
        <v>13219.515597089739</v>
      </c>
      <c r="Y123" s="30">
        <f>IF(Y$5&gt;$B123,0,INDEX(Decrements!$G$6:$G$58,Census!$G123+Y$5-18)/INDEX(Decrements!$G$6:$G$58,Census!$G123-17)*(INDEX(Decrements!$D$6:$D$58,Census!$G123+Y$5-18)+IF(Y$5=$B123,INDEX(Decrements!$F$6:$F$58,Census!$G123+Y$5-18),0)+INDEX(Decrements!$E$6:$E$58,Census!$G123+Y$5-18)*IF((Census!$F123+Y$5)&gt;=Assumptions!$B$11,1,0))*MIN(15/26*Census!$D123*(1+Assumptions!$B$9)^Y$5*(INT((Census!$F123+Y$5))+IF((Census!$F123+Y$5)-INT((Census!$F123+Y$5))&gt;0.5,1,0)),Assumptions!$B$10))</f>
        <v>13082.627857677857</v>
      </c>
      <c r="Z123" s="30">
        <f>IF(Z$5&gt;$B123,0,INDEX(Decrements!$G$6:$G$58,Census!$G123+Z$5-18)/INDEX(Decrements!$G$6:$G$58,Census!$G123-17)*(INDEX(Decrements!$D$6:$D$58,Census!$G123+Z$5-18)+IF(Z$5=$B123,INDEX(Decrements!$F$6:$F$58,Census!$G123+Z$5-18),0)+INDEX(Decrements!$E$6:$E$58,Census!$G123+Z$5-18)*IF((Census!$F123+Z$5)&gt;=Assumptions!$B$11,1,0))*MIN(15/26*Census!$D123*(1+Assumptions!$B$9)^Z$5*(INT((Census!$F123+Z$5))+IF((Census!$F123+Z$5)-INT((Census!$F123+Z$5))&gt;0.5,1,0)),Assumptions!$B$10))</f>
        <v>7642.0631822858595</v>
      </c>
      <c r="AA123" s="30">
        <f>IF(AA$5&gt;$B123,0,INDEX(Decrements!$G$6:$G$58,Census!$G123+AA$5-18)/INDEX(Decrements!$G$6:$G$58,Census!$G123-17)*(INDEX(Decrements!$D$6:$D$58,Census!$G123+AA$5-18)+IF(AA$5=$B123,INDEX(Decrements!$F$6:$F$58,Census!$G123+AA$5-18),0)+INDEX(Decrements!$E$6:$E$58,Census!$G123+AA$5-18)*IF((Census!$F123+AA$5)&gt;=Assumptions!$B$11,1,0))*MIN(15/26*Census!$D123*(1+Assumptions!$B$9)^AA$5*(INT((Census!$F123+AA$5))+IF((Census!$F123+AA$5)-INT((Census!$F123+AA$5))&gt;0.5,1,0)),Assumptions!$B$10))</f>
        <v>7738.416437906526</v>
      </c>
      <c r="AB123" s="30">
        <f>IF(AB$5&gt;$B123,0,INDEX(Decrements!$G$6:$G$58,Census!$G123+AB$5-18)/INDEX(Decrements!$G$6:$G$58,Census!$G123-17)*(INDEX(Decrements!$D$6:$D$58,Census!$G123+AB$5-18)+IF(AB$5=$B123,INDEX(Decrements!$F$6:$F$58,Census!$G123+AB$5-18),0)+INDEX(Decrements!$E$6:$E$58,Census!$G123+AB$5-18)*IF((Census!$F123+AB$5)&gt;=Assumptions!$B$11,1,0))*MIN(15/26*Census!$D123*(1+Assumptions!$B$9)^AB$5*(INT((Census!$F123+AB$5))+IF((Census!$F123+AB$5)-INT((Census!$F123+AB$5))&gt;0.5,1,0)),Assumptions!$B$10))</f>
        <v>7847.5184050412518</v>
      </c>
      <c r="AC123" s="30">
        <f>IF(AC$5&gt;$B123,0,INDEX(Decrements!$G$6:$G$58,Census!$G123+AC$5-18)/INDEX(Decrements!$G$6:$G$58,Census!$G123-17)*(INDEX(Decrements!$D$6:$D$58,Census!$G123+AC$5-18)+IF(AC$5=$B123,INDEX(Decrements!$F$6:$F$58,Census!$G123+AC$5-18),0)+INDEX(Decrements!$E$6:$E$58,Census!$G123+AC$5-18)*IF((Census!$F123+AC$5)&gt;=Assumptions!$B$11,1,0))*MIN(15/26*Census!$D123*(1+Assumptions!$B$9)^AC$5*(INT((Census!$F123+AC$5))+IF((Census!$F123+AC$5)-INT((Census!$F123+AC$5))&gt;0.5,1,0)),Assumptions!$B$10))</f>
        <v>7970.1105969586306</v>
      </c>
      <c r="AD123" s="30">
        <f>IF(AD$5&gt;$B123,0,INDEX(Decrements!$G$6:$G$58,Census!$G123+AD$5-18)/INDEX(Decrements!$G$6:$G$58,Census!$G123-17)*(INDEX(Decrements!$D$6:$D$58,Census!$G123+AD$5-18)+IF(AD$5=$B123,INDEX(Decrements!$F$6:$F$58,Census!$G123+AD$5-18),0)+INDEX(Decrements!$E$6:$E$58,Census!$G123+AD$5-18)*IF((Census!$F123+AD$5)&gt;=Assumptions!$B$11,1,0))*MIN(15/26*Census!$D123*(1+Assumptions!$B$9)^AD$5*(INT((Census!$F123+AD$5))+IF((Census!$F123+AD$5)-INT((Census!$F123+AD$5))&gt;0.5,1,0)),Assumptions!$B$10))</f>
        <v>502684.01240992476</v>
      </c>
      <c r="AE123" s="30">
        <f>IF(AE$5&gt;$B123,0,INDEX(Decrements!$G$6:$G$58,Census!$G123+AE$5-18)/INDEX(Decrements!$G$6:$G$58,Census!$G123-17)*(INDEX(Decrements!$D$6:$D$58,Census!$G123+AE$5-18)+IF(AE$5=$B123,INDEX(Decrements!$F$6:$F$58,Census!$G123+AE$5-18),0)+INDEX(Decrements!$E$6:$E$58,Census!$G123+AE$5-18)*IF((Census!$F123+AE$5)&gt;=Assumptions!$B$11,1,0))*MIN(15/26*Census!$D123*(1+Assumptions!$B$9)^AE$5*(INT((Census!$F123+AE$5))+IF((Census!$F123+AE$5)-INT((Census!$F123+AE$5))&gt;0.5,1,0)),Assumptions!$B$10))</f>
        <v>0</v>
      </c>
      <c r="AF123" s="30">
        <f>IF(AF$5&gt;$B123,0,INDEX(Decrements!$G$6:$G$58,Census!$G123+AF$5-18)/INDEX(Decrements!$G$6:$G$58,Census!$G123-17)*(INDEX(Decrements!$D$6:$D$58,Census!$G123+AF$5-18)+IF(AF$5=$B123,INDEX(Decrements!$F$6:$F$58,Census!$G123+AF$5-18),0)+INDEX(Decrements!$E$6:$E$58,Census!$G123+AF$5-18)*IF((Census!$F123+AF$5)&gt;=Assumptions!$B$11,1,0))*MIN(15/26*Census!$D123*(1+Assumptions!$B$9)^AF$5*(INT((Census!$F123+AF$5))+IF((Census!$F123+AF$5)-INT((Census!$F123+AF$5))&gt;0.5,1,0)),Assumptions!$B$10))</f>
        <v>0</v>
      </c>
      <c r="AG123" s="30">
        <f>IF(AG$5&gt;$B123,0,INDEX(Decrements!$G$6:$G$58,Census!$G123+AG$5-18)/INDEX(Decrements!$G$6:$G$58,Census!$G123-17)*(INDEX(Decrements!$D$6:$D$58,Census!$G123+AG$5-18)+IF(AG$5=$B123,INDEX(Decrements!$F$6:$F$58,Census!$G123+AG$5-18),0)+INDEX(Decrements!$E$6:$E$58,Census!$G123+AG$5-18)*IF((Census!$F123+AG$5)&gt;=Assumptions!$B$11,1,0))*MIN(15/26*Census!$D123*(1+Assumptions!$B$9)^AG$5*(INT((Census!$F123+AG$5))+IF((Census!$F123+AG$5)-INT((Census!$F123+AG$5))&gt;0.5,1,0)),Assumptions!$B$10))</f>
        <v>0</v>
      </c>
      <c r="AH123" s="30">
        <f>IF(AH$5&gt;$B123,0,INDEX(Decrements!$G$6:$G$58,Census!$G123+AH$5-18)/INDEX(Decrements!$G$6:$G$58,Census!$G123-17)*(INDEX(Decrements!$D$6:$D$58,Census!$G123+AH$5-18)+IF(AH$5=$B123,INDEX(Decrements!$F$6:$F$58,Census!$G123+AH$5-18),0)+INDEX(Decrements!$E$6:$E$58,Census!$G123+AH$5-18)*IF((Census!$F123+AH$5)&gt;=Assumptions!$B$11,1,0))*MIN(15/26*Census!$D123*(1+Assumptions!$B$9)^AH$5*(INT((Census!$F123+AH$5))+IF((Census!$F123+AH$5)-INT((Census!$F123+AH$5))&gt;0.5,1,0)),Assumptions!$B$10))</f>
        <v>0</v>
      </c>
      <c r="AI123" s="30">
        <f>IF(AI$5&gt;$B123,0,INDEX(Decrements!$G$6:$G$58,Census!$G123+AI$5-18)/INDEX(Decrements!$G$6:$G$58,Census!$G123-17)*(INDEX(Decrements!$D$6:$D$58,Census!$G123+AI$5-18)+IF(AI$5=$B123,INDEX(Decrements!$F$6:$F$58,Census!$G123+AI$5-18),0)+INDEX(Decrements!$E$6:$E$58,Census!$G123+AI$5-18)*IF((Census!$F123+AI$5)&gt;=Assumptions!$B$11,1,0))*MIN(15/26*Census!$D123*(1+Assumptions!$B$9)^AI$5*(INT((Census!$F123+AI$5))+IF((Census!$F123+AI$5)-INT((Census!$F123+AI$5))&gt;0.5,1,0)),Assumptions!$B$10))</f>
        <v>0</v>
      </c>
      <c r="AJ123" s="30">
        <f>IF(AJ$5&gt;$B123,0,INDEX(Decrements!$G$6:$G$58,Census!$G123+AJ$5-18)/INDEX(Decrements!$G$6:$G$58,Census!$G123-17)*(INDEX(Decrements!$D$6:$D$58,Census!$G123+AJ$5-18)+IF(AJ$5=$B123,INDEX(Decrements!$F$6:$F$58,Census!$G123+AJ$5-18),0)+INDEX(Decrements!$E$6:$E$58,Census!$G123+AJ$5-18)*IF((Census!$F123+AJ$5)&gt;=Assumptions!$B$11,1,0))*MIN(15/26*Census!$D123*(1+Assumptions!$B$9)^AJ$5*(INT((Census!$F123+AJ$5))+IF((Census!$F123+AJ$5)-INT((Census!$F123+AJ$5))&gt;0.5,1,0)),Assumptions!$B$10))</f>
        <v>0</v>
      </c>
      <c r="AK123" s="30">
        <f>IF(AK$5&gt;$B123,0,INDEX(Decrements!$G$6:$G$58,Census!$G123+AK$5-18)/INDEX(Decrements!$G$6:$G$58,Census!$G123-17)*(INDEX(Decrements!$D$6:$D$58,Census!$G123+AK$5-18)+IF(AK$5=$B123,INDEX(Decrements!$F$6:$F$58,Census!$G123+AK$5-18),0)+INDEX(Decrements!$E$6:$E$58,Census!$G123+AK$5-18)*IF((Census!$F123+AK$5)&gt;=Assumptions!$B$11,1,0))*MIN(15/26*Census!$D123*(1+Assumptions!$B$9)^AK$5*(INT((Census!$F123+AK$5))+IF((Census!$F123+AK$5)-INT((Census!$F123+AK$5))&gt;0.5,1,0)),Assumptions!$B$10))</f>
        <v>0</v>
      </c>
      <c r="AL123" s="30">
        <f>IF(AL$5&gt;$B123,0,INDEX(Decrements!$G$6:$G$58,Census!$G123+AL$5-18)/INDEX(Decrements!$G$6:$G$58,Census!$G123-17)*(INDEX(Decrements!$D$6:$D$58,Census!$G123+AL$5-18)+IF(AL$5=$B123,INDEX(Decrements!$F$6:$F$58,Census!$G123+AL$5-18),0)+INDEX(Decrements!$E$6:$E$58,Census!$G123+AL$5-18)*IF((Census!$F123+AL$5)&gt;=Assumptions!$B$11,1,0))*MIN(15/26*Census!$D123*(1+Assumptions!$B$9)^AL$5*(INT((Census!$F123+AL$5))+IF((Census!$F123+AL$5)-INT((Census!$F123+AL$5))&gt;0.5,1,0)),Assumptions!$B$10))</f>
        <v>0</v>
      </c>
      <c r="AM123" s="30">
        <f>IF(AM$5&gt;$B123,0,INDEX(Decrements!$G$6:$G$58,Census!$G123+AM$5-18)/INDEX(Decrements!$G$6:$G$58,Census!$G123-17)*(INDEX(Decrements!$D$6:$D$58,Census!$G123+AM$5-18)+IF(AM$5=$B123,INDEX(Decrements!$F$6:$F$58,Census!$G123+AM$5-18),0)+INDEX(Decrements!$E$6:$E$58,Census!$G123+AM$5-18)*IF((Census!$F123+AM$5)&gt;=Assumptions!$B$11,1,0))*MIN(15/26*Census!$D123*(1+Assumptions!$B$9)^AM$5*(INT((Census!$F123+AM$5))+IF((Census!$F123+AM$5)-INT((Census!$F123+AM$5))&gt;0.5,1,0)),Assumptions!$B$10))</f>
        <v>0</v>
      </c>
      <c r="AN123" s="30">
        <f>IF(AN$5&gt;$B123,0,INDEX(Decrements!$G$6:$G$58,Census!$G123+AN$5-18)/INDEX(Decrements!$G$6:$G$58,Census!$G123-17)*(INDEX(Decrements!$D$6:$D$58,Census!$G123+AN$5-18)+IF(AN$5=$B123,INDEX(Decrements!$F$6:$F$58,Census!$G123+AN$5-18),0)+INDEX(Decrements!$E$6:$E$58,Census!$G123+AN$5-18)*IF((Census!$F123+AN$5)&gt;=Assumptions!$B$11,1,0))*MIN(15/26*Census!$D123*(1+Assumptions!$B$9)^AN$5*(INT((Census!$F123+AN$5))+IF((Census!$F123+AN$5)-INT((Census!$F123+AN$5))&gt;0.5,1,0)),Assumptions!$B$10))</f>
        <v>0</v>
      </c>
      <c r="AO123" s="30">
        <f>IF(AO$5&gt;$B123,0,INDEX(Decrements!$G$6:$G$58,Census!$G123+AO$5-18)/INDEX(Decrements!$G$6:$G$58,Census!$G123-17)*(INDEX(Decrements!$D$6:$D$58,Census!$G123+AO$5-18)+IF(AO$5=$B123,INDEX(Decrements!$F$6:$F$58,Census!$G123+AO$5-18),0)+INDEX(Decrements!$E$6:$E$58,Census!$G123+AO$5-18)*IF((Census!$F123+AO$5)&gt;=Assumptions!$B$11,1,0))*MIN(15/26*Census!$D123*(1+Assumptions!$B$9)^AO$5*(INT((Census!$F123+AO$5))+IF((Census!$F123+AO$5)-INT((Census!$F123+AO$5))&gt;0.5,1,0)),Assumptions!$B$10))</f>
        <v>0</v>
      </c>
      <c r="AP123" s="30">
        <f>IF(AP$5&gt;$B123,0,INDEX(Decrements!$G$6:$G$58,Census!$G123+AP$5-18)/INDEX(Decrements!$G$6:$G$58,Census!$G123-17)*(INDEX(Decrements!$D$6:$D$58,Census!$G123+AP$5-18)+IF(AP$5=$B123,INDEX(Decrements!$F$6:$F$58,Census!$G123+AP$5-18),0)+INDEX(Decrements!$E$6:$E$58,Census!$G123+AP$5-18)*IF((Census!$F123+AP$5)&gt;=Assumptions!$B$11,1,0))*MIN(15/26*Census!$D123*(1+Assumptions!$B$9)^AP$5*(INT((Census!$F123+AP$5))+IF((Census!$F123+AP$5)-INT((Census!$F123+AP$5))&gt;0.5,1,0)),Assumptions!$B$10))</f>
        <v>0</v>
      </c>
      <c r="AQ123" s="30">
        <f>IF(AQ$5&gt;$B123,0,INDEX(Decrements!$G$6:$G$58,Census!$G123+AQ$5-18)/INDEX(Decrements!$G$6:$G$58,Census!$G123-17)*(INDEX(Decrements!$D$6:$D$58,Census!$G123+AQ$5-18)+IF(AQ$5=$B123,INDEX(Decrements!$F$6:$F$58,Census!$G123+AQ$5-18),0)+INDEX(Decrements!$E$6:$E$58,Census!$G123+AQ$5-18)*IF((Census!$F123+AQ$5)&gt;=Assumptions!$B$11,1,0))*MIN(15/26*Census!$D123*(1+Assumptions!$B$9)^AQ$5*(INT((Census!$F123+AQ$5))+IF((Census!$F123+AQ$5)-INT((Census!$F123+AQ$5))&gt;0.5,1,0)),Assumptions!$B$10))</f>
        <v>0</v>
      </c>
      <c r="AR123" s="30">
        <f>IF(AR$5&gt;$B123,0,INDEX(Decrements!$G$6:$G$58,Census!$G123+AR$5-18)/INDEX(Decrements!$G$6:$G$58,Census!$G123-17)*(INDEX(Decrements!$D$6:$D$58,Census!$G123+AR$5-18)+IF(AR$5=$B123,INDEX(Decrements!$F$6:$F$58,Census!$G123+AR$5-18),0)+INDEX(Decrements!$E$6:$E$58,Census!$G123+AR$5-18)*IF((Census!$F123+AR$5)&gt;=Assumptions!$B$11,1,0))*MIN(15/26*Census!$D123*(1+Assumptions!$B$9)^AR$5*(INT((Census!$F123+AR$5))+IF((Census!$F123+AR$5)-INT((Census!$F123+AR$5))&gt;0.5,1,0)),Assumptions!$B$10))</f>
        <v>0</v>
      </c>
      <c r="AS123" s="30">
        <f>IF(AS$5&gt;$B123,0,INDEX(Decrements!$G$6:$G$58,Census!$G123+AS$5-18)/INDEX(Decrements!$G$6:$G$58,Census!$G123-17)*(INDEX(Decrements!$D$6:$D$58,Census!$G123+AS$5-18)+IF(AS$5=$B123,INDEX(Decrements!$F$6:$F$58,Census!$G123+AS$5-18),0)+INDEX(Decrements!$E$6:$E$58,Census!$G123+AS$5-18)*IF((Census!$F123+AS$5)&gt;=Assumptions!$B$11,1,0))*MIN(15/26*Census!$D123*(1+Assumptions!$B$9)^AS$5*(INT((Census!$F123+AS$5))+IF((Census!$F123+AS$5)-INT((Census!$F123+AS$5))&gt;0.5,1,0)),Assumptions!$B$10))</f>
        <v>0</v>
      </c>
      <c r="AT123" s="30">
        <f>IF(AT$5&gt;$B123,0,INDEX(Decrements!$G$6:$G$58,Census!$G123+AT$5-18)/INDEX(Decrements!$G$6:$G$58,Census!$G123-17)*(INDEX(Decrements!$D$6:$D$58,Census!$G123+AT$5-18)+IF(AT$5=$B123,INDEX(Decrements!$F$6:$F$58,Census!$G123+AT$5-18),0)+INDEX(Decrements!$E$6:$E$58,Census!$G123+AT$5-18)*IF((Census!$F123+AT$5)&gt;=Assumptions!$B$11,1,0))*MIN(15/26*Census!$D123*(1+Assumptions!$B$9)^AT$5*(INT((Census!$F123+AT$5))+IF((Census!$F123+AT$5)-INT((Census!$F123+AT$5))&gt;0.5,1,0)),Assumptions!$B$10))</f>
        <v>0</v>
      </c>
      <c r="AU123" s="30">
        <f>IF(AU$5&gt;$B123,0,INDEX(Decrements!$G$6:$G$58,Census!$G123+AU$5-18)/INDEX(Decrements!$G$6:$G$58,Census!$G123-17)*(INDEX(Decrements!$D$6:$D$58,Census!$G123+AU$5-18)+IF(AU$5=$B123,INDEX(Decrements!$F$6:$F$58,Census!$G123+AU$5-18),0)+INDEX(Decrements!$E$6:$E$58,Census!$G123+AU$5-18)*IF((Census!$F123+AU$5)&gt;=Assumptions!$B$11,1,0))*MIN(15/26*Census!$D123*(1+Assumptions!$B$9)^AU$5*(INT((Census!$F123+AU$5))+IF((Census!$F123+AU$5)-INT((Census!$F123+AU$5))&gt;0.5,1,0)),Assumptions!$B$10))</f>
        <v>0</v>
      </c>
    </row>
    <row r="124" spans="1:47" x14ac:dyDescent="0.3">
      <c r="A124" s="10" t="str">
        <f>Census!A124</f>
        <v>E119</v>
      </c>
      <c r="B124" s="29">
        <f>Census!H124</f>
        <v>29</v>
      </c>
      <c r="C124" s="30">
        <f>IF(C$5&gt;$B124,0,INDEX(Decrements!$G$6:$G$58,Census!$G124+C$5-18)/INDEX(Decrements!$G$6:$G$58,Census!$G124-17)*(INDEX(Decrements!$D$6:$D$58,Census!$G124+C$5-18)+IF(C$5=$B124,INDEX(Decrements!$F$6:$F$58,Census!$G124+C$5-18),0)+INDEX(Decrements!$E$6:$E$58,Census!$G124+C$5-18)*IF((Census!$F124+C$5)&gt;=Assumptions!$B$11,1,0))*MIN(15/26*Census!$D124*(1+Assumptions!$B$9)^C$5*(INT((Census!$F124+C$5))+IF((Census!$F124+C$5)-INT((Census!$F124+C$5))&gt;0.5,1,0)),Assumptions!$B$10))</f>
        <v>88.166858666819337</v>
      </c>
      <c r="D124" s="30">
        <f>IF(D$5&gt;$B124,0,INDEX(Decrements!$G$6:$G$58,Census!$G124+D$5-18)/INDEX(Decrements!$G$6:$G$58,Census!$G124-17)*(INDEX(Decrements!$D$6:$D$58,Census!$G124+D$5-18)+IF(D$5=$B124,INDEX(Decrements!$F$6:$F$58,Census!$G124+D$5-18),0)+INDEX(Decrements!$E$6:$E$58,Census!$G124+D$5-18)*IF((Census!$F124+D$5)&gt;=Assumptions!$B$11,1,0))*MIN(15/26*Census!$D124*(1+Assumptions!$B$9)^D$5*(INT((Census!$F124+D$5))+IF((Census!$F124+D$5)-INT((Census!$F124+D$5))&gt;0.5,1,0)),Assumptions!$B$10))</f>
        <v>118.56630766441403</v>
      </c>
      <c r="E124" s="30">
        <f>IF(E$5&gt;$B124,0,INDEX(Decrements!$G$6:$G$58,Census!$G124+E$5-18)/INDEX(Decrements!$G$6:$G$58,Census!$G124-17)*(INDEX(Decrements!$D$6:$D$58,Census!$G124+E$5-18)+IF(E$5=$B124,INDEX(Decrements!$F$6:$F$58,Census!$G124+E$5-18),0)+INDEX(Decrements!$E$6:$E$58,Census!$G124+E$5-18)*IF((Census!$F124+E$5)&gt;=Assumptions!$B$11,1,0))*MIN(15/26*Census!$D124*(1+Assumptions!$B$9)^E$5*(INT((Census!$F124+E$5))+IF((Census!$F124+E$5)-INT((Census!$F124+E$5))&gt;0.5,1,0)),Assumptions!$B$10))</f>
        <v>149.8143718735042</v>
      </c>
      <c r="F124" s="30">
        <f>IF(F$5&gt;$B124,0,INDEX(Decrements!$G$6:$G$58,Census!$G124+F$5-18)/INDEX(Decrements!$G$6:$G$58,Census!$G124-17)*(INDEX(Decrements!$D$6:$D$58,Census!$G124+F$5-18)+IF(F$5=$B124,INDEX(Decrements!$F$6:$F$58,Census!$G124+F$5-18),0)+INDEX(Decrements!$E$6:$E$58,Census!$G124+F$5-18)*IF((Census!$F124+F$5)&gt;=Assumptions!$B$11,1,0))*MIN(15/26*Census!$D124*(1+Assumptions!$B$9)^F$5*(INT((Census!$F124+F$5))+IF((Census!$F124+F$5)-INT((Census!$F124+F$5))&gt;0.5,1,0)),Assumptions!$B$10))</f>
        <v>22829.29437087816</v>
      </c>
      <c r="G124" s="30">
        <f>IF(G$5&gt;$B124,0,INDEX(Decrements!$G$6:$G$58,Census!$G124+G$5-18)/INDEX(Decrements!$G$6:$G$58,Census!$G124-17)*(INDEX(Decrements!$D$6:$D$58,Census!$G124+G$5-18)+IF(G$5=$B124,INDEX(Decrements!$F$6:$F$58,Census!$G124+G$5-18),0)+INDEX(Decrements!$E$6:$E$58,Census!$G124+G$5-18)*IF((Census!$F124+G$5)&gt;=Assumptions!$B$11,1,0))*MIN(15/26*Census!$D124*(1+Assumptions!$B$9)^G$5*(INT((Census!$F124+G$5))+IF((Census!$F124+G$5)-INT((Census!$F124+G$5))&gt;0.5,1,0)),Assumptions!$B$10))</f>
        <v>18671.579942863846</v>
      </c>
      <c r="H124" s="30">
        <f>IF(H$5&gt;$B124,0,INDEX(Decrements!$G$6:$G$58,Census!$G124+H$5-18)/INDEX(Decrements!$G$6:$G$58,Census!$G124-17)*(INDEX(Decrements!$D$6:$D$58,Census!$G124+H$5-18)+IF(H$5=$B124,INDEX(Decrements!$F$6:$F$58,Census!$G124+H$5-18),0)+INDEX(Decrements!$E$6:$E$58,Census!$G124+H$5-18)*IF((Census!$F124+H$5)&gt;=Assumptions!$B$11,1,0))*MIN(15/26*Census!$D124*(1+Assumptions!$B$9)^H$5*(INT((Census!$F124+H$5))+IF((Census!$F124+H$5)-INT((Census!$F124+H$5))&gt;0.5,1,0)),Assumptions!$B$10))</f>
        <v>21195.593873922007</v>
      </c>
      <c r="I124" s="30">
        <f>IF(I$5&gt;$B124,0,INDEX(Decrements!$G$6:$G$58,Census!$G124+I$5-18)/INDEX(Decrements!$G$6:$G$58,Census!$G124-17)*(INDEX(Decrements!$D$6:$D$58,Census!$G124+I$5-18)+IF(I$5=$B124,INDEX(Decrements!$F$6:$F$58,Census!$G124+I$5-18),0)+INDEX(Decrements!$E$6:$E$58,Census!$G124+I$5-18)*IF((Census!$F124+I$5)&gt;=Assumptions!$B$11,1,0))*MIN(15/26*Census!$D124*(1+Assumptions!$B$9)^I$5*(INT((Census!$F124+I$5))+IF((Census!$F124+I$5)-INT((Census!$F124+I$5))&gt;0.5,1,0)),Assumptions!$B$10))</f>
        <v>23685.028536614012</v>
      </c>
      <c r="J124" s="30">
        <f>IF(J$5&gt;$B124,0,INDEX(Decrements!$G$6:$G$58,Census!$G124+J$5-18)/INDEX(Decrements!$G$6:$G$58,Census!$G124-17)*(INDEX(Decrements!$D$6:$D$58,Census!$G124+J$5-18)+IF(J$5=$B124,INDEX(Decrements!$F$6:$F$58,Census!$G124+J$5-18),0)+INDEX(Decrements!$E$6:$E$58,Census!$G124+J$5-18)*IF((Census!$F124+J$5)&gt;=Assumptions!$B$11,1,0))*MIN(15/26*Census!$D124*(1+Assumptions!$B$9)^J$5*(INT((Census!$F124+J$5))+IF((Census!$F124+J$5)-INT((Census!$F124+J$5))&gt;0.5,1,0)),Assumptions!$B$10))</f>
        <v>26140.308060313837</v>
      </c>
      <c r="K124" s="30">
        <f>IF(K$5&gt;$B124,0,INDEX(Decrements!$G$6:$G$58,Census!$G124+K$5-18)/INDEX(Decrements!$G$6:$G$58,Census!$G124-17)*(INDEX(Decrements!$D$6:$D$58,Census!$G124+K$5-18)+IF(K$5=$B124,INDEX(Decrements!$F$6:$F$58,Census!$G124+K$5-18),0)+INDEX(Decrements!$E$6:$E$58,Census!$G124+K$5-18)*IF((Census!$F124+K$5)&gt;=Assumptions!$B$11,1,0))*MIN(15/26*Census!$D124*(1+Assumptions!$B$9)^K$5*(INT((Census!$F124+K$5))+IF((Census!$F124+K$5)-INT((Census!$F124+K$5))&gt;0.5,1,0)),Assumptions!$B$10))</f>
        <v>28561.859042283755</v>
      </c>
      <c r="L124" s="30">
        <f>IF(L$5&gt;$B124,0,INDEX(Decrements!$G$6:$G$58,Census!$G124+L$5-18)/INDEX(Decrements!$G$6:$G$58,Census!$G124-17)*(INDEX(Decrements!$D$6:$D$58,Census!$G124+L$5-18)+IF(L$5=$B124,INDEX(Decrements!$F$6:$F$58,Census!$G124+L$5-18),0)+INDEX(Decrements!$E$6:$E$58,Census!$G124+L$5-18)*IF((Census!$F124+L$5)&gt;=Assumptions!$B$11,1,0))*MIN(15/26*Census!$D124*(1+Assumptions!$B$9)^L$5*(INT((Census!$F124+L$5))+IF((Census!$F124+L$5)-INT((Census!$F124+L$5))&gt;0.5,1,0)),Assumptions!$B$10))</f>
        <v>19536.514551584551</v>
      </c>
      <c r="M124" s="30">
        <f>IF(M$5&gt;$B124,0,INDEX(Decrements!$G$6:$G$58,Census!$G124+M$5-18)/INDEX(Decrements!$G$6:$G$58,Census!$G124-17)*(INDEX(Decrements!$D$6:$D$58,Census!$G124+M$5-18)+IF(M$5=$B124,INDEX(Decrements!$F$6:$F$58,Census!$G124+M$5-18),0)+INDEX(Decrements!$E$6:$E$58,Census!$G124+M$5-18)*IF((Census!$F124+M$5)&gt;=Assumptions!$B$11,1,0))*MIN(15/26*Census!$D124*(1+Assumptions!$B$9)^M$5*(INT((Census!$F124+M$5))+IF((Census!$F124+M$5)-INT((Census!$F124+M$5))&gt;0.5,1,0)),Assumptions!$B$10))</f>
        <v>21723.646684231713</v>
      </c>
      <c r="N124" s="30">
        <f>IF(N$5&gt;$B124,0,INDEX(Decrements!$G$6:$G$58,Census!$G124+N$5-18)/INDEX(Decrements!$G$6:$G$58,Census!$G124-17)*(INDEX(Decrements!$D$6:$D$58,Census!$G124+N$5-18)+IF(N$5=$B124,INDEX(Decrements!$F$6:$F$58,Census!$G124+N$5-18),0)+INDEX(Decrements!$E$6:$E$58,Census!$G124+N$5-18)*IF((Census!$F124+N$5)&gt;=Assumptions!$B$11,1,0))*MIN(15/26*Census!$D124*(1+Assumptions!$B$9)^N$5*(INT((Census!$F124+N$5))+IF((Census!$F124+N$5)-INT((Census!$F124+N$5))&gt;0.5,1,0)),Assumptions!$B$10))</f>
        <v>24014.542478662701</v>
      </c>
      <c r="O124" s="30">
        <f>IF(O$5&gt;$B124,0,INDEX(Decrements!$G$6:$G$58,Census!$G124+O$5-18)/INDEX(Decrements!$G$6:$G$58,Census!$G124-17)*(INDEX(Decrements!$D$6:$D$58,Census!$G124+O$5-18)+IF(O$5=$B124,INDEX(Decrements!$F$6:$F$58,Census!$G124+O$5-18),0)+INDEX(Decrements!$E$6:$E$58,Census!$G124+O$5-18)*IF((Census!$F124+O$5)&gt;=Assumptions!$B$11,1,0))*MIN(15/26*Census!$D124*(1+Assumptions!$B$9)^O$5*(INT((Census!$F124+O$5))+IF((Census!$F124+O$5)-INT((Census!$F124+O$5))&gt;0.5,1,0)),Assumptions!$B$10))</f>
        <v>26413.795385288384</v>
      </c>
      <c r="P124" s="30">
        <f>IF(P$5&gt;$B124,0,INDEX(Decrements!$G$6:$G$58,Census!$G124+P$5-18)/INDEX(Decrements!$G$6:$G$58,Census!$G124-17)*(INDEX(Decrements!$D$6:$D$58,Census!$G124+P$5-18)+IF(P$5=$B124,INDEX(Decrements!$F$6:$F$58,Census!$G124+P$5-18),0)+INDEX(Decrements!$E$6:$E$58,Census!$G124+P$5-18)*IF((Census!$F124+P$5)&gt;=Assumptions!$B$11,1,0))*MIN(15/26*Census!$D124*(1+Assumptions!$B$9)^P$5*(INT((Census!$F124+P$5))+IF((Census!$F124+P$5)-INT((Census!$F124+P$5))&gt;0.5,1,0)),Assumptions!$B$10))</f>
        <v>28926.267844662703</v>
      </c>
      <c r="Q124" s="30">
        <f>IF(Q$5&gt;$B124,0,INDEX(Decrements!$G$6:$G$58,Census!$G124+Q$5-18)/INDEX(Decrements!$G$6:$G$58,Census!$G124-17)*(INDEX(Decrements!$D$6:$D$58,Census!$G124+Q$5-18)+IF(Q$5=$B124,INDEX(Decrements!$F$6:$F$58,Census!$G124+Q$5-18),0)+INDEX(Decrements!$E$6:$E$58,Census!$G124+Q$5-18)*IF((Census!$F124+Q$5)&gt;=Assumptions!$B$11,1,0))*MIN(15/26*Census!$D124*(1+Assumptions!$B$9)^Q$5*(INT((Census!$F124+Q$5))+IF((Census!$F124+Q$5)-INT((Census!$F124+Q$5))&gt;0.5,1,0)),Assumptions!$B$10))</f>
        <v>19403.731151958113</v>
      </c>
      <c r="R124" s="30">
        <f>IF(R$5&gt;$B124,0,INDEX(Decrements!$G$6:$G$58,Census!$G124+R$5-18)/INDEX(Decrements!$G$6:$G$58,Census!$G124-17)*(INDEX(Decrements!$D$6:$D$58,Census!$G124+R$5-18)+IF(R$5=$B124,INDEX(Decrements!$F$6:$F$58,Census!$G124+R$5-18),0)+INDEX(Decrements!$E$6:$E$58,Census!$G124+R$5-18)*IF((Census!$F124+R$5)&gt;=Assumptions!$B$11,1,0))*MIN(15/26*Census!$D124*(1+Assumptions!$B$9)^R$5*(INT((Census!$F124+R$5))+IF((Census!$F124+R$5)-INT((Census!$F124+R$5))&gt;0.5,1,0)),Assumptions!$B$10))</f>
        <v>19505.114854058527</v>
      </c>
      <c r="S124" s="30">
        <f>IF(S$5&gt;$B124,0,INDEX(Decrements!$G$6:$G$58,Census!$G124+S$5-18)/INDEX(Decrements!$G$6:$G$58,Census!$G124-17)*(INDEX(Decrements!$D$6:$D$58,Census!$G124+S$5-18)+IF(S$5=$B124,INDEX(Decrements!$F$6:$F$58,Census!$G124+S$5-18),0)+INDEX(Decrements!$E$6:$E$58,Census!$G124+S$5-18)*IF((Census!$F124+S$5)&gt;=Assumptions!$B$11,1,0))*MIN(15/26*Census!$D124*(1+Assumptions!$B$9)^S$5*(INT((Census!$F124+S$5))+IF((Census!$F124+S$5)-INT((Census!$F124+S$5))&gt;0.5,1,0)),Assumptions!$B$10))</f>
        <v>18976.631823979915</v>
      </c>
      <c r="T124" s="30">
        <f>IF(T$5&gt;$B124,0,INDEX(Decrements!$G$6:$G$58,Census!$G124+T$5-18)/INDEX(Decrements!$G$6:$G$58,Census!$G124-17)*(INDEX(Decrements!$D$6:$D$58,Census!$G124+T$5-18)+IF(T$5=$B124,INDEX(Decrements!$F$6:$F$58,Census!$G124+T$5-18),0)+INDEX(Decrements!$E$6:$E$58,Census!$G124+T$5-18)*IF((Census!$F124+T$5)&gt;=Assumptions!$B$11,1,0))*MIN(15/26*Census!$D124*(1+Assumptions!$B$9)^T$5*(INT((Census!$F124+T$5))+IF((Census!$F124+T$5)-INT((Census!$F124+T$5))&gt;0.5,1,0)),Assumptions!$B$10))</f>
        <v>18468.164997302189</v>
      </c>
      <c r="U124" s="30">
        <f>IF(U$5&gt;$B124,0,INDEX(Decrements!$G$6:$G$58,Census!$G124+U$5-18)/INDEX(Decrements!$G$6:$G$58,Census!$G124-17)*(INDEX(Decrements!$D$6:$D$58,Census!$G124+U$5-18)+IF(U$5=$B124,INDEX(Decrements!$F$6:$F$58,Census!$G124+U$5-18),0)+INDEX(Decrements!$E$6:$E$58,Census!$G124+U$5-18)*IF((Census!$F124+U$5)&gt;=Assumptions!$B$11,1,0))*MIN(15/26*Census!$D124*(1+Assumptions!$B$9)^U$5*(INT((Census!$F124+U$5))+IF((Census!$F124+U$5)-INT((Census!$F124+U$5))&gt;0.5,1,0)),Assumptions!$B$10))</f>
        <v>17979.315313442745</v>
      </c>
      <c r="V124" s="30">
        <f>IF(V$5&gt;$B124,0,INDEX(Decrements!$G$6:$G$58,Census!$G124+V$5-18)/INDEX(Decrements!$G$6:$G$58,Census!$G124-17)*(INDEX(Decrements!$D$6:$D$58,Census!$G124+V$5-18)+IF(V$5=$B124,INDEX(Decrements!$F$6:$F$58,Census!$G124+V$5-18),0)+INDEX(Decrements!$E$6:$E$58,Census!$G124+V$5-18)*IF((Census!$F124+V$5)&gt;=Assumptions!$B$11,1,0))*MIN(15/26*Census!$D124*(1+Assumptions!$B$9)^V$5*(INT((Census!$F124+V$5))+IF((Census!$F124+V$5)-INT((Census!$F124+V$5))&gt;0.5,1,0)),Assumptions!$B$10))</f>
        <v>12182.332002773152</v>
      </c>
      <c r="W124" s="30">
        <f>IF(W$5&gt;$B124,0,INDEX(Decrements!$G$6:$G$58,Census!$G124+W$5-18)/INDEX(Decrements!$G$6:$G$58,Census!$G124-17)*(INDEX(Decrements!$D$6:$D$58,Census!$G124+W$5-18)+IF(W$5=$B124,INDEX(Decrements!$F$6:$F$58,Census!$G124+W$5-18),0)+INDEX(Decrements!$E$6:$E$58,Census!$G124+W$5-18)*IF((Census!$F124+W$5)&gt;=Assumptions!$B$11,1,0))*MIN(15/26*Census!$D124*(1+Assumptions!$B$9)^W$5*(INT((Census!$F124+W$5))+IF((Census!$F124+W$5)-INT((Census!$F124+W$5))&gt;0.5,1,0)),Assumptions!$B$10))</f>
        <v>12030.208483182523</v>
      </c>
      <c r="X124" s="30">
        <f>IF(X$5&gt;$B124,0,INDEX(Decrements!$G$6:$G$58,Census!$G124+X$5-18)/INDEX(Decrements!$G$6:$G$58,Census!$G124-17)*(INDEX(Decrements!$D$6:$D$58,Census!$G124+X$5-18)+IF(X$5=$B124,INDEX(Decrements!$F$6:$F$58,Census!$G124+X$5-18),0)+INDEX(Decrements!$E$6:$E$58,Census!$G124+X$5-18)*IF((Census!$F124+X$5)&gt;=Assumptions!$B$11,1,0))*MIN(15/26*Census!$D124*(1+Assumptions!$B$9)^X$5*(INT((Census!$F124+X$5))+IF((Census!$F124+X$5)-INT((Census!$F124+X$5))&gt;0.5,1,0)),Assumptions!$B$10))</f>
        <v>11888.004047956949</v>
      </c>
      <c r="Y124" s="30">
        <f>IF(Y$5&gt;$B124,0,INDEX(Decrements!$G$6:$G$58,Census!$G124+Y$5-18)/INDEX(Decrements!$G$6:$G$58,Census!$G124-17)*(INDEX(Decrements!$D$6:$D$58,Census!$G124+Y$5-18)+IF(Y$5=$B124,INDEX(Decrements!$F$6:$F$58,Census!$G124+Y$5-18),0)+INDEX(Decrements!$E$6:$E$58,Census!$G124+Y$5-18)*IF((Census!$F124+Y$5)&gt;=Assumptions!$B$11,1,0))*MIN(15/26*Census!$D124*(1+Assumptions!$B$9)^Y$5*(INT((Census!$F124+Y$5))+IF((Census!$F124+Y$5)-INT((Census!$F124+Y$5))&gt;0.5,1,0)),Assumptions!$B$10))</f>
        <v>11755.927711770048</v>
      </c>
      <c r="Z124" s="30">
        <f>IF(Z$5&gt;$B124,0,INDEX(Decrements!$G$6:$G$58,Census!$G124+Z$5-18)/INDEX(Decrements!$G$6:$G$58,Census!$G124-17)*(INDEX(Decrements!$D$6:$D$58,Census!$G124+Z$5-18)+IF(Z$5=$B124,INDEX(Decrements!$F$6:$F$58,Census!$G124+Z$5-18),0)+INDEX(Decrements!$E$6:$E$58,Census!$G124+Z$5-18)*IF((Census!$F124+Z$5)&gt;=Assumptions!$B$11,1,0))*MIN(15/26*Census!$D124*(1+Assumptions!$B$9)^Z$5*(INT((Census!$F124+Z$5))+IF((Census!$F124+Z$5)-INT((Census!$F124+Z$5))&gt;0.5,1,0)),Assumptions!$B$10))</f>
        <v>11634.195386758987</v>
      </c>
      <c r="AA124" s="30">
        <f>IF(AA$5&gt;$B124,0,INDEX(Decrements!$G$6:$G$58,Census!$G124+AA$5-18)/INDEX(Decrements!$G$6:$G$58,Census!$G124-17)*(INDEX(Decrements!$D$6:$D$58,Census!$G124+AA$5-18)+IF(AA$5=$B124,INDEX(Decrements!$F$6:$F$58,Census!$G124+AA$5-18),0)+INDEX(Decrements!$E$6:$E$58,Census!$G124+AA$5-18)*IF((Census!$F124+AA$5)&gt;=Assumptions!$B$11,1,0))*MIN(15/26*Census!$D124*(1+Assumptions!$B$9)^AA$5*(INT((Census!$F124+AA$5))+IF((Census!$F124+AA$5)-INT((Census!$F124+AA$5))&gt;0.5,1,0)),Assumptions!$B$10))</f>
        <v>6795.9783911832601</v>
      </c>
      <c r="AB124" s="30">
        <f>IF(AB$5&gt;$B124,0,INDEX(Decrements!$G$6:$G$58,Census!$G124+AB$5-18)/INDEX(Decrements!$G$6:$G$58,Census!$G124-17)*(INDEX(Decrements!$D$6:$D$58,Census!$G124+AB$5-18)+IF(AB$5=$B124,INDEX(Decrements!$F$6:$F$58,Census!$G124+AB$5-18),0)+INDEX(Decrements!$E$6:$E$58,Census!$G124+AB$5-18)*IF((Census!$F124+AB$5)&gt;=Assumptions!$B$11,1,0))*MIN(15/26*Census!$D124*(1+Assumptions!$B$9)^AB$5*(INT((Census!$F124+AB$5))+IF((Census!$F124+AB$5)-INT((Census!$F124+AB$5))&gt;0.5,1,0)),Assumptions!$B$10))</f>
        <v>6881.6639747094532</v>
      </c>
      <c r="AC124" s="30">
        <f>IF(AC$5&gt;$B124,0,INDEX(Decrements!$G$6:$G$58,Census!$G124+AC$5-18)/INDEX(Decrements!$G$6:$G$58,Census!$G124-17)*(INDEX(Decrements!$D$6:$D$58,Census!$G124+AC$5-18)+IF(AC$5=$B124,INDEX(Decrements!$F$6:$F$58,Census!$G124+AC$5-18),0)+INDEX(Decrements!$E$6:$E$58,Census!$G124+AC$5-18)*IF((Census!$F124+AC$5)&gt;=Assumptions!$B$11,1,0))*MIN(15/26*Census!$D124*(1+Assumptions!$B$9)^AC$5*(INT((Census!$F124+AC$5))+IF((Census!$F124+AC$5)-INT((Census!$F124+AC$5))&gt;0.5,1,0)),Assumptions!$B$10))</f>
        <v>6978.6868065543758</v>
      </c>
      <c r="AD124" s="30">
        <f>IF(AD$5&gt;$B124,0,INDEX(Decrements!$G$6:$G$58,Census!$G124+AD$5-18)/INDEX(Decrements!$G$6:$G$58,Census!$G124-17)*(INDEX(Decrements!$D$6:$D$58,Census!$G124+AD$5-18)+IF(AD$5=$B124,INDEX(Decrements!$F$6:$F$58,Census!$G124+AD$5-18),0)+INDEX(Decrements!$E$6:$E$58,Census!$G124+AD$5-18)*IF((Census!$F124+AD$5)&gt;=Assumptions!$B$11,1,0))*MIN(15/26*Census!$D124*(1+Assumptions!$B$9)^AD$5*(INT((Census!$F124+AD$5))+IF((Census!$F124+AD$5)-INT((Census!$F124+AD$5))&gt;0.5,1,0)),Assumptions!$B$10))</f>
        <v>7087.7063039499853</v>
      </c>
      <c r="AE124" s="30">
        <f>IF(AE$5&gt;$B124,0,INDEX(Decrements!$G$6:$G$58,Census!$G124+AE$5-18)/INDEX(Decrements!$G$6:$G$58,Census!$G124-17)*(INDEX(Decrements!$D$6:$D$58,Census!$G124+AE$5-18)+IF(AE$5=$B124,INDEX(Decrements!$F$6:$F$58,Census!$G124+AE$5-18),0)+INDEX(Decrements!$E$6:$E$58,Census!$G124+AE$5-18)*IF((Census!$F124+AE$5)&gt;=Assumptions!$B$11,1,0))*MIN(15/26*Census!$D124*(1+Assumptions!$B$9)^AE$5*(INT((Census!$F124+AE$5))+IF((Census!$F124+AE$5)-INT((Census!$F124+AE$5))&gt;0.5,1,0)),Assumptions!$B$10))</f>
        <v>447029.76204775361</v>
      </c>
      <c r="AF124" s="30">
        <f>IF(AF$5&gt;$B124,0,INDEX(Decrements!$G$6:$G$58,Census!$G124+AF$5-18)/INDEX(Decrements!$G$6:$G$58,Census!$G124-17)*(INDEX(Decrements!$D$6:$D$58,Census!$G124+AF$5-18)+IF(AF$5=$B124,INDEX(Decrements!$F$6:$F$58,Census!$G124+AF$5-18),0)+INDEX(Decrements!$E$6:$E$58,Census!$G124+AF$5-18)*IF((Census!$F124+AF$5)&gt;=Assumptions!$B$11,1,0))*MIN(15/26*Census!$D124*(1+Assumptions!$B$9)^AF$5*(INT((Census!$F124+AF$5))+IF((Census!$F124+AF$5)-INT((Census!$F124+AF$5))&gt;0.5,1,0)),Assumptions!$B$10))</f>
        <v>0</v>
      </c>
      <c r="AG124" s="30">
        <f>IF(AG$5&gt;$B124,0,INDEX(Decrements!$G$6:$G$58,Census!$G124+AG$5-18)/INDEX(Decrements!$G$6:$G$58,Census!$G124-17)*(INDEX(Decrements!$D$6:$D$58,Census!$G124+AG$5-18)+IF(AG$5=$B124,INDEX(Decrements!$F$6:$F$58,Census!$G124+AG$5-18),0)+INDEX(Decrements!$E$6:$E$58,Census!$G124+AG$5-18)*IF((Census!$F124+AG$5)&gt;=Assumptions!$B$11,1,0))*MIN(15/26*Census!$D124*(1+Assumptions!$B$9)^AG$5*(INT((Census!$F124+AG$5))+IF((Census!$F124+AG$5)-INT((Census!$F124+AG$5))&gt;0.5,1,0)),Assumptions!$B$10))</f>
        <v>0</v>
      </c>
      <c r="AH124" s="30">
        <f>IF(AH$5&gt;$B124,0,INDEX(Decrements!$G$6:$G$58,Census!$G124+AH$5-18)/INDEX(Decrements!$G$6:$G$58,Census!$G124-17)*(INDEX(Decrements!$D$6:$D$58,Census!$G124+AH$5-18)+IF(AH$5=$B124,INDEX(Decrements!$F$6:$F$58,Census!$G124+AH$5-18),0)+INDEX(Decrements!$E$6:$E$58,Census!$G124+AH$5-18)*IF((Census!$F124+AH$5)&gt;=Assumptions!$B$11,1,0))*MIN(15/26*Census!$D124*(1+Assumptions!$B$9)^AH$5*(INT((Census!$F124+AH$5))+IF((Census!$F124+AH$5)-INT((Census!$F124+AH$5))&gt;0.5,1,0)),Assumptions!$B$10))</f>
        <v>0</v>
      </c>
      <c r="AI124" s="30">
        <f>IF(AI$5&gt;$B124,0,INDEX(Decrements!$G$6:$G$58,Census!$G124+AI$5-18)/INDEX(Decrements!$G$6:$G$58,Census!$G124-17)*(INDEX(Decrements!$D$6:$D$58,Census!$G124+AI$5-18)+IF(AI$5=$B124,INDEX(Decrements!$F$6:$F$58,Census!$G124+AI$5-18),0)+INDEX(Decrements!$E$6:$E$58,Census!$G124+AI$5-18)*IF((Census!$F124+AI$5)&gt;=Assumptions!$B$11,1,0))*MIN(15/26*Census!$D124*(1+Assumptions!$B$9)^AI$5*(INT((Census!$F124+AI$5))+IF((Census!$F124+AI$5)-INT((Census!$F124+AI$5))&gt;0.5,1,0)),Assumptions!$B$10))</f>
        <v>0</v>
      </c>
      <c r="AJ124" s="30">
        <f>IF(AJ$5&gt;$B124,0,INDEX(Decrements!$G$6:$G$58,Census!$G124+AJ$5-18)/INDEX(Decrements!$G$6:$G$58,Census!$G124-17)*(INDEX(Decrements!$D$6:$D$58,Census!$G124+AJ$5-18)+IF(AJ$5=$B124,INDEX(Decrements!$F$6:$F$58,Census!$G124+AJ$5-18),0)+INDEX(Decrements!$E$6:$E$58,Census!$G124+AJ$5-18)*IF((Census!$F124+AJ$5)&gt;=Assumptions!$B$11,1,0))*MIN(15/26*Census!$D124*(1+Assumptions!$B$9)^AJ$5*(INT((Census!$F124+AJ$5))+IF((Census!$F124+AJ$5)-INT((Census!$F124+AJ$5))&gt;0.5,1,0)),Assumptions!$B$10))</f>
        <v>0</v>
      </c>
      <c r="AK124" s="30">
        <f>IF(AK$5&gt;$B124,0,INDEX(Decrements!$G$6:$G$58,Census!$G124+AK$5-18)/INDEX(Decrements!$G$6:$G$58,Census!$G124-17)*(INDEX(Decrements!$D$6:$D$58,Census!$G124+AK$5-18)+IF(AK$5=$B124,INDEX(Decrements!$F$6:$F$58,Census!$G124+AK$5-18),0)+INDEX(Decrements!$E$6:$E$58,Census!$G124+AK$5-18)*IF((Census!$F124+AK$5)&gt;=Assumptions!$B$11,1,0))*MIN(15/26*Census!$D124*(1+Assumptions!$B$9)^AK$5*(INT((Census!$F124+AK$5))+IF((Census!$F124+AK$5)-INT((Census!$F124+AK$5))&gt;0.5,1,0)),Assumptions!$B$10))</f>
        <v>0</v>
      </c>
      <c r="AL124" s="30">
        <f>IF(AL$5&gt;$B124,0,INDEX(Decrements!$G$6:$G$58,Census!$G124+AL$5-18)/INDEX(Decrements!$G$6:$G$58,Census!$G124-17)*(INDEX(Decrements!$D$6:$D$58,Census!$G124+AL$5-18)+IF(AL$5=$B124,INDEX(Decrements!$F$6:$F$58,Census!$G124+AL$5-18),0)+INDEX(Decrements!$E$6:$E$58,Census!$G124+AL$5-18)*IF((Census!$F124+AL$5)&gt;=Assumptions!$B$11,1,0))*MIN(15/26*Census!$D124*(1+Assumptions!$B$9)^AL$5*(INT((Census!$F124+AL$5))+IF((Census!$F124+AL$5)-INT((Census!$F124+AL$5))&gt;0.5,1,0)),Assumptions!$B$10))</f>
        <v>0</v>
      </c>
      <c r="AM124" s="30">
        <f>IF(AM$5&gt;$B124,0,INDEX(Decrements!$G$6:$G$58,Census!$G124+AM$5-18)/INDEX(Decrements!$G$6:$G$58,Census!$G124-17)*(INDEX(Decrements!$D$6:$D$58,Census!$G124+AM$5-18)+IF(AM$5=$B124,INDEX(Decrements!$F$6:$F$58,Census!$G124+AM$5-18),0)+INDEX(Decrements!$E$6:$E$58,Census!$G124+AM$5-18)*IF((Census!$F124+AM$5)&gt;=Assumptions!$B$11,1,0))*MIN(15/26*Census!$D124*(1+Assumptions!$B$9)^AM$5*(INT((Census!$F124+AM$5))+IF((Census!$F124+AM$5)-INT((Census!$F124+AM$5))&gt;0.5,1,0)),Assumptions!$B$10))</f>
        <v>0</v>
      </c>
      <c r="AN124" s="30">
        <f>IF(AN$5&gt;$B124,0,INDEX(Decrements!$G$6:$G$58,Census!$G124+AN$5-18)/INDEX(Decrements!$G$6:$G$58,Census!$G124-17)*(INDEX(Decrements!$D$6:$D$58,Census!$G124+AN$5-18)+IF(AN$5=$B124,INDEX(Decrements!$F$6:$F$58,Census!$G124+AN$5-18),0)+INDEX(Decrements!$E$6:$E$58,Census!$G124+AN$5-18)*IF((Census!$F124+AN$5)&gt;=Assumptions!$B$11,1,0))*MIN(15/26*Census!$D124*(1+Assumptions!$B$9)^AN$5*(INT((Census!$F124+AN$5))+IF((Census!$F124+AN$5)-INT((Census!$F124+AN$5))&gt;0.5,1,0)),Assumptions!$B$10))</f>
        <v>0</v>
      </c>
      <c r="AO124" s="30">
        <f>IF(AO$5&gt;$B124,0,INDEX(Decrements!$G$6:$G$58,Census!$G124+AO$5-18)/INDEX(Decrements!$G$6:$G$58,Census!$G124-17)*(INDEX(Decrements!$D$6:$D$58,Census!$G124+AO$5-18)+IF(AO$5=$B124,INDEX(Decrements!$F$6:$F$58,Census!$G124+AO$5-18),0)+INDEX(Decrements!$E$6:$E$58,Census!$G124+AO$5-18)*IF((Census!$F124+AO$5)&gt;=Assumptions!$B$11,1,0))*MIN(15/26*Census!$D124*(1+Assumptions!$B$9)^AO$5*(INT((Census!$F124+AO$5))+IF((Census!$F124+AO$5)-INT((Census!$F124+AO$5))&gt;0.5,1,0)),Assumptions!$B$10))</f>
        <v>0</v>
      </c>
      <c r="AP124" s="30">
        <f>IF(AP$5&gt;$B124,0,INDEX(Decrements!$G$6:$G$58,Census!$G124+AP$5-18)/INDEX(Decrements!$G$6:$G$58,Census!$G124-17)*(INDEX(Decrements!$D$6:$D$58,Census!$G124+AP$5-18)+IF(AP$5=$B124,INDEX(Decrements!$F$6:$F$58,Census!$G124+AP$5-18),0)+INDEX(Decrements!$E$6:$E$58,Census!$G124+AP$5-18)*IF((Census!$F124+AP$5)&gt;=Assumptions!$B$11,1,0))*MIN(15/26*Census!$D124*(1+Assumptions!$B$9)^AP$5*(INT((Census!$F124+AP$5))+IF((Census!$F124+AP$5)-INT((Census!$F124+AP$5))&gt;0.5,1,0)),Assumptions!$B$10))</f>
        <v>0</v>
      </c>
      <c r="AQ124" s="30">
        <f>IF(AQ$5&gt;$B124,0,INDEX(Decrements!$G$6:$G$58,Census!$G124+AQ$5-18)/INDEX(Decrements!$G$6:$G$58,Census!$G124-17)*(INDEX(Decrements!$D$6:$D$58,Census!$G124+AQ$5-18)+IF(AQ$5=$B124,INDEX(Decrements!$F$6:$F$58,Census!$G124+AQ$5-18),0)+INDEX(Decrements!$E$6:$E$58,Census!$G124+AQ$5-18)*IF((Census!$F124+AQ$5)&gt;=Assumptions!$B$11,1,0))*MIN(15/26*Census!$D124*(1+Assumptions!$B$9)^AQ$5*(INT((Census!$F124+AQ$5))+IF((Census!$F124+AQ$5)-INT((Census!$F124+AQ$5))&gt;0.5,1,0)),Assumptions!$B$10))</f>
        <v>0</v>
      </c>
      <c r="AR124" s="30">
        <f>IF(AR$5&gt;$B124,0,INDEX(Decrements!$G$6:$G$58,Census!$G124+AR$5-18)/INDEX(Decrements!$G$6:$G$58,Census!$G124-17)*(INDEX(Decrements!$D$6:$D$58,Census!$G124+AR$5-18)+IF(AR$5=$B124,INDEX(Decrements!$F$6:$F$58,Census!$G124+AR$5-18),0)+INDEX(Decrements!$E$6:$E$58,Census!$G124+AR$5-18)*IF((Census!$F124+AR$5)&gt;=Assumptions!$B$11,1,0))*MIN(15/26*Census!$D124*(1+Assumptions!$B$9)^AR$5*(INT((Census!$F124+AR$5))+IF((Census!$F124+AR$5)-INT((Census!$F124+AR$5))&gt;0.5,1,0)),Assumptions!$B$10))</f>
        <v>0</v>
      </c>
      <c r="AS124" s="30">
        <f>IF(AS$5&gt;$B124,0,INDEX(Decrements!$G$6:$G$58,Census!$G124+AS$5-18)/INDEX(Decrements!$G$6:$G$58,Census!$G124-17)*(INDEX(Decrements!$D$6:$D$58,Census!$G124+AS$5-18)+IF(AS$5=$B124,INDEX(Decrements!$F$6:$F$58,Census!$G124+AS$5-18),0)+INDEX(Decrements!$E$6:$E$58,Census!$G124+AS$5-18)*IF((Census!$F124+AS$5)&gt;=Assumptions!$B$11,1,0))*MIN(15/26*Census!$D124*(1+Assumptions!$B$9)^AS$5*(INT((Census!$F124+AS$5))+IF((Census!$F124+AS$5)-INT((Census!$F124+AS$5))&gt;0.5,1,0)),Assumptions!$B$10))</f>
        <v>0</v>
      </c>
      <c r="AT124" s="30">
        <f>IF(AT$5&gt;$B124,0,INDEX(Decrements!$G$6:$G$58,Census!$G124+AT$5-18)/INDEX(Decrements!$G$6:$G$58,Census!$G124-17)*(INDEX(Decrements!$D$6:$D$58,Census!$G124+AT$5-18)+IF(AT$5=$B124,INDEX(Decrements!$F$6:$F$58,Census!$G124+AT$5-18),0)+INDEX(Decrements!$E$6:$E$58,Census!$G124+AT$5-18)*IF((Census!$F124+AT$5)&gt;=Assumptions!$B$11,1,0))*MIN(15/26*Census!$D124*(1+Assumptions!$B$9)^AT$5*(INT((Census!$F124+AT$5))+IF((Census!$F124+AT$5)-INT((Census!$F124+AT$5))&gt;0.5,1,0)),Assumptions!$B$10))</f>
        <v>0</v>
      </c>
      <c r="AU124" s="30">
        <f>IF(AU$5&gt;$B124,0,INDEX(Decrements!$G$6:$G$58,Census!$G124+AU$5-18)/INDEX(Decrements!$G$6:$G$58,Census!$G124-17)*(INDEX(Decrements!$D$6:$D$58,Census!$G124+AU$5-18)+IF(AU$5=$B124,INDEX(Decrements!$F$6:$F$58,Census!$G124+AU$5-18),0)+INDEX(Decrements!$E$6:$E$58,Census!$G124+AU$5-18)*IF((Census!$F124+AU$5)&gt;=Assumptions!$B$11,1,0))*MIN(15/26*Census!$D124*(1+Assumptions!$B$9)^AU$5*(INT((Census!$F124+AU$5))+IF((Census!$F124+AU$5)-INT((Census!$F124+AU$5))&gt;0.5,1,0)),Assumptions!$B$10))</f>
        <v>0</v>
      </c>
    </row>
    <row r="125" spans="1:47" x14ac:dyDescent="0.3">
      <c r="A125" s="10" t="str">
        <f>Census!A125</f>
        <v>E120</v>
      </c>
      <c r="B125" s="29">
        <f>Census!H125</f>
        <v>31</v>
      </c>
      <c r="C125" s="30">
        <f>IF(C$5&gt;$B125,0,INDEX(Decrements!$G$6:$G$58,Census!$G125+C$5-18)/INDEX(Decrements!$G$6:$G$58,Census!$G125-17)*(INDEX(Decrements!$D$6:$D$58,Census!$G125+C$5-18)+IF(C$5=$B125,INDEX(Decrements!$F$6:$F$58,Census!$G125+C$5-18),0)+INDEX(Decrements!$E$6:$E$58,Census!$G125+C$5-18)*IF((Census!$F125+C$5)&gt;=Assumptions!$B$11,1,0))*MIN(15/26*Census!$D125*(1+Assumptions!$B$9)^C$5*(INT((Census!$F125+C$5))+IF((Census!$F125+C$5)-INT((Census!$F125+C$5))&gt;0.5,1,0)),Assumptions!$B$10))</f>
        <v>24776.277790610726</v>
      </c>
      <c r="D125" s="30">
        <f>IF(D$5&gt;$B125,0,INDEX(Decrements!$G$6:$G$58,Census!$G125+D$5-18)/INDEX(Decrements!$G$6:$G$58,Census!$G125-17)*(INDEX(Decrements!$D$6:$D$58,Census!$G125+D$5-18)+IF(D$5=$B125,INDEX(Decrements!$F$6:$F$58,Census!$G125+D$5-18),0)+INDEX(Decrements!$E$6:$E$58,Census!$G125+D$5-18)*IF((Census!$F125+D$5)&gt;=Assumptions!$B$11,1,0))*MIN(15/26*Census!$D125*(1+Assumptions!$B$9)^D$5*(INT((Census!$F125+D$5))+IF((Census!$F125+D$5)-INT((Census!$F125+D$5))&gt;0.5,1,0)),Assumptions!$B$10))</f>
        <v>19484.635895218165</v>
      </c>
      <c r="E125" s="30">
        <f>IF(E$5&gt;$B125,0,INDEX(Decrements!$G$6:$G$58,Census!$G125+E$5-18)/INDEX(Decrements!$G$6:$G$58,Census!$G125-17)*(INDEX(Decrements!$D$6:$D$58,Census!$G125+E$5-18)+IF(E$5=$B125,INDEX(Decrements!$F$6:$F$58,Census!$G125+E$5-18),0)+INDEX(Decrements!$E$6:$E$58,Census!$G125+E$5-18)*IF((Census!$F125+E$5)&gt;=Assumptions!$B$11,1,0))*MIN(15/26*Census!$D125*(1+Assumptions!$B$9)^E$5*(INT((Census!$F125+E$5))+IF((Census!$F125+E$5)-INT((Census!$F125+E$5))&gt;0.5,1,0)),Assumptions!$B$10))</f>
        <v>21394.050465764649</v>
      </c>
      <c r="F125" s="30">
        <f>IF(F$5&gt;$B125,0,INDEX(Decrements!$G$6:$G$58,Census!$G125+F$5-18)/INDEX(Decrements!$G$6:$G$58,Census!$G125-17)*(INDEX(Decrements!$D$6:$D$58,Census!$G125+F$5-18)+IF(F$5=$B125,INDEX(Decrements!$F$6:$F$58,Census!$G125+F$5-18),0)+INDEX(Decrements!$E$6:$E$58,Census!$G125+F$5-18)*IF((Census!$F125+F$5)&gt;=Assumptions!$B$11,1,0))*MIN(15/26*Census!$D125*(1+Assumptions!$B$9)^F$5*(INT((Census!$F125+F$5))+IF((Census!$F125+F$5)-INT((Census!$F125+F$5))&gt;0.5,1,0)),Assumptions!$B$10))</f>
        <v>23123.370448010566</v>
      </c>
      <c r="G125" s="30">
        <f>IF(G$5&gt;$B125,0,INDEX(Decrements!$G$6:$G$58,Census!$G125+G$5-18)/INDEX(Decrements!$G$6:$G$58,Census!$G125-17)*(INDEX(Decrements!$D$6:$D$58,Census!$G125+G$5-18)+IF(G$5=$B125,INDEX(Decrements!$F$6:$F$58,Census!$G125+G$5-18),0)+INDEX(Decrements!$E$6:$E$58,Census!$G125+G$5-18)*IF((Census!$F125+G$5)&gt;=Assumptions!$B$11,1,0))*MIN(15/26*Census!$D125*(1+Assumptions!$B$9)^G$5*(INT((Census!$F125+G$5))+IF((Census!$F125+G$5)-INT((Census!$F125+G$5))&gt;0.5,1,0)),Assumptions!$B$10))</f>
        <v>24683.726307796507</v>
      </c>
      <c r="H125" s="30">
        <f>IF(H$5&gt;$B125,0,INDEX(Decrements!$G$6:$G$58,Census!$G125+H$5-18)/INDEX(Decrements!$G$6:$G$58,Census!$G125-17)*(INDEX(Decrements!$D$6:$D$58,Census!$G125+H$5-18)+IF(H$5=$B125,INDEX(Decrements!$F$6:$F$58,Census!$G125+H$5-18),0)+INDEX(Decrements!$E$6:$E$58,Census!$G125+H$5-18)*IF((Census!$F125+H$5)&gt;=Assumptions!$B$11,1,0))*MIN(15/26*Census!$D125*(1+Assumptions!$B$9)^H$5*(INT((Census!$F125+H$5))+IF((Census!$F125+H$5)-INT((Census!$F125+H$5))&gt;0.5,1,0)),Assumptions!$B$10))</f>
        <v>26085.648391535255</v>
      </c>
      <c r="I125" s="30">
        <f>IF(I$5&gt;$B125,0,INDEX(Decrements!$G$6:$G$58,Census!$G125+I$5-18)/INDEX(Decrements!$G$6:$G$58,Census!$G125-17)*(INDEX(Decrements!$D$6:$D$58,Census!$G125+I$5-18)+IF(I$5=$B125,INDEX(Decrements!$F$6:$F$58,Census!$G125+I$5-18),0)+INDEX(Decrements!$E$6:$E$58,Census!$G125+I$5-18)*IF((Census!$F125+I$5)&gt;=Assumptions!$B$11,1,0))*MIN(15/26*Census!$D125*(1+Assumptions!$B$9)^I$5*(INT((Census!$F125+I$5))+IF((Census!$F125+I$5)-INT((Census!$F125+I$5))&gt;0.5,1,0)),Assumptions!$B$10))</f>
        <v>19949.498731349737</v>
      </c>
      <c r="J125" s="30">
        <f>IF(J$5&gt;$B125,0,INDEX(Decrements!$G$6:$G$58,Census!$G125+J$5-18)/INDEX(Decrements!$G$6:$G$58,Census!$G125-17)*(INDEX(Decrements!$D$6:$D$58,Census!$G125+J$5-18)+IF(J$5=$B125,INDEX(Decrements!$F$6:$F$58,Census!$G125+J$5-18),0)+INDEX(Decrements!$E$6:$E$58,Census!$G125+J$5-18)*IF((Census!$F125+J$5)&gt;=Assumptions!$B$11,1,0))*MIN(15/26*Census!$D125*(1+Assumptions!$B$9)^J$5*(INT((Census!$F125+J$5))+IF((Census!$F125+J$5)-INT((Census!$F125+J$5))&gt;0.5,1,0)),Assumptions!$B$10))</f>
        <v>21466.768261390753</v>
      </c>
      <c r="K125" s="30">
        <f>IF(K$5&gt;$B125,0,INDEX(Decrements!$G$6:$G$58,Census!$G125+K$5-18)/INDEX(Decrements!$G$6:$G$58,Census!$G125-17)*(INDEX(Decrements!$D$6:$D$58,Census!$G125+K$5-18)+IF(K$5=$B125,INDEX(Decrements!$F$6:$F$58,Census!$G125+K$5-18),0)+INDEX(Decrements!$E$6:$E$58,Census!$G125+K$5-18)*IF((Census!$F125+K$5)&gt;=Assumptions!$B$11,1,0))*MIN(15/26*Census!$D125*(1+Assumptions!$B$9)^K$5*(INT((Census!$F125+K$5))+IF((Census!$F125+K$5)-INT((Census!$F125+K$5))&gt;0.5,1,0)),Assumptions!$B$10))</f>
        <v>22962.922062283873</v>
      </c>
      <c r="L125" s="30">
        <f>IF(L$5&gt;$B125,0,INDEX(Decrements!$G$6:$G$58,Census!$G125+L$5-18)/INDEX(Decrements!$G$6:$G$58,Census!$G125-17)*(INDEX(Decrements!$D$6:$D$58,Census!$G125+L$5-18)+IF(L$5=$B125,INDEX(Decrements!$F$6:$F$58,Census!$G125+L$5-18),0)+INDEX(Decrements!$E$6:$E$58,Census!$G125+L$5-18)*IF((Census!$F125+L$5)&gt;=Assumptions!$B$11,1,0))*MIN(15/26*Census!$D125*(1+Assumptions!$B$9)^L$5*(INT((Census!$F125+L$5))+IF((Census!$F125+L$5)-INT((Census!$F125+L$5))&gt;0.5,1,0)),Assumptions!$B$10))</f>
        <v>24438.225826193491</v>
      </c>
      <c r="M125" s="30">
        <f>IF(M$5&gt;$B125,0,INDEX(Decrements!$G$6:$G$58,Census!$G125+M$5-18)/INDEX(Decrements!$G$6:$G$58,Census!$G125-17)*(INDEX(Decrements!$D$6:$D$58,Census!$G125+M$5-18)+IF(M$5=$B125,INDEX(Decrements!$F$6:$F$58,Census!$G125+M$5-18),0)+INDEX(Decrements!$E$6:$E$58,Census!$G125+M$5-18)*IF((Census!$F125+M$5)&gt;=Assumptions!$B$11,1,0))*MIN(15/26*Census!$D125*(1+Assumptions!$B$9)^M$5*(INT((Census!$F125+M$5))+IF((Census!$F125+M$5)-INT((Census!$F125+M$5))&gt;0.5,1,0)),Assumptions!$B$10))</f>
        <v>25892.946991572378</v>
      </c>
      <c r="N125" s="30">
        <f>IF(N$5&gt;$B125,0,INDEX(Decrements!$G$6:$G$58,Census!$G125+N$5-18)/INDEX(Decrements!$G$6:$G$58,Census!$G125-17)*(INDEX(Decrements!$D$6:$D$58,Census!$G125+N$5-18)+IF(N$5=$B125,INDEX(Decrements!$F$6:$F$58,Census!$G125+N$5-18),0)+INDEX(Decrements!$E$6:$E$58,Census!$G125+N$5-18)*IF((Census!$F125+N$5)&gt;=Assumptions!$B$11,1,0))*MIN(15/26*Census!$D125*(1+Assumptions!$B$9)^N$5*(INT((Census!$F125+N$5))+IF((Census!$F125+N$5)-INT((Census!$F125+N$5))&gt;0.5,1,0)),Assumptions!$B$10))</f>
        <v>17249.736833064682</v>
      </c>
      <c r="O125" s="30">
        <f>IF(O$5&gt;$B125,0,INDEX(Decrements!$G$6:$G$58,Census!$G125+O$5-18)/INDEX(Decrements!$G$6:$G$58,Census!$G125-17)*(INDEX(Decrements!$D$6:$D$58,Census!$G125+O$5-18)+IF(O$5=$B125,INDEX(Decrements!$F$6:$F$58,Census!$G125+O$5-18),0)+INDEX(Decrements!$E$6:$E$58,Census!$G125+O$5-18)*IF((Census!$F125+O$5)&gt;=Assumptions!$B$11,1,0))*MIN(15/26*Census!$D125*(1+Assumptions!$B$9)^O$5*(INT((Census!$F125+O$5))+IF((Census!$F125+O$5)-INT((Census!$F125+O$5))&gt;0.5,1,0)),Assumptions!$B$10))</f>
        <v>18746.905785246585</v>
      </c>
      <c r="P125" s="30">
        <f>IF(P$5&gt;$B125,0,INDEX(Decrements!$G$6:$G$58,Census!$G125+P$5-18)/INDEX(Decrements!$G$6:$G$58,Census!$G125-17)*(INDEX(Decrements!$D$6:$D$58,Census!$G125+P$5-18)+IF(P$5=$B125,INDEX(Decrements!$F$6:$F$58,Census!$G125+P$5-18),0)+INDEX(Decrements!$E$6:$E$58,Census!$G125+P$5-18)*IF((Census!$F125+P$5)&gt;=Assumptions!$B$11,1,0))*MIN(15/26*Census!$D125*(1+Assumptions!$B$9)^P$5*(INT((Census!$F125+P$5))+IF((Census!$F125+P$5)-INT((Census!$F125+P$5))&gt;0.5,1,0)),Assumptions!$B$10))</f>
        <v>20312.697241348073</v>
      </c>
      <c r="Q125" s="30">
        <f>IF(Q$5&gt;$B125,0,INDEX(Decrements!$G$6:$G$58,Census!$G125+Q$5-18)/INDEX(Decrements!$G$6:$G$58,Census!$G125-17)*(INDEX(Decrements!$D$6:$D$58,Census!$G125+Q$5-18)+IF(Q$5=$B125,INDEX(Decrements!$F$6:$F$58,Census!$G125+Q$5-18),0)+INDEX(Decrements!$E$6:$E$58,Census!$G125+Q$5-18)*IF((Census!$F125+Q$5)&gt;=Assumptions!$B$11,1,0))*MIN(15/26*Census!$D125*(1+Assumptions!$B$9)^Q$5*(INT((Census!$F125+Q$5))+IF((Census!$F125+Q$5)-INT((Census!$F125+Q$5))&gt;0.5,1,0)),Assumptions!$B$10))</f>
        <v>21950.138207609361</v>
      </c>
      <c r="R125" s="30">
        <f>IF(R$5&gt;$B125,0,INDEX(Decrements!$G$6:$G$58,Census!$G125+R$5-18)/INDEX(Decrements!$G$6:$G$58,Census!$G125-17)*(INDEX(Decrements!$D$6:$D$58,Census!$G125+R$5-18)+IF(R$5=$B125,INDEX(Decrements!$F$6:$F$58,Census!$G125+R$5-18),0)+INDEX(Decrements!$E$6:$E$58,Census!$G125+R$5-18)*IF((Census!$F125+R$5)&gt;=Assumptions!$B$11,1,0))*MIN(15/26*Census!$D125*(1+Assumptions!$B$9)^R$5*(INT((Census!$F125+R$5))+IF((Census!$F125+R$5)-INT((Census!$F125+R$5))&gt;0.5,1,0)),Assumptions!$B$10))</f>
        <v>23662.434705534117</v>
      </c>
      <c r="S125" s="30">
        <f>IF(S$5&gt;$B125,0,INDEX(Decrements!$G$6:$G$58,Census!$G125+S$5-18)/INDEX(Decrements!$G$6:$G$58,Census!$G125-17)*(INDEX(Decrements!$D$6:$D$58,Census!$G125+S$5-18)+IF(S$5=$B125,INDEX(Decrements!$F$6:$F$58,Census!$G125+S$5-18),0)+INDEX(Decrements!$E$6:$E$58,Census!$G125+S$5-18)*IF((Census!$F125+S$5)&gt;=Assumptions!$B$11,1,0))*MIN(15/26*Census!$D125*(1+Assumptions!$B$9)^S$5*(INT((Census!$F125+S$5))+IF((Census!$F125+S$5)-INT((Census!$F125+S$5))&gt;0.5,1,0)),Assumptions!$B$10))</f>
        <v>15148.150291807728</v>
      </c>
      <c r="T125" s="30">
        <f>IF(T$5&gt;$B125,0,INDEX(Decrements!$G$6:$G$58,Census!$G125+T$5-18)/INDEX(Decrements!$G$6:$G$58,Census!$G125-17)*(INDEX(Decrements!$D$6:$D$58,Census!$G125+T$5-18)+IF(T$5=$B125,INDEX(Decrements!$F$6:$F$58,Census!$G125+T$5-18),0)+INDEX(Decrements!$E$6:$E$58,Census!$G125+T$5-18)*IF((Census!$F125+T$5)&gt;=Assumptions!$B$11,1,0))*MIN(15/26*Census!$D125*(1+Assumptions!$B$9)^T$5*(INT((Census!$F125+T$5))+IF((Census!$F125+T$5)-INT((Census!$F125+T$5))&gt;0.5,1,0)),Assumptions!$B$10))</f>
        <v>14733.516792523526</v>
      </c>
      <c r="U125" s="30">
        <f>IF(U$5&gt;$B125,0,INDEX(Decrements!$G$6:$G$58,Census!$G125+U$5-18)/INDEX(Decrements!$G$6:$G$58,Census!$G125-17)*(INDEX(Decrements!$D$6:$D$58,Census!$G125+U$5-18)+IF(U$5=$B125,INDEX(Decrements!$F$6:$F$58,Census!$G125+U$5-18),0)+INDEX(Decrements!$E$6:$E$58,Census!$G125+U$5-18)*IF((Census!$F125+U$5)&gt;=Assumptions!$B$11,1,0))*MIN(15/26*Census!$D125*(1+Assumptions!$B$9)^U$5*(INT((Census!$F125+U$5))+IF((Census!$F125+U$5)-INT((Census!$F125+U$5))&gt;0.5,1,0)),Assumptions!$B$10))</f>
        <v>14334.318240939157</v>
      </c>
      <c r="V125" s="30">
        <f>IF(V$5&gt;$B125,0,INDEX(Decrements!$G$6:$G$58,Census!$G125+V$5-18)/INDEX(Decrements!$G$6:$G$58,Census!$G125-17)*(INDEX(Decrements!$D$6:$D$58,Census!$G125+V$5-18)+IF(V$5=$B125,INDEX(Decrements!$F$6:$F$58,Census!$G125+V$5-18),0)+INDEX(Decrements!$E$6:$E$58,Census!$G125+V$5-18)*IF((Census!$F125+V$5)&gt;=Assumptions!$B$11,1,0))*MIN(15/26*Census!$D125*(1+Assumptions!$B$9)^V$5*(INT((Census!$F125+V$5))+IF((Census!$F125+V$5)-INT((Census!$F125+V$5))&gt;0.5,1,0)),Assumptions!$B$10))</f>
        <v>13950.239265483206</v>
      </c>
      <c r="W125" s="30">
        <f>IF(W$5&gt;$B125,0,INDEX(Decrements!$G$6:$G$58,Census!$G125+W$5-18)/INDEX(Decrements!$G$6:$G$58,Census!$G125-17)*(INDEX(Decrements!$D$6:$D$58,Census!$G125+W$5-18)+IF(W$5=$B125,INDEX(Decrements!$F$6:$F$58,Census!$G125+W$5-18),0)+INDEX(Decrements!$E$6:$E$58,Census!$G125+W$5-18)*IF((Census!$F125+W$5)&gt;=Assumptions!$B$11,1,0))*MIN(15/26*Census!$D125*(1+Assumptions!$B$9)^W$5*(INT((Census!$F125+W$5))+IF((Census!$F125+W$5)-INT((Census!$F125+W$5))&gt;0.5,1,0)),Assumptions!$B$10))</f>
        <v>13580.978429028084</v>
      </c>
      <c r="X125" s="30">
        <f>IF(X$5&gt;$B125,0,INDEX(Decrements!$G$6:$G$58,Census!$G125+X$5-18)/INDEX(Decrements!$G$6:$G$58,Census!$G125-17)*(INDEX(Decrements!$D$6:$D$58,Census!$G125+X$5-18)+IF(X$5=$B125,INDEX(Decrements!$F$6:$F$58,Census!$G125+X$5-18),0)+INDEX(Decrements!$E$6:$E$58,Census!$G125+X$5-18)*IF((Census!$F125+X$5)&gt;=Assumptions!$B$11,1,0))*MIN(15/26*Census!$D125*(1+Assumptions!$B$9)^X$5*(INT((Census!$F125+X$5))+IF((Census!$F125+X$5)-INT((Census!$F125+X$5))&gt;0.5,1,0)),Assumptions!$B$10))</f>
        <v>9202.129517202402</v>
      </c>
      <c r="Y125" s="30">
        <f>IF(Y$5&gt;$B125,0,INDEX(Decrements!$G$6:$G$58,Census!$G125+Y$5-18)/INDEX(Decrements!$G$6:$G$58,Census!$G125-17)*(INDEX(Decrements!$D$6:$D$58,Census!$G125+Y$5-18)+IF(Y$5=$B125,INDEX(Decrements!$F$6:$F$58,Census!$G125+Y$5-18),0)+INDEX(Decrements!$E$6:$E$58,Census!$G125+Y$5-18)*IF((Census!$F125+Y$5)&gt;=Assumptions!$B$11,1,0))*MIN(15/26*Census!$D125*(1+Assumptions!$B$9)^Y$5*(INT((Census!$F125+Y$5))+IF((Census!$F125+Y$5)-INT((Census!$F125+Y$5))&gt;0.5,1,0)),Assumptions!$B$10))</f>
        <v>9087.220456312667</v>
      </c>
      <c r="Z125" s="30">
        <f>IF(Z$5&gt;$B125,0,INDEX(Decrements!$G$6:$G$58,Census!$G125+Z$5-18)/INDEX(Decrements!$G$6:$G$58,Census!$G125-17)*(INDEX(Decrements!$D$6:$D$58,Census!$G125+Z$5-18)+IF(Z$5=$B125,INDEX(Decrements!$F$6:$F$58,Census!$G125+Z$5-18),0)+INDEX(Decrements!$E$6:$E$58,Census!$G125+Z$5-18)*IF((Census!$F125+Z$5)&gt;=Assumptions!$B$11,1,0))*MIN(15/26*Census!$D125*(1+Assumptions!$B$9)^Z$5*(INT((Census!$F125+Z$5))+IF((Census!$F125+Z$5)-INT((Census!$F125+Z$5))&gt;0.5,1,0)),Assumptions!$B$10))</f>
        <v>8979.8039427446183</v>
      </c>
      <c r="AA125" s="30">
        <f>IF(AA$5&gt;$B125,0,INDEX(Decrements!$G$6:$G$58,Census!$G125+AA$5-18)/INDEX(Decrements!$G$6:$G$58,Census!$G125-17)*(INDEX(Decrements!$D$6:$D$58,Census!$G125+AA$5-18)+IF(AA$5=$B125,INDEX(Decrements!$F$6:$F$58,Census!$G125+AA$5-18),0)+INDEX(Decrements!$E$6:$E$58,Census!$G125+AA$5-18)*IF((Census!$F125+AA$5)&gt;=Assumptions!$B$11,1,0))*MIN(15/26*Census!$D125*(1+Assumptions!$B$9)^AA$5*(INT((Census!$F125+AA$5))+IF((Census!$F125+AA$5)-INT((Census!$F125+AA$5))&gt;0.5,1,0)),Assumptions!$B$10))</f>
        <v>8880.0378592498673</v>
      </c>
      <c r="AB125" s="30">
        <f>IF(AB$5&gt;$B125,0,INDEX(Decrements!$G$6:$G$58,Census!$G125+AB$5-18)/INDEX(Decrements!$G$6:$G$58,Census!$G125-17)*(INDEX(Decrements!$D$6:$D$58,Census!$G125+AB$5-18)+IF(AB$5=$B125,INDEX(Decrements!$F$6:$F$58,Census!$G125+AB$5-18),0)+INDEX(Decrements!$E$6:$E$58,Census!$G125+AB$5-18)*IF((Census!$F125+AB$5)&gt;=Assumptions!$B$11,1,0))*MIN(15/26*Census!$D125*(1+Assumptions!$B$9)^AB$5*(INT((Census!$F125+AB$5))+IF((Census!$F125+AB$5)-INT((Census!$F125+AB$5))&gt;0.5,1,0)),Assumptions!$B$10))</f>
        <v>8788.0852986952104</v>
      </c>
      <c r="AC125" s="30">
        <f>IF(AC$5&gt;$B125,0,INDEX(Decrements!$G$6:$G$58,Census!$G125+AC$5-18)/INDEX(Decrements!$G$6:$G$58,Census!$G125-17)*(INDEX(Decrements!$D$6:$D$58,Census!$G125+AC$5-18)+IF(AC$5=$B125,INDEX(Decrements!$F$6:$F$58,Census!$G125+AC$5-18),0)+INDEX(Decrements!$E$6:$E$58,Census!$G125+AC$5-18)*IF((Census!$F125+AC$5)&gt;=Assumptions!$B$11,1,0))*MIN(15/26*Census!$D125*(1+Assumptions!$B$9)^AC$5*(INT((Census!$F125+AC$5))+IF((Census!$F125+AC$5)-INT((Census!$F125+AC$5))&gt;0.5,1,0)),Assumptions!$B$10))</f>
        <v>5133.4566598202482</v>
      </c>
      <c r="AD125" s="30">
        <f>IF(AD$5&gt;$B125,0,INDEX(Decrements!$G$6:$G$58,Census!$G125+AD$5-18)/INDEX(Decrements!$G$6:$G$58,Census!$G125-17)*(INDEX(Decrements!$D$6:$D$58,Census!$G125+AD$5-18)+IF(AD$5=$B125,INDEX(Decrements!$F$6:$F$58,Census!$G125+AD$5-18),0)+INDEX(Decrements!$E$6:$E$58,Census!$G125+AD$5-18)*IF((Census!$F125+AD$5)&gt;=Assumptions!$B$11,1,0))*MIN(15/26*Census!$D125*(1+Assumptions!$B$9)^AD$5*(INT((Census!$F125+AD$5))+IF((Census!$F125+AD$5)-INT((Census!$F125+AD$5))&gt;0.5,1,0)),Assumptions!$B$10))</f>
        <v>5198.1807074972949</v>
      </c>
      <c r="AE125" s="30">
        <f>IF(AE$5&gt;$B125,0,INDEX(Decrements!$G$6:$G$58,Census!$G125+AE$5-18)/INDEX(Decrements!$G$6:$G$58,Census!$G125-17)*(INDEX(Decrements!$D$6:$D$58,Census!$G125+AE$5-18)+IF(AE$5=$B125,INDEX(Decrements!$F$6:$F$58,Census!$G125+AE$5-18),0)+INDEX(Decrements!$E$6:$E$58,Census!$G125+AE$5-18)*IF((Census!$F125+AE$5)&gt;=Assumptions!$B$11,1,0))*MIN(15/26*Census!$D125*(1+Assumptions!$B$9)^AE$5*(INT((Census!$F125+AE$5))+IF((Census!$F125+AE$5)-INT((Census!$F125+AE$5))&gt;0.5,1,0)),Assumptions!$B$10))</f>
        <v>5271.4685365073301</v>
      </c>
      <c r="AF125" s="30">
        <f>IF(AF$5&gt;$B125,0,INDEX(Decrements!$G$6:$G$58,Census!$G125+AF$5-18)/INDEX(Decrements!$G$6:$G$58,Census!$G125-17)*(INDEX(Decrements!$D$6:$D$58,Census!$G125+AF$5-18)+IF(AF$5=$B125,INDEX(Decrements!$F$6:$F$58,Census!$G125+AF$5-18),0)+INDEX(Decrements!$E$6:$E$58,Census!$G125+AF$5-18)*IF((Census!$F125+AF$5)&gt;=Assumptions!$B$11,1,0))*MIN(15/26*Census!$D125*(1+Assumptions!$B$9)^AF$5*(INT((Census!$F125+AF$5))+IF((Census!$F125+AF$5)-INT((Census!$F125+AF$5))&gt;0.5,1,0)),Assumptions!$B$10))</f>
        <v>5353.8182487550612</v>
      </c>
      <c r="AG125" s="30">
        <f>IF(AG$5&gt;$B125,0,INDEX(Decrements!$G$6:$G$58,Census!$G125+AG$5-18)/INDEX(Decrements!$G$6:$G$58,Census!$G125-17)*(INDEX(Decrements!$D$6:$D$58,Census!$G125+AG$5-18)+IF(AG$5=$B125,INDEX(Decrements!$F$6:$F$58,Census!$G125+AG$5-18),0)+INDEX(Decrements!$E$6:$E$58,Census!$G125+AG$5-18)*IF((Census!$F125+AG$5)&gt;=Assumptions!$B$11,1,0))*MIN(15/26*Census!$D125*(1+Assumptions!$B$9)^AG$5*(INT((Census!$F125+AG$5))+IF((Census!$F125+AG$5)-INT((Census!$F125+AG$5))&gt;0.5,1,0)),Assumptions!$B$10))</f>
        <v>337671.4546501594</v>
      </c>
      <c r="AH125" s="30">
        <f>IF(AH$5&gt;$B125,0,INDEX(Decrements!$G$6:$G$58,Census!$G125+AH$5-18)/INDEX(Decrements!$G$6:$G$58,Census!$G125-17)*(INDEX(Decrements!$D$6:$D$58,Census!$G125+AH$5-18)+IF(AH$5=$B125,INDEX(Decrements!$F$6:$F$58,Census!$G125+AH$5-18),0)+INDEX(Decrements!$E$6:$E$58,Census!$G125+AH$5-18)*IF((Census!$F125+AH$5)&gt;=Assumptions!$B$11,1,0))*MIN(15/26*Census!$D125*(1+Assumptions!$B$9)^AH$5*(INT((Census!$F125+AH$5))+IF((Census!$F125+AH$5)-INT((Census!$F125+AH$5))&gt;0.5,1,0)),Assumptions!$B$10))</f>
        <v>0</v>
      </c>
      <c r="AI125" s="30">
        <f>IF(AI$5&gt;$B125,0,INDEX(Decrements!$G$6:$G$58,Census!$G125+AI$5-18)/INDEX(Decrements!$G$6:$G$58,Census!$G125-17)*(INDEX(Decrements!$D$6:$D$58,Census!$G125+AI$5-18)+IF(AI$5=$B125,INDEX(Decrements!$F$6:$F$58,Census!$G125+AI$5-18),0)+INDEX(Decrements!$E$6:$E$58,Census!$G125+AI$5-18)*IF((Census!$F125+AI$5)&gt;=Assumptions!$B$11,1,0))*MIN(15/26*Census!$D125*(1+Assumptions!$B$9)^AI$5*(INT((Census!$F125+AI$5))+IF((Census!$F125+AI$5)-INT((Census!$F125+AI$5))&gt;0.5,1,0)),Assumptions!$B$10))</f>
        <v>0</v>
      </c>
      <c r="AJ125" s="30">
        <f>IF(AJ$5&gt;$B125,0,INDEX(Decrements!$G$6:$G$58,Census!$G125+AJ$5-18)/INDEX(Decrements!$G$6:$G$58,Census!$G125-17)*(INDEX(Decrements!$D$6:$D$58,Census!$G125+AJ$5-18)+IF(AJ$5=$B125,INDEX(Decrements!$F$6:$F$58,Census!$G125+AJ$5-18),0)+INDEX(Decrements!$E$6:$E$58,Census!$G125+AJ$5-18)*IF((Census!$F125+AJ$5)&gt;=Assumptions!$B$11,1,0))*MIN(15/26*Census!$D125*(1+Assumptions!$B$9)^AJ$5*(INT((Census!$F125+AJ$5))+IF((Census!$F125+AJ$5)-INT((Census!$F125+AJ$5))&gt;0.5,1,0)),Assumptions!$B$10))</f>
        <v>0</v>
      </c>
      <c r="AK125" s="30">
        <f>IF(AK$5&gt;$B125,0,INDEX(Decrements!$G$6:$G$58,Census!$G125+AK$5-18)/INDEX(Decrements!$G$6:$G$58,Census!$G125-17)*(INDEX(Decrements!$D$6:$D$58,Census!$G125+AK$5-18)+IF(AK$5=$B125,INDEX(Decrements!$F$6:$F$58,Census!$G125+AK$5-18),0)+INDEX(Decrements!$E$6:$E$58,Census!$G125+AK$5-18)*IF((Census!$F125+AK$5)&gt;=Assumptions!$B$11,1,0))*MIN(15/26*Census!$D125*(1+Assumptions!$B$9)^AK$5*(INT((Census!$F125+AK$5))+IF((Census!$F125+AK$5)-INT((Census!$F125+AK$5))&gt;0.5,1,0)),Assumptions!$B$10))</f>
        <v>0</v>
      </c>
      <c r="AL125" s="30">
        <f>IF(AL$5&gt;$B125,0,INDEX(Decrements!$G$6:$G$58,Census!$G125+AL$5-18)/INDEX(Decrements!$G$6:$G$58,Census!$G125-17)*(INDEX(Decrements!$D$6:$D$58,Census!$G125+AL$5-18)+IF(AL$5=$B125,INDEX(Decrements!$F$6:$F$58,Census!$G125+AL$5-18),0)+INDEX(Decrements!$E$6:$E$58,Census!$G125+AL$5-18)*IF((Census!$F125+AL$5)&gt;=Assumptions!$B$11,1,0))*MIN(15/26*Census!$D125*(1+Assumptions!$B$9)^AL$5*(INT((Census!$F125+AL$5))+IF((Census!$F125+AL$5)-INT((Census!$F125+AL$5))&gt;0.5,1,0)),Assumptions!$B$10))</f>
        <v>0</v>
      </c>
      <c r="AM125" s="30">
        <f>IF(AM$5&gt;$B125,0,INDEX(Decrements!$G$6:$G$58,Census!$G125+AM$5-18)/INDEX(Decrements!$G$6:$G$58,Census!$G125-17)*(INDEX(Decrements!$D$6:$D$58,Census!$G125+AM$5-18)+IF(AM$5=$B125,INDEX(Decrements!$F$6:$F$58,Census!$G125+AM$5-18),0)+INDEX(Decrements!$E$6:$E$58,Census!$G125+AM$5-18)*IF((Census!$F125+AM$5)&gt;=Assumptions!$B$11,1,0))*MIN(15/26*Census!$D125*(1+Assumptions!$B$9)^AM$5*(INT((Census!$F125+AM$5))+IF((Census!$F125+AM$5)-INT((Census!$F125+AM$5))&gt;0.5,1,0)),Assumptions!$B$10))</f>
        <v>0</v>
      </c>
      <c r="AN125" s="30">
        <f>IF(AN$5&gt;$B125,0,INDEX(Decrements!$G$6:$G$58,Census!$G125+AN$5-18)/INDEX(Decrements!$G$6:$G$58,Census!$G125-17)*(INDEX(Decrements!$D$6:$D$58,Census!$G125+AN$5-18)+IF(AN$5=$B125,INDEX(Decrements!$F$6:$F$58,Census!$G125+AN$5-18),0)+INDEX(Decrements!$E$6:$E$58,Census!$G125+AN$5-18)*IF((Census!$F125+AN$5)&gt;=Assumptions!$B$11,1,0))*MIN(15/26*Census!$D125*(1+Assumptions!$B$9)^AN$5*(INT((Census!$F125+AN$5))+IF((Census!$F125+AN$5)-INT((Census!$F125+AN$5))&gt;0.5,1,0)),Assumptions!$B$10))</f>
        <v>0</v>
      </c>
      <c r="AO125" s="30">
        <f>IF(AO$5&gt;$B125,0,INDEX(Decrements!$G$6:$G$58,Census!$G125+AO$5-18)/INDEX(Decrements!$G$6:$G$58,Census!$G125-17)*(INDEX(Decrements!$D$6:$D$58,Census!$G125+AO$5-18)+IF(AO$5=$B125,INDEX(Decrements!$F$6:$F$58,Census!$G125+AO$5-18),0)+INDEX(Decrements!$E$6:$E$58,Census!$G125+AO$5-18)*IF((Census!$F125+AO$5)&gt;=Assumptions!$B$11,1,0))*MIN(15/26*Census!$D125*(1+Assumptions!$B$9)^AO$5*(INT((Census!$F125+AO$5))+IF((Census!$F125+AO$5)-INT((Census!$F125+AO$5))&gt;0.5,1,0)),Assumptions!$B$10))</f>
        <v>0</v>
      </c>
      <c r="AP125" s="30">
        <f>IF(AP$5&gt;$B125,0,INDEX(Decrements!$G$6:$G$58,Census!$G125+AP$5-18)/INDEX(Decrements!$G$6:$G$58,Census!$G125-17)*(INDEX(Decrements!$D$6:$D$58,Census!$G125+AP$5-18)+IF(AP$5=$B125,INDEX(Decrements!$F$6:$F$58,Census!$G125+AP$5-18),0)+INDEX(Decrements!$E$6:$E$58,Census!$G125+AP$5-18)*IF((Census!$F125+AP$5)&gt;=Assumptions!$B$11,1,0))*MIN(15/26*Census!$D125*(1+Assumptions!$B$9)^AP$5*(INT((Census!$F125+AP$5))+IF((Census!$F125+AP$5)-INT((Census!$F125+AP$5))&gt;0.5,1,0)),Assumptions!$B$10))</f>
        <v>0</v>
      </c>
      <c r="AQ125" s="30">
        <f>IF(AQ$5&gt;$B125,0,INDEX(Decrements!$G$6:$G$58,Census!$G125+AQ$5-18)/INDEX(Decrements!$G$6:$G$58,Census!$G125-17)*(INDEX(Decrements!$D$6:$D$58,Census!$G125+AQ$5-18)+IF(AQ$5=$B125,INDEX(Decrements!$F$6:$F$58,Census!$G125+AQ$5-18),0)+INDEX(Decrements!$E$6:$E$58,Census!$G125+AQ$5-18)*IF((Census!$F125+AQ$5)&gt;=Assumptions!$B$11,1,0))*MIN(15/26*Census!$D125*(1+Assumptions!$B$9)^AQ$5*(INT((Census!$F125+AQ$5))+IF((Census!$F125+AQ$5)-INT((Census!$F125+AQ$5))&gt;0.5,1,0)),Assumptions!$B$10))</f>
        <v>0</v>
      </c>
      <c r="AR125" s="30">
        <f>IF(AR$5&gt;$B125,0,INDEX(Decrements!$G$6:$G$58,Census!$G125+AR$5-18)/INDEX(Decrements!$G$6:$G$58,Census!$G125-17)*(INDEX(Decrements!$D$6:$D$58,Census!$G125+AR$5-18)+IF(AR$5=$B125,INDEX(Decrements!$F$6:$F$58,Census!$G125+AR$5-18),0)+INDEX(Decrements!$E$6:$E$58,Census!$G125+AR$5-18)*IF((Census!$F125+AR$5)&gt;=Assumptions!$B$11,1,0))*MIN(15/26*Census!$D125*(1+Assumptions!$B$9)^AR$5*(INT((Census!$F125+AR$5))+IF((Census!$F125+AR$5)-INT((Census!$F125+AR$5))&gt;0.5,1,0)),Assumptions!$B$10))</f>
        <v>0</v>
      </c>
      <c r="AS125" s="30">
        <f>IF(AS$5&gt;$B125,0,INDEX(Decrements!$G$6:$G$58,Census!$G125+AS$5-18)/INDEX(Decrements!$G$6:$G$58,Census!$G125-17)*(INDEX(Decrements!$D$6:$D$58,Census!$G125+AS$5-18)+IF(AS$5=$B125,INDEX(Decrements!$F$6:$F$58,Census!$G125+AS$5-18),0)+INDEX(Decrements!$E$6:$E$58,Census!$G125+AS$5-18)*IF((Census!$F125+AS$5)&gt;=Assumptions!$B$11,1,0))*MIN(15/26*Census!$D125*(1+Assumptions!$B$9)^AS$5*(INT((Census!$F125+AS$5))+IF((Census!$F125+AS$5)-INT((Census!$F125+AS$5))&gt;0.5,1,0)),Assumptions!$B$10))</f>
        <v>0</v>
      </c>
      <c r="AT125" s="30">
        <f>IF(AT$5&gt;$B125,0,INDEX(Decrements!$G$6:$G$58,Census!$G125+AT$5-18)/INDEX(Decrements!$G$6:$G$58,Census!$G125-17)*(INDEX(Decrements!$D$6:$D$58,Census!$G125+AT$5-18)+IF(AT$5=$B125,INDEX(Decrements!$F$6:$F$58,Census!$G125+AT$5-18),0)+INDEX(Decrements!$E$6:$E$58,Census!$G125+AT$5-18)*IF((Census!$F125+AT$5)&gt;=Assumptions!$B$11,1,0))*MIN(15/26*Census!$D125*(1+Assumptions!$B$9)^AT$5*(INT((Census!$F125+AT$5))+IF((Census!$F125+AT$5)-INT((Census!$F125+AT$5))&gt;0.5,1,0)),Assumptions!$B$10))</f>
        <v>0</v>
      </c>
      <c r="AU125" s="30">
        <f>IF(AU$5&gt;$B125,0,INDEX(Decrements!$G$6:$G$58,Census!$G125+AU$5-18)/INDEX(Decrements!$G$6:$G$58,Census!$G125-17)*(INDEX(Decrements!$D$6:$D$58,Census!$G125+AU$5-18)+IF(AU$5=$B125,INDEX(Decrements!$F$6:$F$58,Census!$G125+AU$5-18),0)+INDEX(Decrements!$E$6:$E$58,Census!$G125+AU$5-18)*IF((Census!$F125+AU$5)&gt;=Assumptions!$B$11,1,0))*MIN(15/26*Census!$D125*(1+Assumptions!$B$9)^AU$5*(INT((Census!$F125+AU$5))+IF((Census!$F125+AU$5)-INT((Census!$F125+AU$5))&gt;0.5,1,0)),Assumptions!$B$10))</f>
        <v>0</v>
      </c>
    </row>
    <row r="126" spans="1:47" x14ac:dyDescent="0.3">
      <c r="A126" s="10" t="str">
        <f>Census!A126</f>
        <v>E121</v>
      </c>
      <c r="B126" s="29">
        <f>Census!H126</f>
        <v>36</v>
      </c>
      <c r="C126" s="30">
        <f>IF(C$5&gt;$B126,0,INDEX(Decrements!$G$6:$G$58,Census!$G126+C$5-18)/INDEX(Decrements!$G$6:$G$58,Census!$G126-17)*(INDEX(Decrements!$D$6:$D$58,Census!$G126+C$5-18)+IF(C$5=$B126,INDEX(Decrements!$F$6:$F$58,Census!$G126+C$5-18),0)+INDEX(Decrements!$E$6:$E$58,Census!$G126+C$5-18)*IF((Census!$F126+C$5)&gt;=Assumptions!$B$11,1,0))*MIN(15/26*Census!$D126*(1+Assumptions!$B$9)^C$5*(INT((Census!$F126+C$5))+IF((Census!$F126+C$5)-INT((Census!$F126+C$5))&gt;0.5,1,0)),Assumptions!$B$10))</f>
        <v>22.855308184558169</v>
      </c>
      <c r="D126" s="30">
        <f>IF(D$5&gt;$B126,0,INDEX(Decrements!$G$6:$G$58,Census!$G126+D$5-18)/INDEX(Decrements!$G$6:$G$58,Census!$G126-17)*(INDEX(Decrements!$D$6:$D$58,Census!$G126+D$5-18)+IF(D$5=$B126,INDEX(Decrements!$F$6:$F$58,Census!$G126+D$5-18),0)+INDEX(Decrements!$E$6:$E$58,Census!$G126+D$5-18)*IF((Census!$F126+D$5)&gt;=Assumptions!$B$11,1,0))*MIN(15/26*Census!$D126*(1+Assumptions!$B$9)^D$5*(INT((Census!$F126+D$5))+IF((Census!$F126+D$5)-INT((Census!$F126+D$5))&gt;0.5,1,0)),Assumptions!$B$10))</f>
        <v>27.965334449301075</v>
      </c>
      <c r="E126" s="30">
        <f>IF(E$5&gt;$B126,0,INDEX(Decrements!$G$6:$G$58,Census!$G126+E$5-18)/INDEX(Decrements!$G$6:$G$58,Census!$G126-17)*(INDEX(Decrements!$D$6:$D$58,Census!$G126+E$5-18)+IF(E$5=$B126,INDEX(Decrements!$F$6:$F$58,Census!$G126+E$5-18),0)+INDEX(Decrements!$E$6:$E$58,Census!$G126+E$5-18)*IF((Census!$F126+E$5)&gt;=Assumptions!$B$11,1,0))*MIN(15/26*Census!$D126*(1+Assumptions!$B$9)^E$5*(INT((Census!$F126+E$5))+IF((Census!$F126+E$5)-INT((Census!$F126+E$5))&gt;0.5,1,0)),Assumptions!$B$10))</f>
        <v>33.231951692584879</v>
      </c>
      <c r="F126" s="30">
        <f>IF(F$5&gt;$B126,0,INDEX(Decrements!$G$6:$G$58,Census!$G126+F$5-18)/INDEX(Decrements!$G$6:$G$58,Census!$G126-17)*(INDEX(Decrements!$D$6:$D$58,Census!$G126+F$5-18)+IF(F$5=$B126,INDEX(Decrements!$F$6:$F$58,Census!$G126+F$5-18),0)+INDEX(Decrements!$E$6:$E$58,Census!$G126+F$5-18)*IF((Census!$F126+F$5)&gt;=Assumptions!$B$11,1,0))*MIN(15/26*Census!$D126*(1+Assumptions!$B$9)^F$5*(INT((Census!$F126+F$5))+IF((Census!$F126+F$5)-INT((Census!$F126+F$5))&gt;0.5,1,0)),Assumptions!$B$10))</f>
        <v>9163.6971334895079</v>
      </c>
      <c r="G126" s="30">
        <f>IF(G$5&gt;$B126,0,INDEX(Decrements!$G$6:$G$58,Census!$G126+G$5-18)/INDEX(Decrements!$G$6:$G$58,Census!$G126-17)*(INDEX(Decrements!$D$6:$D$58,Census!$G126+G$5-18)+IF(G$5=$B126,INDEX(Decrements!$F$6:$F$58,Census!$G126+G$5-18),0)+INDEX(Decrements!$E$6:$E$58,Census!$G126+G$5-18)*IF((Census!$F126+G$5)&gt;=Assumptions!$B$11,1,0))*MIN(15/26*Census!$D126*(1+Assumptions!$B$9)^G$5*(INT((Census!$F126+G$5))+IF((Census!$F126+G$5)-INT((Census!$F126+G$5))&gt;0.5,1,0)),Assumptions!$B$10))</f>
        <v>9809.2182598555337</v>
      </c>
      <c r="H126" s="30">
        <f>IF(H$5&gt;$B126,0,INDEX(Decrements!$G$6:$G$58,Census!$G126+H$5-18)/INDEX(Decrements!$G$6:$G$58,Census!$G126-17)*(INDEX(Decrements!$D$6:$D$58,Census!$G126+H$5-18)+IF(H$5=$B126,INDEX(Decrements!$F$6:$F$58,Census!$G126+H$5-18),0)+INDEX(Decrements!$E$6:$E$58,Census!$G126+H$5-18)*IF((Census!$F126+H$5)&gt;=Assumptions!$B$11,1,0))*MIN(15/26*Census!$D126*(1+Assumptions!$B$9)^H$5*(INT((Census!$F126+H$5))+IF((Census!$F126+H$5)-INT((Census!$F126+H$5))&gt;0.5,1,0)),Assumptions!$B$10))</f>
        <v>10285.79829894073</v>
      </c>
      <c r="I126" s="30">
        <f>IF(I$5&gt;$B126,0,INDEX(Decrements!$G$6:$G$58,Census!$G126+I$5-18)/INDEX(Decrements!$G$6:$G$58,Census!$G126-17)*(INDEX(Decrements!$D$6:$D$58,Census!$G126+I$5-18)+IF(I$5=$B126,INDEX(Decrements!$F$6:$F$58,Census!$G126+I$5-18),0)+INDEX(Decrements!$E$6:$E$58,Census!$G126+I$5-18)*IF((Census!$F126+I$5)&gt;=Assumptions!$B$11,1,0))*MIN(15/26*Census!$D126*(1+Assumptions!$B$9)^I$5*(INT((Census!$F126+I$5))+IF((Census!$F126+I$5)-INT((Census!$F126+I$5))&gt;0.5,1,0)),Assumptions!$B$10))</f>
        <v>7800.0963892718473</v>
      </c>
      <c r="J126" s="30">
        <f>IF(J$5&gt;$B126,0,INDEX(Decrements!$G$6:$G$58,Census!$G126+J$5-18)/INDEX(Decrements!$G$6:$G$58,Census!$G126-17)*(INDEX(Decrements!$D$6:$D$58,Census!$G126+J$5-18)+IF(J$5=$B126,INDEX(Decrements!$F$6:$F$58,Census!$G126+J$5-18),0)+INDEX(Decrements!$E$6:$E$58,Census!$G126+J$5-18)*IF((Census!$F126+J$5)&gt;=Assumptions!$B$11,1,0))*MIN(15/26*Census!$D126*(1+Assumptions!$B$9)^J$5*(INT((Census!$F126+J$5))+IF((Census!$F126+J$5)-INT((Census!$F126+J$5))&gt;0.5,1,0)),Assumptions!$B$10))</f>
        <v>8326.5718579156892</v>
      </c>
      <c r="K126" s="30">
        <f>IF(K$5&gt;$B126,0,INDEX(Decrements!$G$6:$G$58,Census!$G126+K$5-18)/INDEX(Decrements!$G$6:$G$58,Census!$G126-17)*(INDEX(Decrements!$D$6:$D$58,Census!$G126+K$5-18)+IF(K$5=$B126,INDEX(Decrements!$F$6:$F$58,Census!$G126+K$5-18),0)+INDEX(Decrements!$E$6:$E$58,Census!$G126+K$5-18)*IF((Census!$F126+K$5)&gt;=Assumptions!$B$11,1,0))*MIN(15/26*Census!$D126*(1+Assumptions!$B$9)^K$5*(INT((Census!$F126+K$5))+IF((Census!$F126+K$5)-INT((Census!$F126+K$5))&gt;0.5,1,0)),Assumptions!$B$10))</f>
        <v>8799.6321546283798</v>
      </c>
      <c r="L126" s="30">
        <f>IF(L$5&gt;$B126,0,INDEX(Decrements!$G$6:$G$58,Census!$G126+L$5-18)/INDEX(Decrements!$G$6:$G$58,Census!$G126-17)*(INDEX(Decrements!$D$6:$D$58,Census!$G126+L$5-18)+IF(L$5=$B126,INDEX(Decrements!$F$6:$F$58,Census!$G126+L$5-18),0)+INDEX(Decrements!$E$6:$E$58,Census!$G126+L$5-18)*IF((Census!$F126+L$5)&gt;=Assumptions!$B$11,1,0))*MIN(15/26*Census!$D126*(1+Assumptions!$B$9)^L$5*(INT((Census!$F126+L$5))+IF((Census!$F126+L$5)-INT((Census!$F126+L$5))&gt;0.5,1,0)),Assumptions!$B$10))</f>
        <v>9222.6382426185319</v>
      </c>
      <c r="M126" s="30">
        <f>IF(M$5&gt;$B126,0,INDEX(Decrements!$G$6:$G$58,Census!$G126+M$5-18)/INDEX(Decrements!$G$6:$G$58,Census!$G126-17)*(INDEX(Decrements!$D$6:$D$58,Census!$G126+M$5-18)+IF(M$5=$B126,INDEX(Decrements!$F$6:$F$58,Census!$G126+M$5-18),0)+INDEX(Decrements!$E$6:$E$58,Census!$G126+M$5-18)*IF((Census!$F126+M$5)&gt;=Assumptions!$B$11,1,0))*MIN(15/26*Census!$D126*(1+Assumptions!$B$9)^M$5*(INT((Census!$F126+M$5))+IF((Census!$F126+M$5)-INT((Census!$F126+M$5))&gt;0.5,1,0)),Assumptions!$B$10))</f>
        <v>9598.7683026693303</v>
      </c>
      <c r="N126" s="30">
        <f>IF(N$5&gt;$B126,0,INDEX(Decrements!$G$6:$G$58,Census!$G126+N$5-18)/INDEX(Decrements!$G$6:$G$58,Census!$G126-17)*(INDEX(Decrements!$D$6:$D$58,Census!$G126+N$5-18)+IF(N$5=$B126,INDEX(Decrements!$F$6:$F$58,Census!$G126+N$5-18),0)+INDEX(Decrements!$E$6:$E$58,Census!$G126+N$5-18)*IF((Census!$F126+N$5)&gt;=Assumptions!$B$11,1,0))*MIN(15/26*Census!$D126*(1+Assumptions!$B$9)^N$5*(INT((Census!$F126+N$5))+IF((Census!$F126+N$5)-INT((Census!$F126+N$5))&gt;0.5,1,0)),Assumptions!$B$10))</f>
        <v>7246.7283672943076</v>
      </c>
      <c r="O126" s="30">
        <f>IF(O$5&gt;$B126,0,INDEX(Decrements!$G$6:$G$58,Census!$G126+O$5-18)/INDEX(Decrements!$G$6:$G$58,Census!$G126-17)*(INDEX(Decrements!$D$6:$D$58,Census!$G126+O$5-18)+IF(O$5=$B126,INDEX(Decrements!$F$6:$F$58,Census!$G126+O$5-18),0)+INDEX(Decrements!$E$6:$E$58,Census!$G126+O$5-18)*IF((Census!$F126+O$5)&gt;=Assumptions!$B$11,1,0))*MIN(15/26*Census!$D126*(1+Assumptions!$B$9)^O$5*(INT((Census!$F126+O$5))+IF((Census!$F126+O$5)-INT((Census!$F126+O$5))&gt;0.5,1,0)),Assumptions!$B$10))</f>
        <v>7712.1910607836862</v>
      </c>
      <c r="P126" s="30">
        <f>IF(P$5&gt;$B126,0,INDEX(Decrements!$G$6:$G$58,Census!$G126+P$5-18)/INDEX(Decrements!$G$6:$G$58,Census!$G126-17)*(INDEX(Decrements!$D$6:$D$58,Census!$G126+P$5-18)+IF(P$5=$B126,INDEX(Decrements!$F$6:$F$58,Census!$G126+P$5-18),0)+INDEX(Decrements!$E$6:$E$58,Census!$G126+P$5-18)*IF((Census!$F126+P$5)&gt;=Assumptions!$B$11,1,0))*MIN(15/26*Census!$D126*(1+Assumptions!$B$9)^P$5*(INT((Census!$F126+P$5))+IF((Census!$F126+P$5)-INT((Census!$F126+P$5))&gt;0.5,1,0)),Assumptions!$B$10))</f>
        <v>8171.1334648311722</v>
      </c>
      <c r="Q126" s="30">
        <f>IF(Q$5&gt;$B126,0,INDEX(Decrements!$G$6:$G$58,Census!$G126+Q$5-18)/INDEX(Decrements!$G$6:$G$58,Census!$G126-17)*(INDEX(Decrements!$D$6:$D$58,Census!$G126+Q$5-18)+IF(Q$5=$B126,INDEX(Decrements!$F$6:$F$58,Census!$G126+Q$5-18),0)+INDEX(Decrements!$E$6:$E$58,Census!$G126+Q$5-18)*IF((Census!$F126+Q$5)&gt;=Assumptions!$B$11,1,0))*MIN(15/26*Census!$D126*(1+Assumptions!$B$9)^Q$5*(INT((Census!$F126+Q$5))+IF((Census!$F126+Q$5)-INT((Census!$F126+Q$5))&gt;0.5,1,0)),Assumptions!$B$10))</f>
        <v>8623.6384735858755</v>
      </c>
      <c r="R126" s="30">
        <f>IF(R$5&gt;$B126,0,INDEX(Decrements!$G$6:$G$58,Census!$G126+R$5-18)/INDEX(Decrements!$G$6:$G$58,Census!$G126-17)*(INDEX(Decrements!$D$6:$D$58,Census!$G126+R$5-18)+IF(R$5=$B126,INDEX(Decrements!$F$6:$F$58,Census!$G126+R$5-18),0)+INDEX(Decrements!$E$6:$E$58,Census!$G126+R$5-18)*IF((Census!$F126+R$5)&gt;=Assumptions!$B$11,1,0))*MIN(15/26*Census!$D126*(1+Assumptions!$B$9)^R$5*(INT((Census!$F126+R$5))+IF((Census!$F126+R$5)-INT((Census!$F126+R$5))&gt;0.5,1,0)),Assumptions!$B$10))</f>
        <v>9069.7895508465681</v>
      </c>
      <c r="S126" s="30">
        <f>IF(S$5&gt;$B126,0,INDEX(Decrements!$G$6:$G$58,Census!$G126+S$5-18)/INDEX(Decrements!$G$6:$G$58,Census!$G126-17)*(INDEX(Decrements!$D$6:$D$58,Census!$G126+S$5-18)+IF(S$5=$B126,INDEX(Decrements!$F$6:$F$58,Census!$G126+S$5-18),0)+INDEX(Decrements!$E$6:$E$58,Census!$G126+S$5-18)*IF((Census!$F126+S$5)&gt;=Assumptions!$B$11,1,0))*MIN(15/26*Census!$D126*(1+Assumptions!$B$9)^S$5*(INT((Census!$F126+S$5))+IF((Census!$F126+S$5)-INT((Census!$F126+S$5))&gt;0.5,1,0)),Assumptions!$B$10))</f>
        <v>6002.7514142100572</v>
      </c>
      <c r="T126" s="30">
        <f>IF(T$5&gt;$B126,0,INDEX(Decrements!$G$6:$G$58,Census!$G126+T$5-18)/INDEX(Decrements!$G$6:$G$58,Census!$G126-17)*(INDEX(Decrements!$D$6:$D$58,Census!$G126+T$5-18)+IF(T$5=$B126,INDEX(Decrements!$F$6:$F$58,Census!$G126+T$5-18),0)+INDEX(Decrements!$E$6:$E$58,Census!$G126+T$5-18)*IF((Census!$F126+T$5)&gt;=Assumptions!$B$11,1,0))*MIN(15/26*Census!$D126*(1+Assumptions!$B$9)^T$5*(INT((Census!$F126+T$5))+IF((Census!$F126+T$5)-INT((Census!$F126+T$5))&gt;0.5,1,0)),Assumptions!$B$10))</f>
        <v>6485.6019827349264</v>
      </c>
      <c r="U126" s="30">
        <f>IF(U$5&gt;$B126,0,INDEX(Decrements!$G$6:$G$58,Census!$G126+U$5-18)/INDEX(Decrements!$G$6:$G$58,Census!$G126-17)*(INDEX(Decrements!$D$6:$D$58,Census!$G126+U$5-18)+IF(U$5=$B126,INDEX(Decrements!$F$6:$F$58,Census!$G126+U$5-18),0)+INDEX(Decrements!$E$6:$E$58,Census!$G126+U$5-18)*IF((Census!$F126+U$5)&gt;=Assumptions!$B$11,1,0))*MIN(15/26*Census!$D126*(1+Assumptions!$B$9)^U$5*(INT((Census!$F126+U$5))+IF((Census!$F126+U$5)-INT((Census!$F126+U$5))&gt;0.5,1,0)),Assumptions!$B$10))</f>
        <v>6990.3109461110871</v>
      </c>
      <c r="V126" s="30">
        <f>IF(V$5&gt;$B126,0,INDEX(Decrements!$G$6:$G$58,Census!$G126+V$5-18)/INDEX(Decrements!$G$6:$G$58,Census!$G126-17)*(INDEX(Decrements!$D$6:$D$58,Census!$G126+V$5-18)+IF(V$5=$B126,INDEX(Decrements!$F$6:$F$58,Census!$G126+V$5-18),0)+INDEX(Decrements!$E$6:$E$58,Census!$G126+V$5-18)*IF((Census!$F126+V$5)&gt;=Assumptions!$B$11,1,0))*MIN(15/26*Census!$D126*(1+Assumptions!$B$9)^V$5*(INT((Census!$F126+V$5))+IF((Census!$F126+V$5)-INT((Census!$F126+V$5))&gt;0.5,1,0)),Assumptions!$B$10))</f>
        <v>7517.8412318413066</v>
      </c>
      <c r="W126" s="30">
        <f>IF(W$5&gt;$B126,0,INDEX(Decrements!$G$6:$G$58,Census!$G126+W$5-18)/INDEX(Decrements!$G$6:$G$58,Census!$G126-17)*(INDEX(Decrements!$D$6:$D$58,Census!$G126+W$5-18)+IF(W$5=$B126,INDEX(Decrements!$F$6:$F$58,Census!$G126+W$5-18),0)+INDEX(Decrements!$E$6:$E$58,Census!$G126+W$5-18)*IF((Census!$F126+W$5)&gt;=Assumptions!$B$11,1,0))*MIN(15/26*Census!$D126*(1+Assumptions!$B$9)^W$5*(INT((Census!$F126+W$5))+IF((Census!$F126+W$5)-INT((Census!$F126+W$5))&gt;0.5,1,0)),Assumptions!$B$10))</f>
        <v>8069.2129211219999</v>
      </c>
      <c r="X126" s="30">
        <f>IF(X$5&gt;$B126,0,INDEX(Decrements!$G$6:$G$58,Census!$G126+X$5-18)/INDEX(Decrements!$G$6:$G$58,Census!$G126-17)*(INDEX(Decrements!$D$6:$D$58,Census!$G126+X$5-18)+IF(X$5=$B126,INDEX(Decrements!$F$6:$F$58,Census!$G126+X$5-18),0)+INDEX(Decrements!$E$6:$E$58,Census!$G126+X$5-18)*IF((Census!$F126+X$5)&gt;=Assumptions!$B$11,1,0))*MIN(15/26*Census!$D126*(1+Assumptions!$B$9)^X$5*(INT((Census!$F126+X$5))+IF((Census!$F126+X$5)-INT((Census!$F126+X$5))&gt;0.5,1,0)),Assumptions!$B$10))</f>
        <v>5315.9206250304305</v>
      </c>
      <c r="Y126" s="30">
        <f>IF(Y$5&gt;$B126,0,INDEX(Decrements!$G$6:$G$58,Census!$G126+Y$5-18)/INDEX(Decrements!$G$6:$G$58,Census!$G126-17)*(INDEX(Decrements!$D$6:$D$58,Census!$G126+Y$5-18)+IF(Y$5=$B126,INDEX(Decrements!$F$6:$F$58,Census!$G126+Y$5-18),0)+INDEX(Decrements!$E$6:$E$58,Census!$G126+Y$5-18)*IF((Census!$F126+Y$5)&gt;=Assumptions!$B$11,1,0))*MIN(15/26*Census!$D126*(1+Assumptions!$B$9)^Y$5*(INT((Census!$F126+Y$5))+IF((Census!$F126+Y$5)-INT((Census!$F126+Y$5))&gt;0.5,1,0)),Assumptions!$B$10))</f>
        <v>5816.7155608982912</v>
      </c>
      <c r="Z126" s="30">
        <f>IF(Z$5&gt;$B126,0,INDEX(Decrements!$G$6:$G$58,Census!$G126+Z$5-18)/INDEX(Decrements!$G$6:$G$58,Census!$G126-17)*(INDEX(Decrements!$D$6:$D$58,Census!$G126+Z$5-18)+IF(Z$5=$B126,INDEX(Decrements!$F$6:$F$58,Census!$G126+Z$5-18),0)+INDEX(Decrements!$E$6:$E$58,Census!$G126+Z$5-18)*IF((Census!$F126+Z$5)&gt;=Assumptions!$B$11,1,0))*MIN(15/26*Census!$D126*(1+Assumptions!$B$9)^Z$5*(INT((Census!$F126+Z$5))+IF((Census!$F126+Z$5)-INT((Census!$F126+Z$5))&gt;0.5,1,0)),Assumptions!$B$10))</f>
        <v>5966.589071162246</v>
      </c>
      <c r="AA126" s="30">
        <f>IF(AA$5&gt;$B126,0,INDEX(Decrements!$G$6:$G$58,Census!$G126+AA$5-18)/INDEX(Decrements!$G$6:$G$58,Census!$G126-17)*(INDEX(Decrements!$D$6:$D$58,Census!$G126+AA$5-18)+IF(AA$5=$B126,INDEX(Decrements!$F$6:$F$58,Census!$G126+AA$5-18),0)+INDEX(Decrements!$E$6:$E$58,Census!$G126+AA$5-18)*IF((Census!$F126+AA$5)&gt;=Assumptions!$B$11,1,0))*MIN(15/26*Census!$D126*(1+Assumptions!$B$9)^AA$5*(INT((Census!$F126+AA$5))+IF((Census!$F126+AA$5)-INT((Census!$F126+AA$5))&gt;0.5,1,0)),Assumptions!$B$10))</f>
        <v>5806.718097258954</v>
      </c>
      <c r="AB126" s="30">
        <f>IF(AB$5&gt;$B126,0,INDEX(Decrements!$G$6:$G$58,Census!$G126+AB$5-18)/INDEX(Decrements!$G$6:$G$58,Census!$G126-17)*(INDEX(Decrements!$D$6:$D$58,Census!$G126+AB$5-18)+IF(AB$5=$B126,INDEX(Decrements!$F$6:$F$58,Census!$G126+AB$5-18),0)+INDEX(Decrements!$E$6:$E$58,Census!$G126+AB$5-18)*IF((Census!$F126+AB$5)&gt;=Assumptions!$B$11,1,0))*MIN(15/26*Census!$D126*(1+Assumptions!$B$9)^AB$5*(INT((Census!$F126+AB$5))+IF((Census!$F126+AB$5)-INT((Census!$F126+AB$5))&gt;0.5,1,0)),Assumptions!$B$10))</f>
        <v>5653.0151004251802</v>
      </c>
      <c r="AC126" s="30">
        <f>IF(AC$5&gt;$B126,0,INDEX(Decrements!$G$6:$G$58,Census!$G126+AC$5-18)/INDEX(Decrements!$G$6:$G$58,Census!$G126-17)*(INDEX(Decrements!$D$6:$D$58,Census!$G126+AC$5-18)+IF(AC$5=$B126,INDEX(Decrements!$F$6:$F$58,Census!$G126+AC$5-18),0)+INDEX(Decrements!$E$6:$E$58,Census!$G126+AC$5-18)*IF((Census!$F126+AC$5)&gt;=Assumptions!$B$11,1,0))*MIN(15/26*Census!$D126*(1+Assumptions!$B$9)^AC$5*(INT((Census!$F126+AC$5))+IF((Census!$F126+AC$5)-INT((Census!$F126+AC$5))&gt;0.5,1,0)),Assumptions!$B$10))</f>
        <v>3830.3408983866734</v>
      </c>
      <c r="AD126" s="30">
        <f>IF(AD$5&gt;$B126,0,INDEX(Decrements!$G$6:$G$58,Census!$G126+AD$5-18)/INDEX(Decrements!$G$6:$G$58,Census!$G126-17)*(INDEX(Decrements!$D$6:$D$58,Census!$G126+AD$5-18)+IF(AD$5=$B126,INDEX(Decrements!$F$6:$F$58,Census!$G126+AD$5-18),0)+INDEX(Decrements!$E$6:$E$58,Census!$G126+AD$5-18)*IF((Census!$F126+AD$5)&gt;=Assumptions!$B$11,1,0))*MIN(15/26*Census!$D126*(1+Assumptions!$B$9)^AD$5*(INT((Census!$F126+AD$5))+IF((Census!$F126+AD$5)-INT((Census!$F126+AD$5))&gt;0.5,1,0)),Assumptions!$B$10))</f>
        <v>3782.5105701242464</v>
      </c>
      <c r="AE126" s="30">
        <f>IF(AE$5&gt;$B126,0,INDEX(Decrements!$G$6:$G$58,Census!$G126+AE$5-18)/INDEX(Decrements!$G$6:$G$58,Census!$G126-17)*(INDEX(Decrements!$D$6:$D$58,Census!$G126+AE$5-18)+IF(AE$5=$B126,INDEX(Decrements!$F$6:$F$58,Census!$G126+AE$5-18),0)+INDEX(Decrements!$E$6:$E$58,Census!$G126+AE$5-18)*IF((Census!$F126+AE$5)&gt;=Assumptions!$B$11,1,0))*MIN(15/26*Census!$D126*(1+Assumptions!$B$9)^AE$5*(INT((Census!$F126+AE$5))+IF((Census!$F126+AE$5)-INT((Census!$F126+AE$5))&gt;0.5,1,0)),Assumptions!$B$10))</f>
        <v>3737.7989776268073</v>
      </c>
      <c r="AF126" s="30">
        <f>IF(AF$5&gt;$B126,0,INDEX(Decrements!$G$6:$G$58,Census!$G126+AF$5-18)/INDEX(Decrements!$G$6:$G$58,Census!$G126-17)*(INDEX(Decrements!$D$6:$D$58,Census!$G126+AF$5-18)+IF(AF$5=$B126,INDEX(Decrements!$F$6:$F$58,Census!$G126+AF$5-18),0)+INDEX(Decrements!$E$6:$E$58,Census!$G126+AF$5-18)*IF((Census!$F126+AF$5)&gt;=Assumptions!$B$11,1,0))*MIN(15/26*Census!$D126*(1+Assumptions!$B$9)^AF$5*(INT((Census!$F126+AF$5))+IF((Census!$F126+AF$5)-INT((Census!$F126+AF$5))&gt;0.5,1,0)),Assumptions!$B$10))</f>
        <v>3696.2718388088379</v>
      </c>
      <c r="AG126" s="30">
        <f>IF(AG$5&gt;$B126,0,INDEX(Decrements!$G$6:$G$58,Census!$G126+AG$5-18)/INDEX(Decrements!$G$6:$G$58,Census!$G126-17)*(INDEX(Decrements!$D$6:$D$58,Census!$G126+AG$5-18)+IF(AG$5=$B126,INDEX(Decrements!$F$6:$F$58,Census!$G126+AG$5-18),0)+INDEX(Decrements!$E$6:$E$58,Census!$G126+AG$5-18)*IF((Census!$F126+AG$5)&gt;=Assumptions!$B$11,1,0))*MIN(15/26*Census!$D126*(1+Assumptions!$B$9)^AG$5*(INT((Census!$F126+AG$5))+IF((Census!$F126+AG$5)-INT((Census!$F126+AG$5))&gt;0.5,1,0)),Assumptions!$B$10))</f>
        <v>3657.9970402694926</v>
      </c>
      <c r="AH126" s="30">
        <f>IF(AH$5&gt;$B126,0,INDEX(Decrements!$G$6:$G$58,Census!$G126+AH$5-18)/INDEX(Decrements!$G$6:$G$58,Census!$G126-17)*(INDEX(Decrements!$D$6:$D$58,Census!$G126+AH$5-18)+IF(AH$5=$B126,INDEX(Decrements!$F$6:$F$58,Census!$G126+AH$5-18),0)+INDEX(Decrements!$E$6:$E$58,Census!$G126+AH$5-18)*IF((Census!$F126+AH$5)&gt;=Assumptions!$B$11,1,0))*MIN(15/26*Census!$D126*(1+Assumptions!$B$9)^AH$5*(INT((Census!$F126+AH$5))+IF((Census!$F126+AH$5)-INT((Census!$F126+AH$5))&gt;0.5,1,0)),Assumptions!$B$10))</f>
        <v>2136.7759448991956</v>
      </c>
      <c r="AI126" s="30">
        <f>IF(AI$5&gt;$B126,0,INDEX(Decrements!$G$6:$G$58,Census!$G126+AI$5-18)/INDEX(Decrements!$G$6:$G$58,Census!$G126-17)*(INDEX(Decrements!$D$6:$D$58,Census!$G126+AI$5-18)+IF(AI$5=$B126,INDEX(Decrements!$F$6:$F$58,Census!$G126+AI$5-18),0)+INDEX(Decrements!$E$6:$E$58,Census!$G126+AI$5-18)*IF((Census!$F126+AI$5)&gt;=Assumptions!$B$11,1,0))*MIN(15/26*Census!$D126*(1+Assumptions!$B$9)^AI$5*(INT((Census!$F126+AI$5))+IF((Census!$F126+AI$5)-INT((Census!$F126+AI$5))&gt;0.5,1,0)),Assumptions!$B$10))</f>
        <v>2163.7170096237319</v>
      </c>
      <c r="AJ126" s="30">
        <f>IF(AJ$5&gt;$B126,0,INDEX(Decrements!$G$6:$G$58,Census!$G126+AJ$5-18)/INDEX(Decrements!$G$6:$G$58,Census!$G126-17)*(INDEX(Decrements!$D$6:$D$58,Census!$G126+AJ$5-18)+IF(AJ$5=$B126,INDEX(Decrements!$F$6:$F$58,Census!$G126+AJ$5-18),0)+INDEX(Decrements!$E$6:$E$58,Census!$G126+AJ$5-18)*IF((Census!$F126+AJ$5)&gt;=Assumptions!$B$11,1,0))*MIN(15/26*Census!$D126*(1+Assumptions!$B$9)^AJ$5*(INT((Census!$F126+AJ$5))+IF((Census!$F126+AJ$5)-INT((Census!$F126+AJ$5))&gt;0.5,1,0)),Assumptions!$B$10))</f>
        <v>2194.2227059722059</v>
      </c>
      <c r="AK126" s="30">
        <f>IF(AK$5&gt;$B126,0,INDEX(Decrements!$G$6:$G$58,Census!$G126+AK$5-18)/INDEX(Decrements!$G$6:$G$58,Census!$G126-17)*(INDEX(Decrements!$D$6:$D$58,Census!$G126+AK$5-18)+IF(AK$5=$B126,INDEX(Decrements!$F$6:$F$58,Census!$G126+AK$5-18),0)+INDEX(Decrements!$E$6:$E$58,Census!$G126+AK$5-18)*IF((Census!$F126+AK$5)&gt;=Assumptions!$B$11,1,0))*MIN(15/26*Census!$D126*(1+Assumptions!$B$9)^AK$5*(INT((Census!$F126+AK$5))+IF((Census!$F126+AK$5)-INT((Census!$F126+AK$5))&gt;0.5,1,0)),Assumptions!$B$10))</f>
        <v>2228.5003663988718</v>
      </c>
      <c r="AL126" s="30">
        <f>IF(AL$5&gt;$B126,0,INDEX(Decrements!$G$6:$G$58,Census!$G126+AL$5-18)/INDEX(Decrements!$G$6:$G$58,Census!$G126-17)*(INDEX(Decrements!$D$6:$D$58,Census!$G126+AL$5-18)+IF(AL$5=$B126,INDEX(Decrements!$F$6:$F$58,Census!$G126+AL$5-18),0)+INDEX(Decrements!$E$6:$E$58,Census!$G126+AL$5-18)*IF((Census!$F126+AL$5)&gt;=Assumptions!$B$11,1,0))*MIN(15/26*Census!$D126*(1+Assumptions!$B$9)^AL$5*(INT((Census!$F126+AL$5))+IF((Census!$F126+AL$5)-INT((Census!$F126+AL$5))&gt;0.5,1,0)),Assumptions!$B$10))</f>
        <v>140554.07289653536</v>
      </c>
      <c r="AM126" s="30">
        <f>IF(AM$5&gt;$B126,0,INDEX(Decrements!$G$6:$G$58,Census!$G126+AM$5-18)/INDEX(Decrements!$G$6:$G$58,Census!$G126-17)*(INDEX(Decrements!$D$6:$D$58,Census!$G126+AM$5-18)+IF(AM$5=$B126,INDEX(Decrements!$F$6:$F$58,Census!$G126+AM$5-18),0)+INDEX(Decrements!$E$6:$E$58,Census!$G126+AM$5-18)*IF((Census!$F126+AM$5)&gt;=Assumptions!$B$11,1,0))*MIN(15/26*Census!$D126*(1+Assumptions!$B$9)^AM$5*(INT((Census!$F126+AM$5))+IF((Census!$F126+AM$5)-INT((Census!$F126+AM$5))&gt;0.5,1,0)),Assumptions!$B$10))</f>
        <v>0</v>
      </c>
      <c r="AN126" s="30">
        <f>IF(AN$5&gt;$B126,0,INDEX(Decrements!$G$6:$G$58,Census!$G126+AN$5-18)/INDEX(Decrements!$G$6:$G$58,Census!$G126-17)*(INDEX(Decrements!$D$6:$D$58,Census!$G126+AN$5-18)+IF(AN$5=$B126,INDEX(Decrements!$F$6:$F$58,Census!$G126+AN$5-18),0)+INDEX(Decrements!$E$6:$E$58,Census!$G126+AN$5-18)*IF((Census!$F126+AN$5)&gt;=Assumptions!$B$11,1,0))*MIN(15/26*Census!$D126*(1+Assumptions!$B$9)^AN$5*(INT((Census!$F126+AN$5))+IF((Census!$F126+AN$5)-INT((Census!$F126+AN$5))&gt;0.5,1,0)),Assumptions!$B$10))</f>
        <v>0</v>
      </c>
      <c r="AO126" s="30">
        <f>IF(AO$5&gt;$B126,0,INDEX(Decrements!$G$6:$G$58,Census!$G126+AO$5-18)/INDEX(Decrements!$G$6:$G$58,Census!$G126-17)*(INDEX(Decrements!$D$6:$D$58,Census!$G126+AO$5-18)+IF(AO$5=$B126,INDEX(Decrements!$F$6:$F$58,Census!$G126+AO$5-18),0)+INDEX(Decrements!$E$6:$E$58,Census!$G126+AO$5-18)*IF((Census!$F126+AO$5)&gt;=Assumptions!$B$11,1,0))*MIN(15/26*Census!$D126*(1+Assumptions!$B$9)^AO$5*(INT((Census!$F126+AO$5))+IF((Census!$F126+AO$5)-INT((Census!$F126+AO$5))&gt;0.5,1,0)),Assumptions!$B$10))</f>
        <v>0</v>
      </c>
      <c r="AP126" s="30">
        <f>IF(AP$5&gt;$B126,0,INDEX(Decrements!$G$6:$G$58,Census!$G126+AP$5-18)/INDEX(Decrements!$G$6:$G$58,Census!$G126-17)*(INDEX(Decrements!$D$6:$D$58,Census!$G126+AP$5-18)+IF(AP$5=$B126,INDEX(Decrements!$F$6:$F$58,Census!$G126+AP$5-18),0)+INDEX(Decrements!$E$6:$E$58,Census!$G126+AP$5-18)*IF((Census!$F126+AP$5)&gt;=Assumptions!$B$11,1,0))*MIN(15/26*Census!$D126*(1+Assumptions!$B$9)^AP$5*(INT((Census!$F126+AP$5))+IF((Census!$F126+AP$5)-INT((Census!$F126+AP$5))&gt;0.5,1,0)),Assumptions!$B$10))</f>
        <v>0</v>
      </c>
      <c r="AQ126" s="30">
        <f>IF(AQ$5&gt;$B126,0,INDEX(Decrements!$G$6:$G$58,Census!$G126+AQ$5-18)/INDEX(Decrements!$G$6:$G$58,Census!$G126-17)*(INDEX(Decrements!$D$6:$D$58,Census!$G126+AQ$5-18)+IF(AQ$5=$B126,INDEX(Decrements!$F$6:$F$58,Census!$G126+AQ$5-18),0)+INDEX(Decrements!$E$6:$E$58,Census!$G126+AQ$5-18)*IF((Census!$F126+AQ$5)&gt;=Assumptions!$B$11,1,0))*MIN(15/26*Census!$D126*(1+Assumptions!$B$9)^AQ$5*(INT((Census!$F126+AQ$5))+IF((Census!$F126+AQ$5)-INT((Census!$F126+AQ$5))&gt;0.5,1,0)),Assumptions!$B$10))</f>
        <v>0</v>
      </c>
      <c r="AR126" s="30">
        <f>IF(AR$5&gt;$B126,0,INDEX(Decrements!$G$6:$G$58,Census!$G126+AR$5-18)/INDEX(Decrements!$G$6:$G$58,Census!$G126-17)*(INDEX(Decrements!$D$6:$D$58,Census!$G126+AR$5-18)+IF(AR$5=$B126,INDEX(Decrements!$F$6:$F$58,Census!$G126+AR$5-18),0)+INDEX(Decrements!$E$6:$E$58,Census!$G126+AR$5-18)*IF((Census!$F126+AR$5)&gt;=Assumptions!$B$11,1,0))*MIN(15/26*Census!$D126*(1+Assumptions!$B$9)^AR$5*(INT((Census!$F126+AR$5))+IF((Census!$F126+AR$5)-INT((Census!$F126+AR$5))&gt;0.5,1,0)),Assumptions!$B$10))</f>
        <v>0</v>
      </c>
      <c r="AS126" s="30">
        <f>IF(AS$5&gt;$B126,0,INDEX(Decrements!$G$6:$G$58,Census!$G126+AS$5-18)/INDEX(Decrements!$G$6:$G$58,Census!$G126-17)*(INDEX(Decrements!$D$6:$D$58,Census!$G126+AS$5-18)+IF(AS$5=$B126,INDEX(Decrements!$F$6:$F$58,Census!$G126+AS$5-18),0)+INDEX(Decrements!$E$6:$E$58,Census!$G126+AS$5-18)*IF((Census!$F126+AS$5)&gt;=Assumptions!$B$11,1,0))*MIN(15/26*Census!$D126*(1+Assumptions!$B$9)^AS$5*(INT((Census!$F126+AS$5))+IF((Census!$F126+AS$5)-INT((Census!$F126+AS$5))&gt;0.5,1,0)),Assumptions!$B$10))</f>
        <v>0</v>
      </c>
      <c r="AT126" s="30">
        <f>IF(AT$5&gt;$B126,0,INDEX(Decrements!$G$6:$G$58,Census!$G126+AT$5-18)/INDEX(Decrements!$G$6:$G$58,Census!$G126-17)*(INDEX(Decrements!$D$6:$D$58,Census!$G126+AT$5-18)+IF(AT$5=$B126,INDEX(Decrements!$F$6:$F$58,Census!$G126+AT$5-18),0)+INDEX(Decrements!$E$6:$E$58,Census!$G126+AT$5-18)*IF((Census!$F126+AT$5)&gt;=Assumptions!$B$11,1,0))*MIN(15/26*Census!$D126*(1+Assumptions!$B$9)^AT$5*(INT((Census!$F126+AT$5))+IF((Census!$F126+AT$5)-INT((Census!$F126+AT$5))&gt;0.5,1,0)),Assumptions!$B$10))</f>
        <v>0</v>
      </c>
      <c r="AU126" s="30">
        <f>IF(AU$5&gt;$B126,0,INDEX(Decrements!$G$6:$G$58,Census!$G126+AU$5-18)/INDEX(Decrements!$G$6:$G$58,Census!$G126-17)*(INDEX(Decrements!$D$6:$D$58,Census!$G126+AU$5-18)+IF(AU$5=$B126,INDEX(Decrements!$F$6:$F$58,Census!$G126+AU$5-18),0)+INDEX(Decrements!$E$6:$E$58,Census!$G126+AU$5-18)*IF((Census!$F126+AU$5)&gt;=Assumptions!$B$11,1,0))*MIN(15/26*Census!$D126*(1+Assumptions!$B$9)^AU$5*(INT((Census!$F126+AU$5))+IF((Census!$F126+AU$5)-INT((Census!$F126+AU$5))&gt;0.5,1,0)),Assumptions!$B$10))</f>
        <v>0</v>
      </c>
    </row>
    <row r="127" spans="1:47" x14ac:dyDescent="0.3">
      <c r="A127" s="10" t="str">
        <f>Census!A127</f>
        <v>E122</v>
      </c>
      <c r="B127" s="29">
        <f>Census!H127</f>
        <v>22</v>
      </c>
      <c r="C127" s="30">
        <f>IF(C$5&gt;$B127,0,INDEX(Decrements!$G$6:$G$58,Census!$G127+C$5-18)/INDEX(Decrements!$G$6:$G$58,Census!$G127-17)*(INDEX(Decrements!$D$6:$D$58,Census!$G127+C$5-18)+IF(C$5=$B127,INDEX(Decrements!$F$6:$F$58,Census!$G127+C$5-18),0)+INDEX(Decrements!$E$6:$E$58,Census!$G127+C$5-18)*IF((Census!$F127+C$5)&gt;=Assumptions!$B$11,1,0))*MIN(15/26*Census!$D127*(1+Assumptions!$B$9)^C$5*(INT((Census!$F127+C$5))+IF((Census!$F127+C$5)-INT((Census!$F127+C$5))&gt;0.5,1,0)),Assumptions!$B$10))</f>
        <v>30820.232369491718</v>
      </c>
      <c r="D127" s="30">
        <f>IF(D$5&gt;$B127,0,INDEX(Decrements!$G$6:$G$58,Census!$G127+D$5-18)/INDEX(Decrements!$G$6:$G$58,Census!$G127-17)*(INDEX(Decrements!$D$6:$D$58,Census!$G127+D$5-18)+IF(D$5=$B127,INDEX(Decrements!$F$6:$F$58,Census!$G127+D$5-18),0)+INDEX(Decrements!$E$6:$E$58,Census!$G127+D$5-18)*IF((Census!$F127+D$5)&gt;=Assumptions!$B$11,1,0))*MIN(15/26*Census!$D127*(1+Assumptions!$B$9)^D$5*(INT((Census!$F127+D$5))+IF((Census!$F127+D$5)-INT((Census!$F127+D$5))&gt;0.5,1,0)),Assumptions!$B$10))</f>
        <v>33675.315935709936</v>
      </c>
      <c r="E127" s="30">
        <f>IF(E$5&gt;$B127,0,INDEX(Decrements!$G$6:$G$58,Census!$G127+E$5-18)/INDEX(Decrements!$G$6:$G$58,Census!$G127-17)*(INDEX(Decrements!$D$6:$D$58,Census!$G127+E$5-18)+IF(E$5=$B127,INDEX(Decrements!$F$6:$F$58,Census!$G127+E$5-18),0)+INDEX(Decrements!$E$6:$E$58,Census!$G127+E$5-18)*IF((Census!$F127+E$5)&gt;=Assumptions!$B$11,1,0))*MIN(15/26*Census!$D127*(1+Assumptions!$B$9)^E$5*(INT((Census!$F127+E$5))+IF((Census!$F127+E$5)-INT((Census!$F127+E$5))&gt;0.5,1,0)),Assumptions!$B$10))</f>
        <v>23034.155404003432</v>
      </c>
      <c r="F127" s="30">
        <f>IF(F$5&gt;$B127,0,INDEX(Decrements!$G$6:$G$58,Census!$G127+F$5-18)/INDEX(Decrements!$G$6:$G$58,Census!$G127-17)*(INDEX(Decrements!$D$6:$D$58,Census!$G127+F$5-18)+IF(F$5=$B127,INDEX(Decrements!$F$6:$F$58,Census!$G127+F$5-18),0)+INDEX(Decrements!$E$6:$E$58,Census!$G127+F$5-18)*IF((Census!$F127+F$5)&gt;=Assumptions!$B$11,1,0))*MIN(15/26*Census!$D127*(1+Assumptions!$B$9)^F$5*(INT((Census!$F127+F$5))+IF((Census!$F127+F$5)-INT((Census!$F127+F$5))&gt;0.5,1,0)),Assumptions!$B$10))</f>
        <v>25612.851890496106</v>
      </c>
      <c r="G127" s="30">
        <f>IF(G$5&gt;$B127,0,INDEX(Decrements!$G$6:$G$58,Census!$G127+G$5-18)/INDEX(Decrements!$G$6:$G$58,Census!$G127-17)*(INDEX(Decrements!$D$6:$D$58,Census!$G127+G$5-18)+IF(G$5=$B127,INDEX(Decrements!$F$6:$F$58,Census!$G127+G$5-18),0)+INDEX(Decrements!$E$6:$E$58,Census!$G127+G$5-18)*IF((Census!$F127+G$5)&gt;=Assumptions!$B$11,1,0))*MIN(15/26*Census!$D127*(1+Assumptions!$B$9)^G$5*(INT((Census!$F127+G$5))+IF((Census!$F127+G$5)-INT((Census!$F127+G$5))&gt;0.5,1,0)),Assumptions!$B$10))</f>
        <v>28313.888946208859</v>
      </c>
      <c r="H127" s="30">
        <f>IF(H$5&gt;$B127,0,INDEX(Decrements!$G$6:$G$58,Census!$G127+H$5-18)/INDEX(Decrements!$G$6:$G$58,Census!$G127-17)*(INDEX(Decrements!$D$6:$D$58,Census!$G127+H$5-18)+IF(H$5=$B127,INDEX(Decrements!$F$6:$F$58,Census!$G127+H$5-18),0)+INDEX(Decrements!$E$6:$E$58,Census!$G127+H$5-18)*IF((Census!$F127+H$5)&gt;=Assumptions!$B$11,1,0))*MIN(15/26*Census!$D127*(1+Assumptions!$B$9)^H$5*(INT((Census!$F127+H$5))+IF((Census!$F127+H$5)-INT((Census!$F127+H$5))&gt;0.5,1,0)),Assumptions!$B$10))</f>
        <v>31142.68239136515</v>
      </c>
      <c r="I127" s="30">
        <f>IF(I$5&gt;$B127,0,INDEX(Decrements!$G$6:$G$58,Census!$G127+I$5-18)/INDEX(Decrements!$G$6:$G$58,Census!$G127-17)*(INDEX(Decrements!$D$6:$D$58,Census!$G127+I$5-18)+IF(I$5=$B127,INDEX(Decrements!$F$6:$F$58,Census!$G127+I$5-18),0)+INDEX(Decrements!$E$6:$E$58,Census!$G127+I$5-18)*IF((Census!$F127+I$5)&gt;=Assumptions!$B$11,1,0))*MIN(15/26*Census!$D127*(1+Assumptions!$B$9)^I$5*(INT((Census!$F127+I$5))+IF((Census!$F127+I$5)-INT((Census!$F127+I$5))&gt;0.5,1,0)),Assumptions!$B$10))</f>
        <v>34104.965193893659</v>
      </c>
      <c r="J127" s="30">
        <f>IF(J$5&gt;$B127,0,INDEX(Decrements!$G$6:$G$58,Census!$G127+J$5-18)/INDEX(Decrements!$G$6:$G$58,Census!$G127-17)*(INDEX(Decrements!$D$6:$D$58,Census!$G127+J$5-18)+IF(J$5=$B127,INDEX(Decrements!$F$6:$F$58,Census!$G127+J$5-18),0)+INDEX(Decrements!$E$6:$E$58,Census!$G127+J$5-18)*IF((Census!$F127+J$5)&gt;=Assumptions!$B$11,1,0))*MIN(15/26*Census!$D127*(1+Assumptions!$B$9)^J$5*(INT((Census!$F127+J$5))+IF((Census!$F127+J$5)-INT((Census!$F127+J$5))&gt;0.5,1,0)),Assumptions!$B$10))</f>
        <v>22877.599665568538</v>
      </c>
      <c r="K127" s="30">
        <f>IF(K$5&gt;$B127,0,INDEX(Decrements!$G$6:$G$58,Census!$G127+K$5-18)/INDEX(Decrements!$G$6:$G$58,Census!$G127-17)*(INDEX(Decrements!$D$6:$D$58,Census!$G127+K$5-18)+IF(K$5=$B127,INDEX(Decrements!$F$6:$F$58,Census!$G127+K$5-18),0)+INDEX(Decrements!$E$6:$E$58,Census!$G127+K$5-18)*IF((Census!$F127+K$5)&gt;=Assumptions!$B$11,1,0))*MIN(15/26*Census!$D127*(1+Assumptions!$B$9)^K$5*(INT((Census!$F127+K$5))+IF((Census!$F127+K$5)-INT((Census!$F127+K$5))&gt;0.5,1,0)),Assumptions!$B$10))</f>
        <v>25445.126385364852</v>
      </c>
      <c r="L127" s="30">
        <f>IF(L$5&gt;$B127,0,INDEX(Decrements!$G$6:$G$58,Census!$G127+L$5-18)/INDEX(Decrements!$G$6:$G$58,Census!$G127-17)*(INDEX(Decrements!$D$6:$D$58,Census!$G127+L$5-18)+IF(L$5=$B127,INDEX(Decrements!$F$6:$F$58,Census!$G127+L$5-18),0)+INDEX(Decrements!$E$6:$E$58,Census!$G127+L$5-18)*IF((Census!$F127+L$5)&gt;=Assumptions!$B$11,1,0))*MIN(15/26*Census!$D127*(1+Assumptions!$B$9)^L$5*(INT((Census!$F127+L$5))+IF((Census!$F127+L$5)-INT((Census!$F127+L$5))&gt;0.5,1,0)),Assumptions!$B$10))</f>
        <v>28221.499363964354</v>
      </c>
      <c r="M127" s="30">
        <f>IF(M$5&gt;$B127,0,INDEX(Decrements!$G$6:$G$58,Census!$G127+M$5-18)/INDEX(Decrements!$G$6:$G$58,Census!$G127-17)*(INDEX(Decrements!$D$6:$D$58,Census!$G127+M$5-18)+IF(M$5=$B127,INDEX(Decrements!$F$6:$F$58,Census!$G127+M$5-18),0)+INDEX(Decrements!$E$6:$E$58,Census!$G127+M$5-18)*IF((Census!$F127+M$5)&gt;=Assumptions!$B$11,1,0))*MIN(15/26*Census!$D127*(1+Assumptions!$B$9)^M$5*(INT((Census!$F127+M$5))+IF((Census!$F127+M$5)-INT((Census!$F127+M$5))&gt;0.5,1,0)),Assumptions!$B$10))</f>
        <v>31223.734676147891</v>
      </c>
      <c r="N127" s="30">
        <f>IF(N$5&gt;$B127,0,INDEX(Decrements!$G$6:$G$58,Census!$G127+N$5-18)/INDEX(Decrements!$G$6:$G$58,Census!$G127-17)*(INDEX(Decrements!$D$6:$D$58,Census!$G127+N$5-18)+IF(N$5=$B127,INDEX(Decrements!$F$6:$F$58,Census!$G127+N$5-18),0)+INDEX(Decrements!$E$6:$E$58,Census!$G127+N$5-18)*IF((Census!$F127+N$5)&gt;=Assumptions!$B$11,1,0))*MIN(15/26*Census!$D127*(1+Assumptions!$B$9)^N$5*(INT((Census!$F127+N$5))+IF((Census!$F127+N$5)-INT((Census!$F127+N$5))&gt;0.5,1,0)),Assumptions!$B$10))</f>
        <v>34470.477971877721</v>
      </c>
      <c r="O127" s="30">
        <f>IF(O$5&gt;$B127,0,INDEX(Decrements!$G$6:$G$58,Census!$G127+O$5-18)/INDEX(Decrements!$G$6:$G$58,Census!$G127-17)*(INDEX(Decrements!$D$6:$D$58,Census!$G127+O$5-18)+IF(O$5=$B127,INDEX(Decrements!$F$6:$F$58,Census!$G127+O$5-18),0)+INDEX(Decrements!$E$6:$E$58,Census!$G127+O$5-18)*IF((Census!$F127+O$5)&gt;=Assumptions!$B$11,1,0))*MIN(15/26*Census!$D127*(1+Assumptions!$B$9)^O$5*(INT((Census!$F127+O$5))+IF((Census!$F127+O$5)-INT((Census!$F127+O$5))&gt;0.5,1,0)),Assumptions!$B$10))</f>
        <v>25100.506002812483</v>
      </c>
      <c r="P127" s="30">
        <f>IF(P$5&gt;$B127,0,INDEX(Decrements!$G$6:$G$58,Census!$G127+P$5-18)/INDEX(Decrements!$G$6:$G$58,Census!$G127-17)*(INDEX(Decrements!$D$6:$D$58,Census!$G127+P$5-18)+IF(P$5=$B127,INDEX(Decrements!$F$6:$F$58,Census!$G127+P$5-18),0)+INDEX(Decrements!$E$6:$E$58,Census!$G127+P$5-18)*IF((Census!$F127+P$5)&gt;=Assumptions!$B$11,1,0))*MIN(15/26*Census!$D127*(1+Assumptions!$B$9)^P$5*(INT((Census!$F127+P$5))+IF((Census!$F127+P$5)-INT((Census!$F127+P$5))&gt;0.5,1,0)),Assumptions!$B$10))</f>
        <v>24787.070339116537</v>
      </c>
      <c r="Q127" s="30">
        <f>IF(Q$5&gt;$B127,0,INDEX(Decrements!$G$6:$G$58,Census!$G127+Q$5-18)/INDEX(Decrements!$G$6:$G$58,Census!$G127-17)*(INDEX(Decrements!$D$6:$D$58,Census!$G127+Q$5-18)+IF(Q$5=$B127,INDEX(Decrements!$F$6:$F$58,Census!$G127+Q$5-18),0)+INDEX(Decrements!$E$6:$E$58,Census!$G127+Q$5-18)*IF((Census!$F127+Q$5)&gt;=Assumptions!$B$11,1,0))*MIN(15/26*Census!$D127*(1+Assumptions!$B$9)^Q$5*(INT((Census!$F127+Q$5))+IF((Census!$F127+Q$5)-INT((Census!$F127+Q$5))&gt;0.5,1,0)),Assumptions!$B$10))</f>
        <v>24494.071980576187</v>
      </c>
      <c r="R127" s="30">
        <f>IF(R$5&gt;$B127,0,INDEX(Decrements!$G$6:$G$58,Census!$G127+R$5-18)/INDEX(Decrements!$G$6:$G$58,Census!$G127-17)*(INDEX(Decrements!$D$6:$D$58,Census!$G127+R$5-18)+IF(R$5=$B127,INDEX(Decrements!$F$6:$F$58,Census!$G127+R$5-18),0)+INDEX(Decrements!$E$6:$E$58,Census!$G127+R$5-18)*IF((Census!$F127+R$5)&gt;=Assumptions!$B$11,1,0))*MIN(15/26*Census!$D127*(1+Assumptions!$B$9)^R$5*(INT((Census!$F127+R$5))+IF((Census!$F127+R$5)-INT((Census!$F127+R$5))&gt;0.5,1,0)),Assumptions!$B$10))</f>
        <v>24221.941581524996</v>
      </c>
      <c r="S127" s="30">
        <f>IF(S$5&gt;$B127,0,INDEX(Decrements!$G$6:$G$58,Census!$G127+S$5-18)/INDEX(Decrements!$G$6:$G$58,Census!$G127-17)*(INDEX(Decrements!$D$6:$D$58,Census!$G127+S$5-18)+IF(S$5=$B127,INDEX(Decrements!$F$6:$F$58,Census!$G127+S$5-18),0)+INDEX(Decrements!$E$6:$E$58,Census!$G127+S$5-18)*IF((Census!$F127+S$5)&gt;=Assumptions!$B$11,1,0))*MIN(15/26*Census!$D127*(1+Assumptions!$B$9)^S$5*(INT((Census!$F127+S$5))+IF((Census!$F127+S$5)-INT((Census!$F127+S$5))&gt;0.5,1,0)),Assumptions!$B$10))</f>
        <v>23971.124007846913</v>
      </c>
      <c r="T127" s="30">
        <f>IF(T$5&gt;$B127,0,INDEX(Decrements!$G$6:$G$58,Census!$G127+T$5-18)/INDEX(Decrements!$G$6:$G$58,Census!$G127-17)*(INDEX(Decrements!$D$6:$D$58,Census!$G127+T$5-18)+IF(T$5=$B127,INDEX(Decrements!$F$6:$F$58,Census!$G127+T$5-18),0)+INDEX(Decrements!$E$6:$E$58,Census!$G127+T$5-18)*IF((Census!$F127+T$5)&gt;=Assumptions!$B$11,1,0))*MIN(15/26*Census!$D127*(1+Assumptions!$B$9)^T$5*(INT((Census!$F127+T$5))+IF((Census!$F127+T$5)-INT((Census!$F127+T$5))&gt;0.5,1,0)),Assumptions!$B$10))</f>
        <v>14002.450135495274</v>
      </c>
      <c r="U127" s="30">
        <f>IF(U$5&gt;$B127,0,INDEX(Decrements!$G$6:$G$58,Census!$G127+U$5-18)/INDEX(Decrements!$G$6:$G$58,Census!$G127-17)*(INDEX(Decrements!$D$6:$D$58,Census!$G127+U$5-18)+IF(U$5=$B127,INDEX(Decrements!$F$6:$F$58,Census!$G127+U$5-18),0)+INDEX(Decrements!$E$6:$E$58,Census!$G127+U$5-18)*IF((Census!$F127+U$5)&gt;=Assumptions!$B$11,1,0))*MIN(15/26*Census!$D127*(1+Assumptions!$B$9)^U$5*(INT((Census!$F127+U$5))+IF((Census!$F127+U$5)-INT((Census!$F127+U$5))&gt;0.5,1,0)),Assumptions!$B$10))</f>
        <v>14178.996916781822</v>
      </c>
      <c r="V127" s="30">
        <f>IF(V$5&gt;$B127,0,INDEX(Decrements!$G$6:$G$58,Census!$G127+V$5-18)/INDEX(Decrements!$G$6:$G$58,Census!$G127-17)*(INDEX(Decrements!$D$6:$D$58,Census!$G127+V$5-18)+IF(V$5=$B127,INDEX(Decrements!$F$6:$F$58,Census!$G127+V$5-18),0)+INDEX(Decrements!$E$6:$E$58,Census!$G127+V$5-18)*IF((Census!$F127+V$5)&gt;=Assumptions!$B$11,1,0))*MIN(15/26*Census!$D127*(1+Assumptions!$B$9)^V$5*(INT((Census!$F127+V$5))+IF((Census!$F127+V$5)-INT((Census!$F127+V$5))&gt;0.5,1,0)),Assumptions!$B$10))</f>
        <v>14378.902991626848</v>
      </c>
      <c r="W127" s="30">
        <f>IF(W$5&gt;$B127,0,INDEX(Decrements!$G$6:$G$58,Census!$G127+W$5-18)/INDEX(Decrements!$G$6:$G$58,Census!$G127-17)*(INDEX(Decrements!$D$6:$D$58,Census!$G127+W$5-18)+IF(W$5=$B127,INDEX(Decrements!$F$6:$F$58,Census!$G127+W$5-18),0)+INDEX(Decrements!$E$6:$E$58,Census!$G127+W$5-18)*IF((Census!$F127+W$5)&gt;=Assumptions!$B$11,1,0))*MIN(15/26*Census!$D127*(1+Assumptions!$B$9)^W$5*(INT((Census!$F127+W$5))+IF((Census!$F127+W$5)-INT((Census!$F127+W$5))&gt;0.5,1,0)),Assumptions!$B$10))</f>
        <v>14603.527024872632</v>
      </c>
      <c r="X127" s="30">
        <f>IF(X$5&gt;$B127,0,INDEX(Decrements!$G$6:$G$58,Census!$G127+X$5-18)/INDEX(Decrements!$G$6:$G$58,Census!$G127-17)*(INDEX(Decrements!$D$6:$D$58,Census!$G127+X$5-18)+IF(X$5=$B127,INDEX(Decrements!$F$6:$F$58,Census!$G127+X$5-18),0)+INDEX(Decrements!$E$6:$E$58,Census!$G127+X$5-18)*IF((Census!$F127+X$5)&gt;=Assumptions!$B$11,1,0))*MIN(15/26*Census!$D127*(1+Assumptions!$B$9)^X$5*(INT((Census!$F127+X$5))+IF((Census!$F127+X$5)-INT((Census!$F127+X$5))&gt;0.5,1,0)),Assumptions!$B$10))</f>
        <v>921061.19117105263</v>
      </c>
      <c r="Y127" s="30">
        <f>IF(Y$5&gt;$B127,0,INDEX(Decrements!$G$6:$G$58,Census!$G127+Y$5-18)/INDEX(Decrements!$G$6:$G$58,Census!$G127-17)*(INDEX(Decrements!$D$6:$D$58,Census!$G127+Y$5-18)+IF(Y$5=$B127,INDEX(Decrements!$F$6:$F$58,Census!$G127+Y$5-18),0)+INDEX(Decrements!$E$6:$E$58,Census!$G127+Y$5-18)*IF((Census!$F127+Y$5)&gt;=Assumptions!$B$11,1,0))*MIN(15/26*Census!$D127*(1+Assumptions!$B$9)^Y$5*(INT((Census!$F127+Y$5))+IF((Census!$F127+Y$5)-INT((Census!$F127+Y$5))&gt;0.5,1,0)),Assumptions!$B$10))</f>
        <v>0</v>
      </c>
      <c r="Z127" s="30">
        <f>IF(Z$5&gt;$B127,0,INDEX(Decrements!$G$6:$G$58,Census!$G127+Z$5-18)/INDEX(Decrements!$G$6:$G$58,Census!$G127-17)*(INDEX(Decrements!$D$6:$D$58,Census!$G127+Z$5-18)+IF(Z$5=$B127,INDEX(Decrements!$F$6:$F$58,Census!$G127+Z$5-18),0)+INDEX(Decrements!$E$6:$E$58,Census!$G127+Z$5-18)*IF((Census!$F127+Z$5)&gt;=Assumptions!$B$11,1,0))*MIN(15/26*Census!$D127*(1+Assumptions!$B$9)^Z$5*(INT((Census!$F127+Z$5))+IF((Census!$F127+Z$5)-INT((Census!$F127+Z$5))&gt;0.5,1,0)),Assumptions!$B$10))</f>
        <v>0</v>
      </c>
      <c r="AA127" s="30">
        <f>IF(AA$5&gt;$B127,0,INDEX(Decrements!$G$6:$G$58,Census!$G127+AA$5-18)/INDEX(Decrements!$G$6:$G$58,Census!$G127-17)*(INDEX(Decrements!$D$6:$D$58,Census!$G127+AA$5-18)+IF(AA$5=$B127,INDEX(Decrements!$F$6:$F$58,Census!$G127+AA$5-18),0)+INDEX(Decrements!$E$6:$E$58,Census!$G127+AA$5-18)*IF((Census!$F127+AA$5)&gt;=Assumptions!$B$11,1,0))*MIN(15/26*Census!$D127*(1+Assumptions!$B$9)^AA$5*(INT((Census!$F127+AA$5))+IF((Census!$F127+AA$5)-INT((Census!$F127+AA$5))&gt;0.5,1,0)),Assumptions!$B$10))</f>
        <v>0</v>
      </c>
      <c r="AB127" s="30">
        <f>IF(AB$5&gt;$B127,0,INDEX(Decrements!$G$6:$G$58,Census!$G127+AB$5-18)/INDEX(Decrements!$G$6:$G$58,Census!$G127-17)*(INDEX(Decrements!$D$6:$D$58,Census!$G127+AB$5-18)+IF(AB$5=$B127,INDEX(Decrements!$F$6:$F$58,Census!$G127+AB$5-18),0)+INDEX(Decrements!$E$6:$E$58,Census!$G127+AB$5-18)*IF((Census!$F127+AB$5)&gt;=Assumptions!$B$11,1,0))*MIN(15/26*Census!$D127*(1+Assumptions!$B$9)^AB$5*(INT((Census!$F127+AB$5))+IF((Census!$F127+AB$5)-INT((Census!$F127+AB$5))&gt;0.5,1,0)),Assumptions!$B$10))</f>
        <v>0</v>
      </c>
      <c r="AC127" s="30">
        <f>IF(AC$5&gt;$B127,0,INDEX(Decrements!$G$6:$G$58,Census!$G127+AC$5-18)/INDEX(Decrements!$G$6:$G$58,Census!$G127-17)*(INDEX(Decrements!$D$6:$D$58,Census!$G127+AC$5-18)+IF(AC$5=$B127,INDEX(Decrements!$F$6:$F$58,Census!$G127+AC$5-18),0)+INDEX(Decrements!$E$6:$E$58,Census!$G127+AC$5-18)*IF((Census!$F127+AC$5)&gt;=Assumptions!$B$11,1,0))*MIN(15/26*Census!$D127*(1+Assumptions!$B$9)^AC$5*(INT((Census!$F127+AC$5))+IF((Census!$F127+AC$5)-INT((Census!$F127+AC$5))&gt;0.5,1,0)),Assumptions!$B$10))</f>
        <v>0</v>
      </c>
      <c r="AD127" s="30">
        <f>IF(AD$5&gt;$B127,0,INDEX(Decrements!$G$6:$G$58,Census!$G127+AD$5-18)/INDEX(Decrements!$G$6:$G$58,Census!$G127-17)*(INDEX(Decrements!$D$6:$D$58,Census!$G127+AD$5-18)+IF(AD$5=$B127,INDEX(Decrements!$F$6:$F$58,Census!$G127+AD$5-18),0)+INDEX(Decrements!$E$6:$E$58,Census!$G127+AD$5-18)*IF((Census!$F127+AD$5)&gt;=Assumptions!$B$11,1,0))*MIN(15/26*Census!$D127*(1+Assumptions!$B$9)^AD$5*(INT((Census!$F127+AD$5))+IF((Census!$F127+AD$5)-INT((Census!$F127+AD$5))&gt;0.5,1,0)),Assumptions!$B$10))</f>
        <v>0</v>
      </c>
      <c r="AE127" s="30">
        <f>IF(AE$5&gt;$B127,0,INDEX(Decrements!$G$6:$G$58,Census!$G127+AE$5-18)/INDEX(Decrements!$G$6:$G$58,Census!$G127-17)*(INDEX(Decrements!$D$6:$D$58,Census!$G127+AE$5-18)+IF(AE$5=$B127,INDEX(Decrements!$F$6:$F$58,Census!$G127+AE$5-18),0)+INDEX(Decrements!$E$6:$E$58,Census!$G127+AE$5-18)*IF((Census!$F127+AE$5)&gt;=Assumptions!$B$11,1,0))*MIN(15/26*Census!$D127*(1+Assumptions!$B$9)^AE$5*(INT((Census!$F127+AE$5))+IF((Census!$F127+AE$5)-INT((Census!$F127+AE$5))&gt;0.5,1,0)),Assumptions!$B$10))</f>
        <v>0</v>
      </c>
      <c r="AF127" s="30">
        <f>IF(AF$5&gt;$B127,0,INDEX(Decrements!$G$6:$G$58,Census!$G127+AF$5-18)/INDEX(Decrements!$G$6:$G$58,Census!$G127-17)*(INDEX(Decrements!$D$6:$D$58,Census!$G127+AF$5-18)+IF(AF$5=$B127,INDEX(Decrements!$F$6:$F$58,Census!$G127+AF$5-18),0)+INDEX(Decrements!$E$6:$E$58,Census!$G127+AF$5-18)*IF((Census!$F127+AF$5)&gt;=Assumptions!$B$11,1,0))*MIN(15/26*Census!$D127*(1+Assumptions!$B$9)^AF$5*(INT((Census!$F127+AF$5))+IF((Census!$F127+AF$5)-INT((Census!$F127+AF$5))&gt;0.5,1,0)),Assumptions!$B$10))</f>
        <v>0</v>
      </c>
      <c r="AG127" s="30">
        <f>IF(AG$5&gt;$B127,0,INDEX(Decrements!$G$6:$G$58,Census!$G127+AG$5-18)/INDEX(Decrements!$G$6:$G$58,Census!$G127-17)*(INDEX(Decrements!$D$6:$D$58,Census!$G127+AG$5-18)+IF(AG$5=$B127,INDEX(Decrements!$F$6:$F$58,Census!$G127+AG$5-18),0)+INDEX(Decrements!$E$6:$E$58,Census!$G127+AG$5-18)*IF((Census!$F127+AG$5)&gt;=Assumptions!$B$11,1,0))*MIN(15/26*Census!$D127*(1+Assumptions!$B$9)^AG$5*(INT((Census!$F127+AG$5))+IF((Census!$F127+AG$5)-INT((Census!$F127+AG$5))&gt;0.5,1,0)),Assumptions!$B$10))</f>
        <v>0</v>
      </c>
      <c r="AH127" s="30">
        <f>IF(AH$5&gt;$B127,0,INDEX(Decrements!$G$6:$G$58,Census!$G127+AH$5-18)/INDEX(Decrements!$G$6:$G$58,Census!$G127-17)*(INDEX(Decrements!$D$6:$D$58,Census!$G127+AH$5-18)+IF(AH$5=$B127,INDEX(Decrements!$F$6:$F$58,Census!$G127+AH$5-18),0)+INDEX(Decrements!$E$6:$E$58,Census!$G127+AH$5-18)*IF((Census!$F127+AH$5)&gt;=Assumptions!$B$11,1,0))*MIN(15/26*Census!$D127*(1+Assumptions!$B$9)^AH$5*(INT((Census!$F127+AH$5))+IF((Census!$F127+AH$5)-INT((Census!$F127+AH$5))&gt;0.5,1,0)),Assumptions!$B$10))</f>
        <v>0</v>
      </c>
      <c r="AI127" s="30">
        <f>IF(AI$5&gt;$B127,0,INDEX(Decrements!$G$6:$G$58,Census!$G127+AI$5-18)/INDEX(Decrements!$G$6:$G$58,Census!$G127-17)*(INDEX(Decrements!$D$6:$D$58,Census!$G127+AI$5-18)+IF(AI$5=$B127,INDEX(Decrements!$F$6:$F$58,Census!$G127+AI$5-18),0)+INDEX(Decrements!$E$6:$E$58,Census!$G127+AI$5-18)*IF((Census!$F127+AI$5)&gt;=Assumptions!$B$11,1,0))*MIN(15/26*Census!$D127*(1+Assumptions!$B$9)^AI$5*(INT((Census!$F127+AI$5))+IF((Census!$F127+AI$5)-INT((Census!$F127+AI$5))&gt;0.5,1,0)),Assumptions!$B$10))</f>
        <v>0</v>
      </c>
      <c r="AJ127" s="30">
        <f>IF(AJ$5&gt;$B127,0,INDEX(Decrements!$G$6:$G$58,Census!$G127+AJ$5-18)/INDEX(Decrements!$G$6:$G$58,Census!$G127-17)*(INDEX(Decrements!$D$6:$D$58,Census!$G127+AJ$5-18)+IF(AJ$5=$B127,INDEX(Decrements!$F$6:$F$58,Census!$G127+AJ$5-18),0)+INDEX(Decrements!$E$6:$E$58,Census!$G127+AJ$5-18)*IF((Census!$F127+AJ$5)&gt;=Assumptions!$B$11,1,0))*MIN(15/26*Census!$D127*(1+Assumptions!$B$9)^AJ$5*(INT((Census!$F127+AJ$5))+IF((Census!$F127+AJ$5)-INT((Census!$F127+AJ$5))&gt;0.5,1,0)),Assumptions!$B$10))</f>
        <v>0</v>
      </c>
      <c r="AK127" s="30">
        <f>IF(AK$5&gt;$B127,0,INDEX(Decrements!$G$6:$G$58,Census!$G127+AK$5-18)/INDEX(Decrements!$G$6:$G$58,Census!$G127-17)*(INDEX(Decrements!$D$6:$D$58,Census!$G127+AK$5-18)+IF(AK$5=$B127,INDEX(Decrements!$F$6:$F$58,Census!$G127+AK$5-18),0)+INDEX(Decrements!$E$6:$E$58,Census!$G127+AK$5-18)*IF((Census!$F127+AK$5)&gt;=Assumptions!$B$11,1,0))*MIN(15/26*Census!$D127*(1+Assumptions!$B$9)^AK$5*(INT((Census!$F127+AK$5))+IF((Census!$F127+AK$5)-INT((Census!$F127+AK$5))&gt;0.5,1,0)),Assumptions!$B$10))</f>
        <v>0</v>
      </c>
      <c r="AL127" s="30">
        <f>IF(AL$5&gt;$B127,0,INDEX(Decrements!$G$6:$G$58,Census!$G127+AL$5-18)/INDEX(Decrements!$G$6:$G$58,Census!$G127-17)*(INDEX(Decrements!$D$6:$D$58,Census!$G127+AL$5-18)+IF(AL$5=$B127,INDEX(Decrements!$F$6:$F$58,Census!$G127+AL$5-18),0)+INDEX(Decrements!$E$6:$E$58,Census!$G127+AL$5-18)*IF((Census!$F127+AL$5)&gt;=Assumptions!$B$11,1,0))*MIN(15/26*Census!$D127*(1+Assumptions!$B$9)^AL$5*(INT((Census!$F127+AL$5))+IF((Census!$F127+AL$5)-INT((Census!$F127+AL$5))&gt;0.5,1,0)),Assumptions!$B$10))</f>
        <v>0</v>
      </c>
      <c r="AM127" s="30">
        <f>IF(AM$5&gt;$B127,0,INDEX(Decrements!$G$6:$G$58,Census!$G127+AM$5-18)/INDEX(Decrements!$G$6:$G$58,Census!$G127-17)*(INDEX(Decrements!$D$6:$D$58,Census!$G127+AM$5-18)+IF(AM$5=$B127,INDEX(Decrements!$F$6:$F$58,Census!$G127+AM$5-18),0)+INDEX(Decrements!$E$6:$E$58,Census!$G127+AM$5-18)*IF((Census!$F127+AM$5)&gt;=Assumptions!$B$11,1,0))*MIN(15/26*Census!$D127*(1+Assumptions!$B$9)^AM$5*(INT((Census!$F127+AM$5))+IF((Census!$F127+AM$5)-INT((Census!$F127+AM$5))&gt;0.5,1,0)),Assumptions!$B$10))</f>
        <v>0</v>
      </c>
      <c r="AN127" s="30">
        <f>IF(AN$5&gt;$B127,0,INDEX(Decrements!$G$6:$G$58,Census!$G127+AN$5-18)/INDEX(Decrements!$G$6:$G$58,Census!$G127-17)*(INDEX(Decrements!$D$6:$D$58,Census!$G127+AN$5-18)+IF(AN$5=$B127,INDEX(Decrements!$F$6:$F$58,Census!$G127+AN$5-18),0)+INDEX(Decrements!$E$6:$E$58,Census!$G127+AN$5-18)*IF((Census!$F127+AN$5)&gt;=Assumptions!$B$11,1,0))*MIN(15/26*Census!$D127*(1+Assumptions!$B$9)^AN$5*(INT((Census!$F127+AN$5))+IF((Census!$F127+AN$5)-INT((Census!$F127+AN$5))&gt;0.5,1,0)),Assumptions!$B$10))</f>
        <v>0</v>
      </c>
      <c r="AO127" s="30">
        <f>IF(AO$5&gt;$B127,0,INDEX(Decrements!$G$6:$G$58,Census!$G127+AO$5-18)/INDEX(Decrements!$G$6:$G$58,Census!$G127-17)*(INDEX(Decrements!$D$6:$D$58,Census!$G127+AO$5-18)+IF(AO$5=$B127,INDEX(Decrements!$F$6:$F$58,Census!$G127+AO$5-18),0)+INDEX(Decrements!$E$6:$E$58,Census!$G127+AO$5-18)*IF((Census!$F127+AO$5)&gt;=Assumptions!$B$11,1,0))*MIN(15/26*Census!$D127*(1+Assumptions!$B$9)^AO$5*(INT((Census!$F127+AO$5))+IF((Census!$F127+AO$5)-INT((Census!$F127+AO$5))&gt;0.5,1,0)),Assumptions!$B$10))</f>
        <v>0</v>
      </c>
      <c r="AP127" s="30">
        <f>IF(AP$5&gt;$B127,0,INDEX(Decrements!$G$6:$G$58,Census!$G127+AP$5-18)/INDEX(Decrements!$G$6:$G$58,Census!$G127-17)*(INDEX(Decrements!$D$6:$D$58,Census!$G127+AP$5-18)+IF(AP$5=$B127,INDEX(Decrements!$F$6:$F$58,Census!$G127+AP$5-18),0)+INDEX(Decrements!$E$6:$E$58,Census!$G127+AP$5-18)*IF((Census!$F127+AP$5)&gt;=Assumptions!$B$11,1,0))*MIN(15/26*Census!$D127*(1+Assumptions!$B$9)^AP$5*(INT((Census!$F127+AP$5))+IF((Census!$F127+AP$5)-INT((Census!$F127+AP$5))&gt;0.5,1,0)),Assumptions!$B$10))</f>
        <v>0</v>
      </c>
      <c r="AQ127" s="30">
        <f>IF(AQ$5&gt;$B127,0,INDEX(Decrements!$G$6:$G$58,Census!$G127+AQ$5-18)/INDEX(Decrements!$G$6:$G$58,Census!$G127-17)*(INDEX(Decrements!$D$6:$D$58,Census!$G127+AQ$5-18)+IF(AQ$5=$B127,INDEX(Decrements!$F$6:$F$58,Census!$G127+AQ$5-18),0)+INDEX(Decrements!$E$6:$E$58,Census!$G127+AQ$5-18)*IF((Census!$F127+AQ$5)&gt;=Assumptions!$B$11,1,0))*MIN(15/26*Census!$D127*(1+Assumptions!$B$9)^AQ$5*(INT((Census!$F127+AQ$5))+IF((Census!$F127+AQ$5)-INT((Census!$F127+AQ$5))&gt;0.5,1,0)),Assumptions!$B$10))</f>
        <v>0</v>
      </c>
      <c r="AR127" s="30">
        <f>IF(AR$5&gt;$B127,0,INDEX(Decrements!$G$6:$G$58,Census!$G127+AR$5-18)/INDEX(Decrements!$G$6:$G$58,Census!$G127-17)*(INDEX(Decrements!$D$6:$D$58,Census!$G127+AR$5-18)+IF(AR$5=$B127,INDEX(Decrements!$F$6:$F$58,Census!$G127+AR$5-18),0)+INDEX(Decrements!$E$6:$E$58,Census!$G127+AR$5-18)*IF((Census!$F127+AR$5)&gt;=Assumptions!$B$11,1,0))*MIN(15/26*Census!$D127*(1+Assumptions!$B$9)^AR$5*(INT((Census!$F127+AR$5))+IF((Census!$F127+AR$5)-INT((Census!$F127+AR$5))&gt;0.5,1,0)),Assumptions!$B$10))</f>
        <v>0</v>
      </c>
      <c r="AS127" s="30">
        <f>IF(AS$5&gt;$B127,0,INDEX(Decrements!$G$6:$G$58,Census!$G127+AS$5-18)/INDEX(Decrements!$G$6:$G$58,Census!$G127-17)*(INDEX(Decrements!$D$6:$D$58,Census!$G127+AS$5-18)+IF(AS$5=$B127,INDEX(Decrements!$F$6:$F$58,Census!$G127+AS$5-18),0)+INDEX(Decrements!$E$6:$E$58,Census!$G127+AS$5-18)*IF((Census!$F127+AS$5)&gt;=Assumptions!$B$11,1,0))*MIN(15/26*Census!$D127*(1+Assumptions!$B$9)^AS$5*(INT((Census!$F127+AS$5))+IF((Census!$F127+AS$5)-INT((Census!$F127+AS$5))&gt;0.5,1,0)),Assumptions!$B$10))</f>
        <v>0</v>
      </c>
      <c r="AT127" s="30">
        <f>IF(AT$5&gt;$B127,0,INDEX(Decrements!$G$6:$G$58,Census!$G127+AT$5-18)/INDEX(Decrements!$G$6:$G$58,Census!$G127-17)*(INDEX(Decrements!$D$6:$D$58,Census!$G127+AT$5-18)+IF(AT$5=$B127,INDEX(Decrements!$F$6:$F$58,Census!$G127+AT$5-18),0)+INDEX(Decrements!$E$6:$E$58,Census!$G127+AT$5-18)*IF((Census!$F127+AT$5)&gt;=Assumptions!$B$11,1,0))*MIN(15/26*Census!$D127*(1+Assumptions!$B$9)^AT$5*(INT((Census!$F127+AT$5))+IF((Census!$F127+AT$5)-INT((Census!$F127+AT$5))&gt;0.5,1,0)),Assumptions!$B$10))</f>
        <v>0</v>
      </c>
      <c r="AU127" s="30">
        <f>IF(AU$5&gt;$B127,0,INDEX(Decrements!$G$6:$G$58,Census!$G127+AU$5-18)/INDEX(Decrements!$G$6:$G$58,Census!$G127-17)*(INDEX(Decrements!$D$6:$D$58,Census!$G127+AU$5-18)+IF(AU$5=$B127,INDEX(Decrements!$F$6:$F$58,Census!$G127+AU$5-18),0)+INDEX(Decrements!$E$6:$E$58,Census!$G127+AU$5-18)*IF((Census!$F127+AU$5)&gt;=Assumptions!$B$11,1,0))*MIN(15/26*Census!$D127*(1+Assumptions!$B$9)^AU$5*(INT((Census!$F127+AU$5))+IF((Census!$F127+AU$5)-INT((Census!$F127+AU$5))&gt;0.5,1,0)),Assumptions!$B$10))</f>
        <v>0</v>
      </c>
    </row>
    <row r="128" spans="1:47" x14ac:dyDescent="0.3">
      <c r="A128" s="10" t="str">
        <f>Census!A128</f>
        <v>E123</v>
      </c>
      <c r="B128" s="29">
        <f>Census!H128</f>
        <v>15</v>
      </c>
      <c r="C128" s="30">
        <f>IF(C$5&gt;$B128,0,INDEX(Decrements!$G$6:$G$58,Census!$G128+C$5-18)/INDEX(Decrements!$G$6:$G$58,Census!$G128-17)*(INDEX(Decrements!$D$6:$D$58,Census!$G128+C$5-18)+IF(C$5=$B128,INDEX(Decrements!$F$6:$F$58,Census!$G128+C$5-18),0)+INDEX(Decrements!$E$6:$E$58,Census!$G128+C$5-18)*IF((Census!$F128+C$5)&gt;=Assumptions!$B$11,1,0))*MIN(15/26*Census!$D128*(1+Assumptions!$B$9)^C$5*(INT((Census!$F128+C$5))+IF((Census!$F128+C$5)-INT((Census!$F128+C$5))&gt;0.5,1,0)),Assumptions!$B$10))</f>
        <v>15584.063264789122</v>
      </c>
      <c r="D128" s="30">
        <f>IF(D$5&gt;$B128,0,INDEX(Decrements!$G$6:$G$58,Census!$G128+D$5-18)/INDEX(Decrements!$G$6:$G$58,Census!$G128-17)*(INDEX(Decrements!$D$6:$D$58,Census!$G128+D$5-18)+IF(D$5=$B128,INDEX(Decrements!$F$6:$F$58,Census!$G128+D$5-18),0)+INDEX(Decrements!$E$6:$E$58,Census!$G128+D$5-18)*IF((Census!$F128+D$5)&gt;=Assumptions!$B$11,1,0))*MIN(15/26*Census!$D128*(1+Assumptions!$B$9)^D$5*(INT((Census!$F128+D$5))+IF((Census!$F128+D$5)-INT((Census!$F128+D$5))&gt;0.5,1,0)),Assumptions!$B$10))</f>
        <v>17734.272664305547</v>
      </c>
      <c r="E128" s="30">
        <f>IF(E$5&gt;$B128,0,INDEX(Decrements!$G$6:$G$58,Census!$G128+E$5-18)/INDEX(Decrements!$G$6:$G$58,Census!$G128-17)*(INDEX(Decrements!$D$6:$D$58,Census!$G128+E$5-18)+IF(E$5=$B128,INDEX(Decrements!$F$6:$F$58,Census!$G128+E$5-18),0)+INDEX(Decrements!$E$6:$E$58,Census!$G128+E$5-18)*IF((Census!$F128+E$5)&gt;=Assumptions!$B$11,1,0))*MIN(15/26*Census!$D128*(1+Assumptions!$B$9)^E$5*(INT((Census!$F128+E$5))+IF((Census!$F128+E$5)-INT((Census!$F128+E$5))&gt;0.5,1,0)),Assumptions!$B$10))</f>
        <v>20067.461574068497</v>
      </c>
      <c r="F128" s="30">
        <f>IF(F$5&gt;$B128,0,INDEX(Decrements!$G$6:$G$58,Census!$G128+F$5-18)/INDEX(Decrements!$G$6:$G$58,Census!$G128-17)*(INDEX(Decrements!$D$6:$D$58,Census!$G128+F$5-18)+IF(F$5=$B128,INDEX(Decrements!$F$6:$F$58,Census!$G128+F$5-18),0)+INDEX(Decrements!$E$6:$E$58,Census!$G128+F$5-18)*IF((Census!$F128+F$5)&gt;=Assumptions!$B$11,1,0))*MIN(15/26*Census!$D128*(1+Assumptions!$B$9)^F$5*(INT((Census!$F128+F$5))+IF((Census!$F128+F$5)-INT((Census!$F128+F$5))&gt;0.5,1,0)),Assumptions!$B$10))</f>
        <v>22598.729986911214</v>
      </c>
      <c r="G128" s="30">
        <f>IF(G$5&gt;$B128,0,INDEX(Decrements!$G$6:$G$58,Census!$G128+G$5-18)/INDEX(Decrements!$G$6:$G$58,Census!$G128-17)*(INDEX(Decrements!$D$6:$D$58,Census!$G128+G$5-18)+IF(G$5=$B128,INDEX(Decrements!$F$6:$F$58,Census!$G128+G$5-18),0)+INDEX(Decrements!$E$6:$E$58,Census!$G128+G$5-18)*IF((Census!$F128+G$5)&gt;=Assumptions!$B$11,1,0))*MIN(15/26*Census!$D128*(1+Assumptions!$B$9)^G$5*(INT((Census!$F128+G$5))+IF((Census!$F128+G$5)-INT((Census!$F128+G$5))&gt;0.5,1,0)),Assumptions!$B$10))</f>
        <v>25344.627654579992</v>
      </c>
      <c r="H128" s="30">
        <f>IF(H$5&gt;$B128,0,INDEX(Decrements!$G$6:$G$58,Census!$G128+H$5-18)/INDEX(Decrements!$G$6:$G$58,Census!$G128-17)*(INDEX(Decrements!$D$6:$D$58,Census!$G128+H$5-18)+IF(H$5=$B128,INDEX(Decrements!$F$6:$F$58,Census!$G128+H$5-18),0)+INDEX(Decrements!$E$6:$E$58,Census!$G128+H$5-18)*IF((Census!$F128+H$5)&gt;=Assumptions!$B$11,1,0))*MIN(15/26*Census!$D128*(1+Assumptions!$B$9)^H$5*(INT((Census!$F128+H$5))+IF((Census!$F128+H$5)-INT((Census!$F128+H$5))&gt;0.5,1,0)),Assumptions!$B$10))</f>
        <v>19705.882621939174</v>
      </c>
      <c r="I128" s="30">
        <f>IF(I$5&gt;$B128,0,INDEX(Decrements!$G$6:$G$58,Census!$G128+I$5-18)/INDEX(Decrements!$G$6:$G$58,Census!$G128-17)*(INDEX(Decrements!$D$6:$D$58,Census!$G128+I$5-18)+IF(I$5=$B128,INDEX(Decrements!$F$6:$F$58,Census!$G128+I$5-18),0)+INDEX(Decrements!$E$6:$E$58,Census!$G128+I$5-18)*IF((Census!$F128+I$5)&gt;=Assumptions!$B$11,1,0))*MIN(15/26*Census!$D128*(1+Assumptions!$B$9)^I$5*(INT((Census!$F128+I$5))+IF((Census!$F128+I$5)-INT((Census!$F128+I$5))&gt;0.5,1,0)),Assumptions!$B$10))</f>
        <v>22252.866035690564</v>
      </c>
      <c r="J128" s="30">
        <f>IF(J$5&gt;$B128,0,INDEX(Decrements!$G$6:$G$58,Census!$G128+J$5-18)/INDEX(Decrements!$G$6:$G$58,Census!$G128-17)*(INDEX(Decrements!$D$6:$D$58,Census!$G128+J$5-18)+IF(J$5=$B128,INDEX(Decrements!$F$6:$F$58,Census!$G128+J$5-18),0)+INDEX(Decrements!$E$6:$E$58,Census!$G128+J$5-18)*IF((Census!$F128+J$5)&gt;=Assumptions!$B$11,1,0))*MIN(15/26*Census!$D128*(1+Assumptions!$B$9)^J$5*(INT((Census!$F128+J$5))+IF((Census!$F128+J$5)-INT((Census!$F128+J$5))&gt;0.5,1,0)),Assumptions!$B$10))</f>
        <v>25068.398818195954</v>
      </c>
      <c r="K128" s="30">
        <f>IF(K$5&gt;$B128,0,INDEX(Decrements!$G$6:$G$58,Census!$G128+K$5-18)/INDEX(Decrements!$G$6:$G$58,Census!$G128-17)*(INDEX(Decrements!$D$6:$D$58,Census!$G128+K$5-18)+IF(K$5=$B128,INDEX(Decrements!$F$6:$F$58,Census!$G128+K$5-18),0)+INDEX(Decrements!$E$6:$E$58,Census!$G128+K$5-18)*IF((Census!$F128+K$5)&gt;=Assumptions!$B$11,1,0))*MIN(15/26*Census!$D128*(1+Assumptions!$B$9)^K$5*(INT((Census!$F128+K$5))+IF((Census!$F128+K$5)-INT((Census!$F128+K$5))&gt;0.5,1,0)),Assumptions!$B$10))</f>
        <v>28182.188029395973</v>
      </c>
      <c r="L128" s="30">
        <f>IF(L$5&gt;$B128,0,INDEX(Decrements!$G$6:$G$58,Census!$G128+L$5-18)/INDEX(Decrements!$G$6:$G$58,Census!$G128-17)*(INDEX(Decrements!$D$6:$D$58,Census!$G128+L$5-18)+IF(L$5=$B128,INDEX(Decrements!$F$6:$F$58,Census!$G128+L$5-18),0)+INDEX(Decrements!$E$6:$E$58,Census!$G128+L$5-18)*IF((Census!$F128+L$5)&gt;=Assumptions!$B$11,1,0))*MIN(15/26*Census!$D128*(1+Assumptions!$B$9)^L$5*(INT((Census!$F128+L$5))+IF((Census!$F128+L$5)-INT((Census!$F128+L$5))&gt;0.5,1,0)),Assumptions!$B$10))</f>
        <v>31627.670742718481</v>
      </c>
      <c r="M128" s="30">
        <f>IF(M$5&gt;$B128,0,INDEX(Decrements!$G$6:$G$58,Census!$G128+M$5-18)/INDEX(Decrements!$G$6:$G$58,Census!$G128-17)*(INDEX(Decrements!$D$6:$D$58,Census!$G128+M$5-18)+IF(M$5=$B128,INDEX(Decrements!$F$6:$F$58,Census!$G128+M$5-18),0)+INDEX(Decrements!$E$6:$E$58,Census!$G128+M$5-18)*IF((Census!$F128+M$5)&gt;=Assumptions!$B$11,1,0))*MIN(15/26*Census!$D128*(1+Assumptions!$B$9)^M$5*(INT((Census!$F128+M$5))+IF((Census!$F128+M$5)-INT((Census!$F128+M$5))&gt;0.5,1,0)),Assumptions!$B$10))</f>
        <v>20903.065753302137</v>
      </c>
      <c r="N128" s="30">
        <f>IF(N$5&gt;$B128,0,INDEX(Decrements!$G$6:$G$58,Census!$G128+N$5-18)/INDEX(Decrements!$G$6:$G$58,Census!$G128-17)*(INDEX(Decrements!$D$6:$D$58,Census!$G128+N$5-18)+IF(N$5=$B128,INDEX(Decrements!$F$6:$F$58,Census!$G128+N$5-18),0)+INDEX(Decrements!$E$6:$E$58,Census!$G128+N$5-18)*IF((Census!$F128+N$5)&gt;=Assumptions!$B$11,1,0))*MIN(15/26*Census!$D128*(1+Assumptions!$B$9)^N$5*(INT((Census!$F128+N$5))+IF((Census!$F128+N$5)-INT((Census!$F128+N$5))&gt;0.5,1,0)),Assumptions!$B$10))</f>
        <v>21872.670222148288</v>
      </c>
      <c r="O128" s="30">
        <f>IF(O$5&gt;$B128,0,INDEX(Decrements!$G$6:$G$58,Census!$G128+O$5-18)/INDEX(Decrements!$G$6:$G$58,Census!$G128-17)*(INDEX(Decrements!$D$6:$D$58,Census!$G128+O$5-18)+IF(O$5=$B128,INDEX(Decrements!$F$6:$F$58,Census!$G128+O$5-18),0)+INDEX(Decrements!$E$6:$E$58,Census!$G128+O$5-18)*IF((Census!$F128+O$5)&gt;=Assumptions!$B$11,1,0))*MIN(15/26*Census!$D128*(1+Assumptions!$B$9)^O$5*(INT((Census!$F128+O$5))+IF((Census!$F128+O$5)-INT((Census!$F128+O$5))&gt;0.5,1,0)),Assumptions!$B$10))</f>
        <v>22181.047442070965</v>
      </c>
      <c r="P128" s="30">
        <f>IF(P$5&gt;$B128,0,INDEX(Decrements!$G$6:$G$58,Census!$G128+P$5-18)/INDEX(Decrements!$G$6:$G$58,Census!$G128-17)*(INDEX(Decrements!$D$6:$D$58,Census!$G128+P$5-18)+IF(P$5=$B128,INDEX(Decrements!$F$6:$F$58,Census!$G128+P$5-18),0)+INDEX(Decrements!$E$6:$E$58,Census!$G128+P$5-18)*IF((Census!$F128+P$5)&gt;=Assumptions!$B$11,1,0))*MIN(15/26*Census!$D128*(1+Assumptions!$B$9)^P$5*(INT((Census!$F128+P$5))+IF((Census!$F128+P$5)-INT((Census!$F128+P$5))&gt;0.5,1,0)),Assumptions!$B$10))</f>
        <v>22527.554845379509</v>
      </c>
      <c r="Q128" s="30">
        <f>IF(Q$5&gt;$B128,0,INDEX(Decrements!$G$6:$G$58,Census!$G128+Q$5-18)/INDEX(Decrements!$G$6:$G$58,Census!$G128-17)*(INDEX(Decrements!$D$6:$D$58,Census!$G128+Q$5-18)+IF(Q$5=$B128,INDEX(Decrements!$F$6:$F$58,Census!$G128+Q$5-18),0)+INDEX(Decrements!$E$6:$E$58,Census!$G128+Q$5-18)*IF((Census!$F128+Q$5)&gt;=Assumptions!$B$11,1,0))*MIN(15/26*Census!$D128*(1+Assumptions!$B$9)^Q$5*(INT((Census!$F128+Q$5))+IF((Census!$F128+Q$5)-INT((Census!$F128+Q$5))&gt;0.5,1,0)),Assumptions!$B$10))</f>
        <v>1420838.7100401479</v>
      </c>
      <c r="R128" s="30">
        <f>IF(R$5&gt;$B128,0,INDEX(Decrements!$G$6:$G$58,Census!$G128+R$5-18)/INDEX(Decrements!$G$6:$G$58,Census!$G128-17)*(INDEX(Decrements!$D$6:$D$58,Census!$G128+R$5-18)+IF(R$5=$B128,INDEX(Decrements!$F$6:$F$58,Census!$G128+R$5-18),0)+INDEX(Decrements!$E$6:$E$58,Census!$G128+R$5-18)*IF((Census!$F128+R$5)&gt;=Assumptions!$B$11,1,0))*MIN(15/26*Census!$D128*(1+Assumptions!$B$9)^R$5*(INT((Census!$F128+R$5))+IF((Census!$F128+R$5)-INT((Census!$F128+R$5))&gt;0.5,1,0)),Assumptions!$B$10))</f>
        <v>0</v>
      </c>
      <c r="S128" s="30">
        <f>IF(S$5&gt;$B128,0,INDEX(Decrements!$G$6:$G$58,Census!$G128+S$5-18)/INDEX(Decrements!$G$6:$G$58,Census!$G128-17)*(INDEX(Decrements!$D$6:$D$58,Census!$G128+S$5-18)+IF(S$5=$B128,INDEX(Decrements!$F$6:$F$58,Census!$G128+S$5-18),0)+INDEX(Decrements!$E$6:$E$58,Census!$G128+S$5-18)*IF((Census!$F128+S$5)&gt;=Assumptions!$B$11,1,0))*MIN(15/26*Census!$D128*(1+Assumptions!$B$9)^S$5*(INT((Census!$F128+S$5))+IF((Census!$F128+S$5)-INT((Census!$F128+S$5))&gt;0.5,1,0)),Assumptions!$B$10))</f>
        <v>0</v>
      </c>
      <c r="T128" s="30">
        <f>IF(T$5&gt;$B128,0,INDEX(Decrements!$G$6:$G$58,Census!$G128+T$5-18)/INDEX(Decrements!$G$6:$G$58,Census!$G128-17)*(INDEX(Decrements!$D$6:$D$58,Census!$G128+T$5-18)+IF(T$5=$B128,INDEX(Decrements!$F$6:$F$58,Census!$G128+T$5-18),0)+INDEX(Decrements!$E$6:$E$58,Census!$G128+T$5-18)*IF((Census!$F128+T$5)&gt;=Assumptions!$B$11,1,0))*MIN(15/26*Census!$D128*(1+Assumptions!$B$9)^T$5*(INT((Census!$F128+T$5))+IF((Census!$F128+T$5)-INT((Census!$F128+T$5))&gt;0.5,1,0)),Assumptions!$B$10))</f>
        <v>0</v>
      </c>
      <c r="U128" s="30">
        <f>IF(U$5&gt;$B128,0,INDEX(Decrements!$G$6:$G$58,Census!$G128+U$5-18)/INDEX(Decrements!$G$6:$G$58,Census!$G128-17)*(INDEX(Decrements!$D$6:$D$58,Census!$G128+U$5-18)+IF(U$5=$B128,INDEX(Decrements!$F$6:$F$58,Census!$G128+U$5-18),0)+INDEX(Decrements!$E$6:$E$58,Census!$G128+U$5-18)*IF((Census!$F128+U$5)&gt;=Assumptions!$B$11,1,0))*MIN(15/26*Census!$D128*(1+Assumptions!$B$9)^U$5*(INT((Census!$F128+U$5))+IF((Census!$F128+U$5)-INT((Census!$F128+U$5))&gt;0.5,1,0)),Assumptions!$B$10))</f>
        <v>0</v>
      </c>
      <c r="V128" s="30">
        <f>IF(V$5&gt;$B128,0,INDEX(Decrements!$G$6:$G$58,Census!$G128+V$5-18)/INDEX(Decrements!$G$6:$G$58,Census!$G128-17)*(INDEX(Decrements!$D$6:$D$58,Census!$G128+V$5-18)+IF(V$5=$B128,INDEX(Decrements!$F$6:$F$58,Census!$G128+V$5-18),0)+INDEX(Decrements!$E$6:$E$58,Census!$G128+V$5-18)*IF((Census!$F128+V$5)&gt;=Assumptions!$B$11,1,0))*MIN(15/26*Census!$D128*(1+Assumptions!$B$9)^V$5*(INT((Census!$F128+V$5))+IF((Census!$F128+V$5)-INT((Census!$F128+V$5))&gt;0.5,1,0)),Assumptions!$B$10))</f>
        <v>0</v>
      </c>
      <c r="W128" s="30">
        <f>IF(W$5&gt;$B128,0,INDEX(Decrements!$G$6:$G$58,Census!$G128+W$5-18)/INDEX(Decrements!$G$6:$G$58,Census!$G128-17)*(INDEX(Decrements!$D$6:$D$58,Census!$G128+W$5-18)+IF(W$5=$B128,INDEX(Decrements!$F$6:$F$58,Census!$G128+W$5-18),0)+INDEX(Decrements!$E$6:$E$58,Census!$G128+W$5-18)*IF((Census!$F128+W$5)&gt;=Assumptions!$B$11,1,0))*MIN(15/26*Census!$D128*(1+Assumptions!$B$9)^W$5*(INT((Census!$F128+W$5))+IF((Census!$F128+W$5)-INT((Census!$F128+W$5))&gt;0.5,1,0)),Assumptions!$B$10))</f>
        <v>0</v>
      </c>
      <c r="X128" s="30">
        <f>IF(X$5&gt;$B128,0,INDEX(Decrements!$G$6:$G$58,Census!$G128+X$5-18)/INDEX(Decrements!$G$6:$G$58,Census!$G128-17)*(INDEX(Decrements!$D$6:$D$58,Census!$G128+X$5-18)+IF(X$5=$B128,INDEX(Decrements!$F$6:$F$58,Census!$G128+X$5-18),0)+INDEX(Decrements!$E$6:$E$58,Census!$G128+X$5-18)*IF((Census!$F128+X$5)&gt;=Assumptions!$B$11,1,0))*MIN(15/26*Census!$D128*(1+Assumptions!$B$9)^X$5*(INT((Census!$F128+X$5))+IF((Census!$F128+X$5)-INT((Census!$F128+X$5))&gt;0.5,1,0)),Assumptions!$B$10))</f>
        <v>0</v>
      </c>
      <c r="Y128" s="30">
        <f>IF(Y$5&gt;$B128,0,INDEX(Decrements!$G$6:$G$58,Census!$G128+Y$5-18)/INDEX(Decrements!$G$6:$G$58,Census!$G128-17)*(INDEX(Decrements!$D$6:$D$58,Census!$G128+Y$5-18)+IF(Y$5=$B128,INDEX(Decrements!$F$6:$F$58,Census!$G128+Y$5-18),0)+INDEX(Decrements!$E$6:$E$58,Census!$G128+Y$5-18)*IF((Census!$F128+Y$5)&gt;=Assumptions!$B$11,1,0))*MIN(15/26*Census!$D128*(1+Assumptions!$B$9)^Y$5*(INT((Census!$F128+Y$5))+IF((Census!$F128+Y$5)-INT((Census!$F128+Y$5))&gt;0.5,1,0)),Assumptions!$B$10))</f>
        <v>0</v>
      </c>
      <c r="Z128" s="30">
        <f>IF(Z$5&gt;$B128,0,INDEX(Decrements!$G$6:$G$58,Census!$G128+Z$5-18)/INDEX(Decrements!$G$6:$G$58,Census!$G128-17)*(INDEX(Decrements!$D$6:$D$58,Census!$G128+Z$5-18)+IF(Z$5=$B128,INDEX(Decrements!$F$6:$F$58,Census!$G128+Z$5-18),0)+INDEX(Decrements!$E$6:$E$58,Census!$G128+Z$5-18)*IF((Census!$F128+Z$5)&gt;=Assumptions!$B$11,1,0))*MIN(15/26*Census!$D128*(1+Assumptions!$B$9)^Z$5*(INT((Census!$F128+Z$5))+IF((Census!$F128+Z$5)-INT((Census!$F128+Z$5))&gt;0.5,1,0)),Assumptions!$B$10))</f>
        <v>0</v>
      </c>
      <c r="AA128" s="30">
        <f>IF(AA$5&gt;$B128,0,INDEX(Decrements!$G$6:$G$58,Census!$G128+AA$5-18)/INDEX(Decrements!$G$6:$G$58,Census!$G128-17)*(INDEX(Decrements!$D$6:$D$58,Census!$G128+AA$5-18)+IF(AA$5=$B128,INDEX(Decrements!$F$6:$F$58,Census!$G128+AA$5-18),0)+INDEX(Decrements!$E$6:$E$58,Census!$G128+AA$5-18)*IF((Census!$F128+AA$5)&gt;=Assumptions!$B$11,1,0))*MIN(15/26*Census!$D128*(1+Assumptions!$B$9)^AA$5*(INT((Census!$F128+AA$5))+IF((Census!$F128+AA$5)-INT((Census!$F128+AA$5))&gt;0.5,1,0)),Assumptions!$B$10))</f>
        <v>0</v>
      </c>
      <c r="AB128" s="30">
        <f>IF(AB$5&gt;$B128,0,INDEX(Decrements!$G$6:$G$58,Census!$G128+AB$5-18)/INDEX(Decrements!$G$6:$G$58,Census!$G128-17)*(INDEX(Decrements!$D$6:$D$58,Census!$G128+AB$5-18)+IF(AB$5=$B128,INDEX(Decrements!$F$6:$F$58,Census!$G128+AB$5-18),0)+INDEX(Decrements!$E$6:$E$58,Census!$G128+AB$5-18)*IF((Census!$F128+AB$5)&gt;=Assumptions!$B$11,1,0))*MIN(15/26*Census!$D128*(1+Assumptions!$B$9)^AB$5*(INT((Census!$F128+AB$5))+IF((Census!$F128+AB$5)-INT((Census!$F128+AB$5))&gt;0.5,1,0)),Assumptions!$B$10))</f>
        <v>0</v>
      </c>
      <c r="AC128" s="30">
        <f>IF(AC$5&gt;$B128,0,INDEX(Decrements!$G$6:$G$58,Census!$G128+AC$5-18)/INDEX(Decrements!$G$6:$G$58,Census!$G128-17)*(INDEX(Decrements!$D$6:$D$58,Census!$G128+AC$5-18)+IF(AC$5=$B128,INDEX(Decrements!$F$6:$F$58,Census!$G128+AC$5-18),0)+INDEX(Decrements!$E$6:$E$58,Census!$G128+AC$5-18)*IF((Census!$F128+AC$5)&gt;=Assumptions!$B$11,1,0))*MIN(15/26*Census!$D128*(1+Assumptions!$B$9)^AC$5*(INT((Census!$F128+AC$5))+IF((Census!$F128+AC$5)-INT((Census!$F128+AC$5))&gt;0.5,1,0)),Assumptions!$B$10))</f>
        <v>0</v>
      </c>
      <c r="AD128" s="30">
        <f>IF(AD$5&gt;$B128,0,INDEX(Decrements!$G$6:$G$58,Census!$G128+AD$5-18)/INDEX(Decrements!$G$6:$G$58,Census!$G128-17)*(INDEX(Decrements!$D$6:$D$58,Census!$G128+AD$5-18)+IF(AD$5=$B128,INDEX(Decrements!$F$6:$F$58,Census!$G128+AD$5-18),0)+INDEX(Decrements!$E$6:$E$58,Census!$G128+AD$5-18)*IF((Census!$F128+AD$5)&gt;=Assumptions!$B$11,1,0))*MIN(15/26*Census!$D128*(1+Assumptions!$B$9)^AD$5*(INT((Census!$F128+AD$5))+IF((Census!$F128+AD$5)-INT((Census!$F128+AD$5))&gt;0.5,1,0)),Assumptions!$B$10))</f>
        <v>0</v>
      </c>
      <c r="AE128" s="30">
        <f>IF(AE$5&gt;$B128,0,INDEX(Decrements!$G$6:$G$58,Census!$G128+AE$5-18)/INDEX(Decrements!$G$6:$G$58,Census!$G128-17)*(INDEX(Decrements!$D$6:$D$58,Census!$G128+AE$5-18)+IF(AE$5=$B128,INDEX(Decrements!$F$6:$F$58,Census!$G128+AE$5-18),0)+INDEX(Decrements!$E$6:$E$58,Census!$G128+AE$5-18)*IF((Census!$F128+AE$5)&gt;=Assumptions!$B$11,1,0))*MIN(15/26*Census!$D128*(1+Assumptions!$B$9)^AE$5*(INT((Census!$F128+AE$5))+IF((Census!$F128+AE$5)-INT((Census!$F128+AE$5))&gt;0.5,1,0)),Assumptions!$B$10))</f>
        <v>0</v>
      </c>
      <c r="AF128" s="30">
        <f>IF(AF$5&gt;$B128,0,INDEX(Decrements!$G$6:$G$58,Census!$G128+AF$5-18)/INDEX(Decrements!$G$6:$G$58,Census!$G128-17)*(INDEX(Decrements!$D$6:$D$58,Census!$G128+AF$5-18)+IF(AF$5=$B128,INDEX(Decrements!$F$6:$F$58,Census!$G128+AF$5-18),0)+INDEX(Decrements!$E$6:$E$58,Census!$G128+AF$5-18)*IF((Census!$F128+AF$5)&gt;=Assumptions!$B$11,1,0))*MIN(15/26*Census!$D128*(1+Assumptions!$B$9)^AF$5*(INT((Census!$F128+AF$5))+IF((Census!$F128+AF$5)-INT((Census!$F128+AF$5))&gt;0.5,1,0)),Assumptions!$B$10))</f>
        <v>0</v>
      </c>
      <c r="AG128" s="30">
        <f>IF(AG$5&gt;$B128,0,INDEX(Decrements!$G$6:$G$58,Census!$G128+AG$5-18)/INDEX(Decrements!$G$6:$G$58,Census!$G128-17)*(INDEX(Decrements!$D$6:$D$58,Census!$G128+AG$5-18)+IF(AG$5=$B128,INDEX(Decrements!$F$6:$F$58,Census!$G128+AG$5-18),0)+INDEX(Decrements!$E$6:$E$58,Census!$G128+AG$5-18)*IF((Census!$F128+AG$5)&gt;=Assumptions!$B$11,1,0))*MIN(15/26*Census!$D128*(1+Assumptions!$B$9)^AG$5*(INT((Census!$F128+AG$5))+IF((Census!$F128+AG$5)-INT((Census!$F128+AG$5))&gt;0.5,1,0)),Assumptions!$B$10))</f>
        <v>0</v>
      </c>
      <c r="AH128" s="30">
        <f>IF(AH$5&gt;$B128,0,INDEX(Decrements!$G$6:$G$58,Census!$G128+AH$5-18)/INDEX(Decrements!$G$6:$G$58,Census!$G128-17)*(INDEX(Decrements!$D$6:$D$58,Census!$G128+AH$5-18)+IF(AH$5=$B128,INDEX(Decrements!$F$6:$F$58,Census!$G128+AH$5-18),0)+INDEX(Decrements!$E$6:$E$58,Census!$G128+AH$5-18)*IF((Census!$F128+AH$5)&gt;=Assumptions!$B$11,1,0))*MIN(15/26*Census!$D128*(1+Assumptions!$B$9)^AH$5*(INT((Census!$F128+AH$5))+IF((Census!$F128+AH$5)-INT((Census!$F128+AH$5))&gt;0.5,1,0)),Assumptions!$B$10))</f>
        <v>0</v>
      </c>
      <c r="AI128" s="30">
        <f>IF(AI$5&gt;$B128,0,INDEX(Decrements!$G$6:$G$58,Census!$G128+AI$5-18)/INDEX(Decrements!$G$6:$G$58,Census!$G128-17)*(INDEX(Decrements!$D$6:$D$58,Census!$G128+AI$5-18)+IF(AI$5=$B128,INDEX(Decrements!$F$6:$F$58,Census!$G128+AI$5-18),0)+INDEX(Decrements!$E$6:$E$58,Census!$G128+AI$5-18)*IF((Census!$F128+AI$5)&gt;=Assumptions!$B$11,1,0))*MIN(15/26*Census!$D128*(1+Assumptions!$B$9)^AI$5*(INT((Census!$F128+AI$5))+IF((Census!$F128+AI$5)-INT((Census!$F128+AI$5))&gt;0.5,1,0)),Assumptions!$B$10))</f>
        <v>0</v>
      </c>
      <c r="AJ128" s="30">
        <f>IF(AJ$5&gt;$B128,0,INDEX(Decrements!$G$6:$G$58,Census!$G128+AJ$5-18)/INDEX(Decrements!$G$6:$G$58,Census!$G128-17)*(INDEX(Decrements!$D$6:$D$58,Census!$G128+AJ$5-18)+IF(AJ$5=$B128,INDEX(Decrements!$F$6:$F$58,Census!$G128+AJ$5-18),0)+INDEX(Decrements!$E$6:$E$58,Census!$G128+AJ$5-18)*IF((Census!$F128+AJ$5)&gt;=Assumptions!$B$11,1,0))*MIN(15/26*Census!$D128*(1+Assumptions!$B$9)^AJ$5*(INT((Census!$F128+AJ$5))+IF((Census!$F128+AJ$5)-INT((Census!$F128+AJ$5))&gt;0.5,1,0)),Assumptions!$B$10))</f>
        <v>0</v>
      </c>
      <c r="AK128" s="30">
        <f>IF(AK$5&gt;$B128,0,INDEX(Decrements!$G$6:$G$58,Census!$G128+AK$5-18)/INDEX(Decrements!$G$6:$G$58,Census!$G128-17)*(INDEX(Decrements!$D$6:$D$58,Census!$G128+AK$5-18)+IF(AK$5=$B128,INDEX(Decrements!$F$6:$F$58,Census!$G128+AK$5-18),0)+INDEX(Decrements!$E$6:$E$58,Census!$G128+AK$5-18)*IF((Census!$F128+AK$5)&gt;=Assumptions!$B$11,1,0))*MIN(15/26*Census!$D128*(1+Assumptions!$B$9)^AK$5*(INT((Census!$F128+AK$5))+IF((Census!$F128+AK$5)-INT((Census!$F128+AK$5))&gt;0.5,1,0)),Assumptions!$B$10))</f>
        <v>0</v>
      </c>
      <c r="AL128" s="30">
        <f>IF(AL$5&gt;$B128,0,INDEX(Decrements!$G$6:$G$58,Census!$G128+AL$5-18)/INDEX(Decrements!$G$6:$G$58,Census!$G128-17)*(INDEX(Decrements!$D$6:$D$58,Census!$G128+AL$5-18)+IF(AL$5=$B128,INDEX(Decrements!$F$6:$F$58,Census!$G128+AL$5-18),0)+INDEX(Decrements!$E$6:$E$58,Census!$G128+AL$5-18)*IF((Census!$F128+AL$5)&gt;=Assumptions!$B$11,1,0))*MIN(15/26*Census!$D128*(1+Assumptions!$B$9)^AL$5*(INT((Census!$F128+AL$5))+IF((Census!$F128+AL$5)-INT((Census!$F128+AL$5))&gt;0.5,1,0)),Assumptions!$B$10))</f>
        <v>0</v>
      </c>
      <c r="AM128" s="30">
        <f>IF(AM$5&gt;$B128,0,INDEX(Decrements!$G$6:$G$58,Census!$G128+AM$5-18)/INDEX(Decrements!$G$6:$G$58,Census!$G128-17)*(INDEX(Decrements!$D$6:$D$58,Census!$G128+AM$5-18)+IF(AM$5=$B128,INDEX(Decrements!$F$6:$F$58,Census!$G128+AM$5-18),0)+INDEX(Decrements!$E$6:$E$58,Census!$G128+AM$5-18)*IF((Census!$F128+AM$5)&gt;=Assumptions!$B$11,1,0))*MIN(15/26*Census!$D128*(1+Assumptions!$B$9)^AM$5*(INT((Census!$F128+AM$5))+IF((Census!$F128+AM$5)-INT((Census!$F128+AM$5))&gt;0.5,1,0)),Assumptions!$B$10))</f>
        <v>0</v>
      </c>
      <c r="AN128" s="30">
        <f>IF(AN$5&gt;$B128,0,INDEX(Decrements!$G$6:$G$58,Census!$G128+AN$5-18)/INDEX(Decrements!$G$6:$G$58,Census!$G128-17)*(INDEX(Decrements!$D$6:$D$58,Census!$G128+AN$5-18)+IF(AN$5=$B128,INDEX(Decrements!$F$6:$F$58,Census!$G128+AN$5-18),0)+INDEX(Decrements!$E$6:$E$58,Census!$G128+AN$5-18)*IF((Census!$F128+AN$5)&gt;=Assumptions!$B$11,1,0))*MIN(15/26*Census!$D128*(1+Assumptions!$B$9)^AN$5*(INT((Census!$F128+AN$5))+IF((Census!$F128+AN$5)-INT((Census!$F128+AN$5))&gt;0.5,1,0)),Assumptions!$B$10))</f>
        <v>0</v>
      </c>
      <c r="AO128" s="30">
        <f>IF(AO$5&gt;$B128,0,INDEX(Decrements!$G$6:$G$58,Census!$G128+AO$5-18)/INDEX(Decrements!$G$6:$G$58,Census!$G128-17)*(INDEX(Decrements!$D$6:$D$58,Census!$G128+AO$5-18)+IF(AO$5=$B128,INDEX(Decrements!$F$6:$F$58,Census!$G128+AO$5-18),0)+INDEX(Decrements!$E$6:$E$58,Census!$G128+AO$5-18)*IF((Census!$F128+AO$5)&gt;=Assumptions!$B$11,1,0))*MIN(15/26*Census!$D128*(1+Assumptions!$B$9)^AO$5*(INT((Census!$F128+AO$5))+IF((Census!$F128+AO$5)-INT((Census!$F128+AO$5))&gt;0.5,1,0)),Assumptions!$B$10))</f>
        <v>0</v>
      </c>
      <c r="AP128" s="30">
        <f>IF(AP$5&gt;$B128,0,INDEX(Decrements!$G$6:$G$58,Census!$G128+AP$5-18)/INDEX(Decrements!$G$6:$G$58,Census!$G128-17)*(INDEX(Decrements!$D$6:$D$58,Census!$G128+AP$5-18)+IF(AP$5=$B128,INDEX(Decrements!$F$6:$F$58,Census!$G128+AP$5-18),0)+INDEX(Decrements!$E$6:$E$58,Census!$G128+AP$5-18)*IF((Census!$F128+AP$5)&gt;=Assumptions!$B$11,1,0))*MIN(15/26*Census!$D128*(1+Assumptions!$B$9)^AP$5*(INT((Census!$F128+AP$5))+IF((Census!$F128+AP$5)-INT((Census!$F128+AP$5))&gt;0.5,1,0)),Assumptions!$B$10))</f>
        <v>0</v>
      </c>
      <c r="AQ128" s="30">
        <f>IF(AQ$5&gt;$B128,0,INDEX(Decrements!$G$6:$G$58,Census!$G128+AQ$5-18)/INDEX(Decrements!$G$6:$G$58,Census!$G128-17)*(INDEX(Decrements!$D$6:$D$58,Census!$G128+AQ$5-18)+IF(AQ$5=$B128,INDEX(Decrements!$F$6:$F$58,Census!$G128+AQ$5-18),0)+INDEX(Decrements!$E$6:$E$58,Census!$G128+AQ$5-18)*IF((Census!$F128+AQ$5)&gt;=Assumptions!$B$11,1,0))*MIN(15/26*Census!$D128*(1+Assumptions!$B$9)^AQ$5*(INT((Census!$F128+AQ$5))+IF((Census!$F128+AQ$5)-INT((Census!$F128+AQ$5))&gt;0.5,1,0)),Assumptions!$B$10))</f>
        <v>0</v>
      </c>
      <c r="AR128" s="30">
        <f>IF(AR$5&gt;$B128,0,INDEX(Decrements!$G$6:$G$58,Census!$G128+AR$5-18)/INDEX(Decrements!$G$6:$G$58,Census!$G128-17)*(INDEX(Decrements!$D$6:$D$58,Census!$G128+AR$5-18)+IF(AR$5=$B128,INDEX(Decrements!$F$6:$F$58,Census!$G128+AR$5-18),0)+INDEX(Decrements!$E$6:$E$58,Census!$G128+AR$5-18)*IF((Census!$F128+AR$5)&gt;=Assumptions!$B$11,1,0))*MIN(15/26*Census!$D128*(1+Assumptions!$B$9)^AR$5*(INT((Census!$F128+AR$5))+IF((Census!$F128+AR$5)-INT((Census!$F128+AR$5))&gt;0.5,1,0)),Assumptions!$B$10))</f>
        <v>0</v>
      </c>
      <c r="AS128" s="30">
        <f>IF(AS$5&gt;$B128,0,INDEX(Decrements!$G$6:$G$58,Census!$G128+AS$5-18)/INDEX(Decrements!$G$6:$G$58,Census!$G128-17)*(INDEX(Decrements!$D$6:$D$58,Census!$G128+AS$5-18)+IF(AS$5=$B128,INDEX(Decrements!$F$6:$F$58,Census!$G128+AS$5-18),0)+INDEX(Decrements!$E$6:$E$58,Census!$G128+AS$5-18)*IF((Census!$F128+AS$5)&gt;=Assumptions!$B$11,1,0))*MIN(15/26*Census!$D128*(1+Assumptions!$B$9)^AS$5*(INT((Census!$F128+AS$5))+IF((Census!$F128+AS$5)-INT((Census!$F128+AS$5))&gt;0.5,1,0)),Assumptions!$B$10))</f>
        <v>0</v>
      </c>
      <c r="AT128" s="30">
        <f>IF(AT$5&gt;$B128,0,INDEX(Decrements!$G$6:$G$58,Census!$G128+AT$5-18)/INDEX(Decrements!$G$6:$G$58,Census!$G128-17)*(INDEX(Decrements!$D$6:$D$58,Census!$G128+AT$5-18)+IF(AT$5=$B128,INDEX(Decrements!$F$6:$F$58,Census!$G128+AT$5-18),0)+INDEX(Decrements!$E$6:$E$58,Census!$G128+AT$5-18)*IF((Census!$F128+AT$5)&gt;=Assumptions!$B$11,1,0))*MIN(15/26*Census!$D128*(1+Assumptions!$B$9)^AT$5*(INT((Census!$F128+AT$5))+IF((Census!$F128+AT$5)-INT((Census!$F128+AT$5))&gt;0.5,1,0)),Assumptions!$B$10))</f>
        <v>0</v>
      </c>
      <c r="AU128" s="30">
        <f>IF(AU$5&gt;$B128,0,INDEX(Decrements!$G$6:$G$58,Census!$G128+AU$5-18)/INDEX(Decrements!$G$6:$G$58,Census!$G128-17)*(INDEX(Decrements!$D$6:$D$58,Census!$G128+AU$5-18)+IF(AU$5=$B128,INDEX(Decrements!$F$6:$F$58,Census!$G128+AU$5-18),0)+INDEX(Decrements!$E$6:$E$58,Census!$G128+AU$5-18)*IF((Census!$F128+AU$5)&gt;=Assumptions!$B$11,1,0))*MIN(15/26*Census!$D128*(1+Assumptions!$B$9)^AU$5*(INT((Census!$F128+AU$5))+IF((Census!$F128+AU$5)-INT((Census!$F128+AU$5))&gt;0.5,1,0)),Assumptions!$B$10))</f>
        <v>0</v>
      </c>
    </row>
    <row r="129" spans="1:47" x14ac:dyDescent="0.3">
      <c r="A129" s="10" t="str">
        <f>Census!A129</f>
        <v>E124</v>
      </c>
      <c r="B129" s="29">
        <f>Census!H129</f>
        <v>32</v>
      </c>
      <c r="C129" s="30">
        <f>IF(C$5&gt;$B129,0,INDEX(Decrements!$G$6:$G$58,Census!$G129+C$5-18)/INDEX(Decrements!$G$6:$G$58,Census!$G129-17)*(INDEX(Decrements!$D$6:$D$58,Census!$G129+C$5-18)+IF(C$5=$B129,INDEX(Decrements!$F$6:$F$58,Census!$G129+C$5-18),0)+INDEX(Decrements!$E$6:$E$58,Census!$G129+C$5-18)*IF((Census!$F129+C$5)&gt;=Assumptions!$B$11,1,0))*MIN(15/26*Census!$D129*(1+Assumptions!$B$9)^C$5*(INT((Census!$F129+C$5))+IF((Census!$F129+C$5)-INT((Census!$F129+C$5))&gt;0.5,1,0)),Assumptions!$B$10))</f>
        <v>19639.356112100282</v>
      </c>
      <c r="D129" s="30">
        <f>IF(D$5&gt;$B129,0,INDEX(Decrements!$G$6:$G$58,Census!$G129+D$5-18)/INDEX(Decrements!$G$6:$G$58,Census!$G129-17)*(INDEX(Decrements!$D$6:$D$58,Census!$G129+D$5-18)+IF(D$5=$B129,INDEX(Decrements!$F$6:$F$58,Census!$G129+D$5-18),0)+INDEX(Decrements!$E$6:$E$58,Census!$G129+D$5-18)*IF((Census!$F129+D$5)&gt;=Assumptions!$B$11,1,0))*MIN(15/26*Census!$D129*(1+Assumptions!$B$9)^D$5*(INT((Census!$F129+D$5))+IF((Census!$F129+D$5)-INT((Census!$F129+D$5))&gt;0.5,1,0)),Assumptions!$B$10))</f>
        <v>20593.532566896654</v>
      </c>
      <c r="E129" s="30">
        <f>IF(E$5&gt;$B129,0,INDEX(Decrements!$G$6:$G$58,Census!$G129+E$5-18)/INDEX(Decrements!$G$6:$G$58,Census!$G129-17)*(INDEX(Decrements!$D$6:$D$58,Census!$G129+E$5-18)+IF(E$5=$B129,INDEX(Decrements!$F$6:$F$58,Census!$G129+E$5-18),0)+INDEX(Decrements!$E$6:$E$58,Census!$G129+E$5-18)*IF((Census!$F129+E$5)&gt;=Assumptions!$B$11,1,0))*MIN(15/26*Census!$D129*(1+Assumptions!$B$9)^E$5*(INT((Census!$F129+E$5))+IF((Census!$F129+E$5)-INT((Census!$F129+E$5))&gt;0.5,1,0)),Assumptions!$B$10))</f>
        <v>15616.827624740146</v>
      </c>
      <c r="F129" s="30">
        <f>IF(F$5&gt;$B129,0,INDEX(Decrements!$G$6:$G$58,Census!$G129+F$5-18)/INDEX(Decrements!$G$6:$G$58,Census!$G129-17)*(INDEX(Decrements!$D$6:$D$58,Census!$G129+F$5-18)+IF(F$5=$B129,INDEX(Decrements!$F$6:$F$58,Census!$G129+F$5-18),0)+INDEX(Decrements!$E$6:$E$58,Census!$G129+F$5-18)*IF((Census!$F129+F$5)&gt;=Assumptions!$B$11,1,0))*MIN(15/26*Census!$D129*(1+Assumptions!$B$9)^F$5*(INT((Census!$F129+F$5))+IF((Census!$F129+F$5)-INT((Census!$F129+F$5))&gt;0.5,1,0)),Assumptions!$B$10))</f>
        <v>16670.901347953801</v>
      </c>
      <c r="G129" s="30">
        <f>IF(G$5&gt;$B129,0,INDEX(Decrements!$G$6:$G$58,Census!$G129+G$5-18)/INDEX(Decrements!$G$6:$G$58,Census!$G129-17)*(INDEX(Decrements!$D$6:$D$58,Census!$G129+G$5-18)+IF(G$5=$B129,INDEX(Decrements!$F$6:$F$58,Census!$G129+G$5-18),0)+INDEX(Decrements!$E$6:$E$58,Census!$G129+G$5-18)*IF((Census!$F129+G$5)&gt;=Assumptions!$B$11,1,0))*MIN(15/26*Census!$D129*(1+Assumptions!$B$9)^G$5*(INT((Census!$F129+G$5))+IF((Census!$F129+G$5)-INT((Census!$F129+G$5))&gt;0.5,1,0)),Assumptions!$B$10))</f>
        <v>17618.030811639856</v>
      </c>
      <c r="H129" s="30">
        <f>IF(H$5&gt;$B129,0,INDEX(Decrements!$G$6:$G$58,Census!$G129+H$5-18)/INDEX(Decrements!$G$6:$G$58,Census!$G129-17)*(INDEX(Decrements!$D$6:$D$58,Census!$G129+H$5-18)+IF(H$5=$B129,INDEX(Decrements!$F$6:$F$58,Census!$G129+H$5-18),0)+INDEX(Decrements!$E$6:$E$58,Census!$G129+H$5-18)*IF((Census!$F129+H$5)&gt;=Assumptions!$B$11,1,0))*MIN(15/26*Census!$D129*(1+Assumptions!$B$9)^H$5*(INT((Census!$F129+H$5))+IF((Census!$F129+H$5)-INT((Census!$F129+H$5))&gt;0.5,1,0)),Assumptions!$B$10))</f>
        <v>18464.945109961049</v>
      </c>
      <c r="I129" s="30">
        <f>IF(I$5&gt;$B129,0,INDEX(Decrements!$G$6:$G$58,Census!$G129+I$5-18)/INDEX(Decrements!$G$6:$G$58,Census!$G129-17)*(INDEX(Decrements!$D$6:$D$58,Census!$G129+I$5-18)+IF(I$5=$B129,INDEX(Decrements!$F$6:$F$58,Census!$G129+I$5-18),0)+INDEX(Decrements!$E$6:$E$58,Census!$G129+I$5-18)*IF((Census!$F129+I$5)&gt;=Assumptions!$B$11,1,0))*MIN(15/26*Census!$D129*(1+Assumptions!$B$9)^I$5*(INT((Census!$F129+I$5))+IF((Census!$F129+I$5)-INT((Census!$F129+I$5))&gt;0.5,1,0)),Assumptions!$B$10))</f>
        <v>19218.007382419044</v>
      </c>
      <c r="J129" s="30">
        <f>IF(J$5&gt;$B129,0,INDEX(Decrements!$G$6:$G$58,Census!$G129+J$5-18)/INDEX(Decrements!$G$6:$G$58,Census!$G129-17)*(INDEX(Decrements!$D$6:$D$58,Census!$G129+J$5-18)+IF(J$5=$B129,INDEX(Decrements!$F$6:$F$58,Census!$G129+J$5-18),0)+INDEX(Decrements!$E$6:$E$58,Census!$G129+J$5-18)*IF((Census!$F129+J$5)&gt;=Assumptions!$B$11,1,0))*MIN(15/26*Census!$D129*(1+Assumptions!$B$9)^J$5*(INT((Census!$F129+J$5))+IF((Census!$F129+J$5)-INT((Census!$F129+J$5))&gt;0.5,1,0)),Assumptions!$B$10))</f>
        <v>14508.91144255648</v>
      </c>
      <c r="K129" s="30">
        <f>IF(K$5&gt;$B129,0,INDEX(Decrements!$G$6:$G$58,Census!$G129+K$5-18)/INDEX(Decrements!$G$6:$G$58,Census!$G129-17)*(INDEX(Decrements!$D$6:$D$58,Census!$G129+K$5-18)+IF(K$5=$B129,INDEX(Decrements!$F$6:$F$58,Census!$G129+K$5-18),0)+INDEX(Decrements!$E$6:$E$58,Census!$G129+K$5-18)*IF((Census!$F129+K$5)&gt;=Assumptions!$B$11,1,0))*MIN(15/26*Census!$D129*(1+Assumptions!$B$9)^K$5*(INT((Census!$F129+K$5))+IF((Census!$F129+K$5)-INT((Census!$F129+K$5))&gt;0.5,1,0)),Assumptions!$B$10))</f>
        <v>15440.829496795997</v>
      </c>
      <c r="L129" s="30">
        <f>IF(L$5&gt;$B129,0,INDEX(Decrements!$G$6:$G$58,Census!$G129+L$5-18)/INDEX(Decrements!$G$6:$G$58,Census!$G129-17)*(INDEX(Decrements!$D$6:$D$58,Census!$G129+L$5-18)+IF(L$5=$B129,INDEX(Decrements!$F$6:$F$58,Census!$G129+L$5-18),0)+INDEX(Decrements!$E$6:$E$58,Census!$G129+L$5-18)*IF((Census!$F129+L$5)&gt;=Assumptions!$B$11,1,0))*MIN(15/26*Census!$D129*(1+Assumptions!$B$9)^L$5*(INT((Census!$F129+L$5))+IF((Census!$F129+L$5)-INT((Census!$F129+L$5))&gt;0.5,1,0)),Assumptions!$B$10))</f>
        <v>16359.693066680997</v>
      </c>
      <c r="M129" s="30">
        <f>IF(M$5&gt;$B129,0,INDEX(Decrements!$G$6:$G$58,Census!$G129+M$5-18)/INDEX(Decrements!$G$6:$G$58,Census!$G129-17)*(INDEX(Decrements!$D$6:$D$58,Census!$G129+M$5-18)+IF(M$5=$B129,INDEX(Decrements!$F$6:$F$58,Census!$G129+M$5-18),0)+INDEX(Decrements!$E$6:$E$58,Census!$G129+M$5-18)*IF((Census!$F129+M$5)&gt;=Assumptions!$B$11,1,0))*MIN(15/26*Census!$D129*(1+Assumptions!$B$9)^M$5*(INT((Census!$F129+M$5))+IF((Census!$F129+M$5)-INT((Census!$F129+M$5))&gt;0.5,1,0)),Assumptions!$B$10))</f>
        <v>17265.668117293597</v>
      </c>
      <c r="N129" s="30">
        <f>IF(N$5&gt;$B129,0,INDEX(Decrements!$G$6:$G$58,Census!$G129+N$5-18)/INDEX(Decrements!$G$6:$G$58,Census!$G129-17)*(INDEX(Decrements!$D$6:$D$58,Census!$G129+N$5-18)+IF(N$5=$B129,INDEX(Decrements!$F$6:$F$58,Census!$G129+N$5-18),0)+INDEX(Decrements!$E$6:$E$58,Census!$G129+N$5-18)*IF((Census!$F129+N$5)&gt;=Assumptions!$B$11,1,0))*MIN(15/26*Census!$D129*(1+Assumptions!$B$9)^N$5*(INT((Census!$F129+N$5))+IF((Census!$F129+N$5)-INT((Census!$F129+N$5))&gt;0.5,1,0)),Assumptions!$B$10))</f>
        <v>18158.921754230101</v>
      </c>
      <c r="O129" s="30">
        <f>IF(O$5&gt;$B129,0,INDEX(Decrements!$G$6:$G$58,Census!$G129+O$5-18)/INDEX(Decrements!$G$6:$G$58,Census!$G129-17)*(INDEX(Decrements!$D$6:$D$58,Census!$G129+O$5-18)+IF(O$5=$B129,INDEX(Decrements!$F$6:$F$58,Census!$G129+O$5-18),0)+INDEX(Decrements!$E$6:$E$58,Census!$G129+O$5-18)*IF((Census!$F129+O$5)&gt;=Assumptions!$B$11,1,0))*MIN(15/26*Census!$D129*(1+Assumptions!$B$9)^O$5*(INT((Census!$F129+O$5))+IF((Census!$F129+O$5)-INT((Census!$F129+O$5))&gt;0.5,1,0)),Assumptions!$B$10))</f>
        <v>12018.304573622681</v>
      </c>
      <c r="P129" s="30">
        <f>IF(P$5&gt;$B129,0,INDEX(Decrements!$G$6:$G$58,Census!$G129+P$5-18)/INDEX(Decrements!$G$6:$G$58,Census!$G129-17)*(INDEX(Decrements!$D$6:$D$58,Census!$G129+P$5-18)+IF(P$5=$B129,INDEX(Decrements!$F$6:$F$58,Census!$G129+P$5-18),0)+INDEX(Decrements!$E$6:$E$58,Census!$G129+P$5-18)*IF((Census!$F129+P$5)&gt;=Assumptions!$B$11,1,0))*MIN(15/26*Census!$D129*(1+Assumptions!$B$9)^P$5*(INT((Census!$F129+P$5))+IF((Census!$F129+P$5)-INT((Census!$F129+P$5))&gt;0.5,1,0)),Assumptions!$B$10))</f>
        <v>12985.035460119405</v>
      </c>
      <c r="Q129" s="30">
        <f>IF(Q$5&gt;$B129,0,INDEX(Decrements!$G$6:$G$58,Census!$G129+Q$5-18)/INDEX(Decrements!$G$6:$G$58,Census!$G129-17)*(INDEX(Decrements!$D$6:$D$58,Census!$G129+Q$5-18)+IF(Q$5=$B129,INDEX(Decrements!$F$6:$F$58,Census!$G129+Q$5-18),0)+INDEX(Decrements!$E$6:$E$58,Census!$G129+Q$5-18)*IF((Census!$F129+Q$5)&gt;=Assumptions!$B$11,1,0))*MIN(15/26*Census!$D129*(1+Assumptions!$B$9)^Q$5*(INT((Census!$F129+Q$5))+IF((Census!$F129+Q$5)-INT((Census!$F129+Q$5))&gt;0.5,1,0)),Assumptions!$B$10))</f>
        <v>13995.529752542192</v>
      </c>
      <c r="R129" s="30">
        <f>IF(R$5&gt;$B129,0,INDEX(Decrements!$G$6:$G$58,Census!$G129+R$5-18)/INDEX(Decrements!$G$6:$G$58,Census!$G129-17)*(INDEX(Decrements!$D$6:$D$58,Census!$G129+R$5-18)+IF(R$5=$B129,INDEX(Decrements!$F$6:$F$58,Census!$G129+R$5-18),0)+INDEX(Decrements!$E$6:$E$58,Census!$G129+R$5-18)*IF((Census!$F129+R$5)&gt;=Assumptions!$B$11,1,0))*MIN(15/26*Census!$D129*(1+Assumptions!$B$9)^R$5*(INT((Census!$F129+R$5))+IF((Census!$F129+R$5)-INT((Census!$F129+R$5))&gt;0.5,1,0)),Assumptions!$B$10))</f>
        <v>15051.715359480291</v>
      </c>
      <c r="S129" s="30">
        <f>IF(S$5&gt;$B129,0,INDEX(Decrements!$G$6:$G$58,Census!$G129+S$5-18)/INDEX(Decrements!$G$6:$G$58,Census!$G129-17)*(INDEX(Decrements!$D$6:$D$58,Census!$G129+S$5-18)+IF(S$5=$B129,INDEX(Decrements!$F$6:$F$58,Census!$G129+S$5-18),0)+INDEX(Decrements!$E$6:$E$58,Census!$G129+S$5-18)*IF((Census!$F129+S$5)&gt;=Assumptions!$B$11,1,0))*MIN(15/26*Census!$D129*(1+Assumptions!$B$9)^S$5*(INT((Census!$F129+S$5))+IF((Census!$F129+S$5)-INT((Census!$F129+S$5))&gt;0.5,1,0)),Assumptions!$B$10))</f>
        <v>16155.634618798853</v>
      </c>
      <c r="T129" s="30">
        <f>IF(T$5&gt;$B129,0,INDEX(Decrements!$G$6:$G$58,Census!$G129+T$5-18)/INDEX(Decrements!$G$6:$G$58,Census!$G129-17)*(INDEX(Decrements!$D$6:$D$58,Census!$G129+T$5-18)+IF(T$5=$B129,INDEX(Decrements!$F$6:$F$58,Census!$G129+T$5-18),0)+INDEX(Decrements!$E$6:$E$58,Census!$G129+T$5-18)*IF((Census!$F129+T$5)&gt;=Assumptions!$B$11,1,0))*MIN(15/26*Census!$D129*(1+Assumptions!$B$9)^T$5*(INT((Census!$F129+T$5))+IF((Census!$F129+T$5)-INT((Census!$F129+T$5))&gt;0.5,1,0)),Assumptions!$B$10))</f>
        <v>10643.178228166867</v>
      </c>
      <c r="U129" s="30">
        <f>IF(U$5&gt;$B129,0,INDEX(Decrements!$G$6:$G$58,Census!$G129+U$5-18)/INDEX(Decrements!$G$6:$G$58,Census!$G129-17)*(INDEX(Decrements!$D$6:$D$58,Census!$G129+U$5-18)+IF(U$5=$B129,INDEX(Decrements!$F$6:$F$58,Census!$G129+U$5-18),0)+INDEX(Decrements!$E$6:$E$58,Census!$G129+U$5-18)*IF((Census!$F129+U$5)&gt;=Assumptions!$B$11,1,0))*MIN(15/26*Census!$D129*(1+Assumptions!$B$9)^U$5*(INT((Census!$F129+U$5))+IF((Census!$F129+U$5)-INT((Census!$F129+U$5))&gt;0.5,1,0)),Assumptions!$B$10))</f>
        <v>11645.836118337027</v>
      </c>
      <c r="V129" s="30">
        <f>IF(V$5&gt;$B129,0,INDEX(Decrements!$G$6:$G$58,Census!$G129+V$5-18)/INDEX(Decrements!$G$6:$G$58,Census!$G129-17)*(INDEX(Decrements!$D$6:$D$58,Census!$G129+V$5-18)+IF(V$5=$B129,INDEX(Decrements!$F$6:$F$58,Census!$G129+V$5-18),0)+INDEX(Decrements!$E$6:$E$58,Census!$G129+V$5-18)*IF((Census!$F129+V$5)&gt;=Assumptions!$B$11,1,0))*MIN(15/26*Census!$D129*(1+Assumptions!$B$9)^V$5*(INT((Census!$F129+V$5))+IF((Census!$F129+V$5)-INT((Census!$F129+V$5))&gt;0.5,1,0)),Assumptions!$B$10))</f>
        <v>12175.612769288369</v>
      </c>
      <c r="W129" s="30">
        <f>IF(W$5&gt;$B129,0,INDEX(Decrements!$G$6:$G$58,Census!$G129+W$5-18)/INDEX(Decrements!$G$6:$G$58,Census!$G129-17)*(INDEX(Decrements!$D$6:$D$58,Census!$G129+W$5-18)+IF(W$5=$B129,INDEX(Decrements!$F$6:$F$58,Census!$G129+W$5-18),0)+INDEX(Decrements!$E$6:$E$58,Census!$G129+W$5-18)*IF((Census!$F129+W$5)&gt;=Assumptions!$B$11,1,0))*MIN(15/26*Census!$D129*(1+Assumptions!$B$9)^W$5*(INT((Census!$F129+W$5))+IF((Census!$F129+W$5)-INT((Census!$F129+W$5))&gt;0.5,1,0)),Assumptions!$B$10))</f>
        <v>11849.374939251868</v>
      </c>
      <c r="X129" s="30">
        <f>IF(X$5&gt;$B129,0,INDEX(Decrements!$G$6:$G$58,Census!$G129+X$5-18)/INDEX(Decrements!$G$6:$G$58,Census!$G129-17)*(INDEX(Decrements!$D$6:$D$58,Census!$G129+X$5-18)+IF(X$5=$B129,INDEX(Decrements!$F$6:$F$58,Census!$G129+X$5-18),0)+INDEX(Decrements!$E$6:$E$58,Census!$G129+X$5-18)*IF((Census!$F129+X$5)&gt;=Assumptions!$B$11,1,0))*MIN(15/26*Census!$D129*(1+Assumptions!$B$9)^X$5*(INT((Census!$F129+X$5))+IF((Census!$F129+X$5)-INT((Census!$F129+X$5))&gt;0.5,1,0)),Assumptions!$B$10))</f>
        <v>11535.723680784582</v>
      </c>
      <c r="Y129" s="30">
        <f>IF(Y$5&gt;$B129,0,INDEX(Decrements!$G$6:$G$58,Census!$G129+Y$5-18)/INDEX(Decrements!$G$6:$G$58,Census!$G129-17)*(INDEX(Decrements!$D$6:$D$58,Census!$G129+Y$5-18)+IF(Y$5=$B129,INDEX(Decrements!$F$6:$F$58,Census!$G129+Y$5-18),0)+INDEX(Decrements!$E$6:$E$58,Census!$G129+Y$5-18)*IF((Census!$F129+Y$5)&gt;=Assumptions!$B$11,1,0))*MIN(15/26*Census!$D129*(1+Assumptions!$B$9)^Y$5*(INT((Census!$F129+Y$5))+IF((Census!$F129+Y$5)-INT((Census!$F129+Y$5))&gt;0.5,1,0)),Assumptions!$B$10))</f>
        <v>7816.3163235975608</v>
      </c>
      <c r="Z129" s="30">
        <f>IF(Z$5&gt;$B129,0,INDEX(Decrements!$G$6:$G$58,Census!$G129+Z$5-18)/INDEX(Decrements!$G$6:$G$58,Census!$G129-17)*(INDEX(Decrements!$D$6:$D$58,Census!$G129+Z$5-18)+IF(Z$5=$B129,INDEX(Decrements!$F$6:$F$58,Census!$G129+Z$5-18),0)+INDEX(Decrements!$E$6:$E$58,Census!$G129+Z$5-18)*IF((Census!$F129+Z$5)&gt;=Assumptions!$B$11,1,0))*MIN(15/26*Census!$D129*(1+Assumptions!$B$9)^Z$5*(INT((Census!$F129+Z$5))+IF((Census!$F129+Z$5)-INT((Census!$F129+Z$5))&gt;0.5,1,0)),Assumptions!$B$10))</f>
        <v>7718.7122237332105</v>
      </c>
      <c r="AA129" s="30">
        <f>IF(AA$5&gt;$B129,0,INDEX(Decrements!$G$6:$G$58,Census!$G129+AA$5-18)/INDEX(Decrements!$G$6:$G$58,Census!$G129-17)*(INDEX(Decrements!$D$6:$D$58,Census!$G129+AA$5-18)+IF(AA$5=$B129,INDEX(Decrements!$F$6:$F$58,Census!$G129+AA$5-18),0)+INDEX(Decrements!$E$6:$E$58,Census!$G129+AA$5-18)*IF((Census!$F129+AA$5)&gt;=Assumptions!$B$11,1,0))*MIN(15/26*Census!$D129*(1+Assumptions!$B$9)^AA$5*(INT((Census!$F129+AA$5))+IF((Census!$F129+AA$5)-INT((Census!$F129+AA$5))&gt;0.5,1,0)),Assumptions!$B$10))</f>
        <v>7627.4723159644336</v>
      </c>
      <c r="AB129" s="30">
        <f>IF(AB$5&gt;$B129,0,INDEX(Decrements!$G$6:$G$58,Census!$G129+AB$5-18)/INDEX(Decrements!$G$6:$G$58,Census!$G129-17)*(INDEX(Decrements!$D$6:$D$58,Census!$G129+AB$5-18)+IF(AB$5=$B129,INDEX(Decrements!$F$6:$F$58,Census!$G129+AB$5-18),0)+INDEX(Decrements!$E$6:$E$58,Census!$G129+AB$5-18)*IF((Census!$F129+AB$5)&gt;=Assumptions!$B$11,1,0))*MIN(15/26*Census!$D129*(1+Assumptions!$B$9)^AB$5*(INT((Census!$F129+AB$5))+IF((Census!$F129+AB$5)-INT((Census!$F129+AB$5))&gt;0.5,1,0)),Assumptions!$B$10))</f>
        <v>7542.7307063724757</v>
      </c>
      <c r="AC129" s="30">
        <f>IF(AC$5&gt;$B129,0,INDEX(Decrements!$G$6:$G$58,Census!$G129+AC$5-18)/INDEX(Decrements!$G$6:$G$58,Census!$G129-17)*(INDEX(Decrements!$D$6:$D$58,Census!$G129+AC$5-18)+IF(AC$5=$B129,INDEX(Decrements!$F$6:$F$58,Census!$G129+AC$5-18),0)+INDEX(Decrements!$E$6:$E$58,Census!$G129+AC$5-18)*IF((Census!$F129+AC$5)&gt;=Assumptions!$B$11,1,0))*MIN(15/26*Census!$D129*(1+Assumptions!$B$9)^AC$5*(INT((Census!$F129+AC$5))+IF((Census!$F129+AC$5)-INT((Census!$F129+AC$5))&gt;0.5,1,0)),Assumptions!$B$10))</f>
        <v>7464.625926525986</v>
      </c>
      <c r="AD129" s="30">
        <f>IF(AD$5&gt;$B129,0,INDEX(Decrements!$G$6:$G$58,Census!$G129+AD$5-18)/INDEX(Decrements!$G$6:$G$58,Census!$G129-17)*(INDEX(Decrements!$D$6:$D$58,Census!$G129+AD$5-18)+IF(AD$5=$B129,INDEX(Decrements!$F$6:$F$58,Census!$G129+AD$5-18),0)+INDEX(Decrements!$E$6:$E$58,Census!$G129+AD$5-18)*IF((Census!$F129+AD$5)&gt;=Assumptions!$B$11,1,0))*MIN(15/26*Census!$D129*(1+Assumptions!$B$9)^AD$5*(INT((Census!$F129+AD$5))+IF((Census!$F129+AD$5)-INT((Census!$F129+AD$5))&gt;0.5,1,0)),Assumptions!$B$10))</f>
        <v>4360.3734343908882</v>
      </c>
      <c r="AE129" s="30">
        <f>IF(AE$5&gt;$B129,0,INDEX(Decrements!$G$6:$G$58,Census!$G129+AE$5-18)/INDEX(Decrements!$G$6:$G$58,Census!$G129-17)*(INDEX(Decrements!$D$6:$D$58,Census!$G129+AE$5-18)+IF(AE$5=$B129,INDEX(Decrements!$F$6:$F$58,Census!$G129+AE$5-18),0)+INDEX(Decrements!$E$6:$E$58,Census!$G129+AE$5-18)*IF((Census!$F129+AE$5)&gt;=Assumptions!$B$11,1,0))*MIN(15/26*Census!$D129*(1+Assumptions!$B$9)^AE$5*(INT((Census!$F129+AE$5))+IF((Census!$F129+AE$5)-INT((Census!$F129+AE$5))&gt;0.5,1,0)),Assumptions!$B$10))</f>
        <v>4415.350233993815</v>
      </c>
      <c r="AF129" s="30">
        <f>IF(AF$5&gt;$B129,0,INDEX(Decrements!$G$6:$G$58,Census!$G129+AF$5-18)/INDEX(Decrements!$G$6:$G$58,Census!$G129-17)*(INDEX(Decrements!$D$6:$D$58,Census!$G129+AF$5-18)+IF(AF$5=$B129,INDEX(Decrements!$F$6:$F$58,Census!$G129+AF$5-18),0)+INDEX(Decrements!$E$6:$E$58,Census!$G129+AF$5-18)*IF((Census!$F129+AF$5)&gt;=Assumptions!$B$11,1,0))*MIN(15/26*Census!$D129*(1+Assumptions!$B$9)^AF$5*(INT((Census!$F129+AF$5))+IF((Census!$F129+AF$5)-INT((Census!$F129+AF$5))&gt;0.5,1,0)),Assumptions!$B$10))</f>
        <v>4477.6011350641929</v>
      </c>
      <c r="AG129" s="30">
        <f>IF(AG$5&gt;$B129,0,INDEX(Decrements!$G$6:$G$58,Census!$G129+AG$5-18)/INDEX(Decrements!$G$6:$G$58,Census!$G129-17)*(INDEX(Decrements!$D$6:$D$58,Census!$G129+AG$5-18)+IF(AG$5=$B129,INDEX(Decrements!$F$6:$F$58,Census!$G129+AG$5-18),0)+INDEX(Decrements!$E$6:$E$58,Census!$G129+AG$5-18)*IF((Census!$F129+AG$5)&gt;=Assumptions!$B$11,1,0))*MIN(15/26*Census!$D129*(1+Assumptions!$B$9)^AG$5*(INT((Census!$F129+AG$5))+IF((Census!$F129+AG$5)-INT((Census!$F129+AG$5))&gt;0.5,1,0)),Assumptions!$B$10))</f>
        <v>4547.5492268490598</v>
      </c>
      <c r="AH129" s="30">
        <f>IF(AH$5&gt;$B129,0,INDEX(Decrements!$G$6:$G$58,Census!$G129+AH$5-18)/INDEX(Decrements!$G$6:$G$58,Census!$G129-17)*(INDEX(Decrements!$D$6:$D$58,Census!$G129+AH$5-18)+IF(AH$5=$B129,INDEX(Decrements!$F$6:$F$58,Census!$G129+AH$5-18),0)+INDEX(Decrements!$E$6:$E$58,Census!$G129+AH$5-18)*IF((Census!$F129+AH$5)&gt;=Assumptions!$B$11,1,0))*MIN(15/26*Census!$D129*(1+Assumptions!$B$9)^AH$5*(INT((Census!$F129+AH$5))+IF((Census!$F129+AH$5)-INT((Census!$F129+AH$5))&gt;0.5,1,0)),Assumptions!$B$10))</f>
        <v>286819.14311910042</v>
      </c>
      <c r="AI129" s="30">
        <f>IF(AI$5&gt;$B129,0,INDEX(Decrements!$G$6:$G$58,Census!$G129+AI$5-18)/INDEX(Decrements!$G$6:$G$58,Census!$G129-17)*(INDEX(Decrements!$D$6:$D$58,Census!$G129+AI$5-18)+IF(AI$5=$B129,INDEX(Decrements!$F$6:$F$58,Census!$G129+AI$5-18),0)+INDEX(Decrements!$E$6:$E$58,Census!$G129+AI$5-18)*IF((Census!$F129+AI$5)&gt;=Assumptions!$B$11,1,0))*MIN(15/26*Census!$D129*(1+Assumptions!$B$9)^AI$5*(INT((Census!$F129+AI$5))+IF((Census!$F129+AI$5)-INT((Census!$F129+AI$5))&gt;0.5,1,0)),Assumptions!$B$10))</f>
        <v>0</v>
      </c>
      <c r="AJ129" s="30">
        <f>IF(AJ$5&gt;$B129,0,INDEX(Decrements!$G$6:$G$58,Census!$G129+AJ$5-18)/INDEX(Decrements!$G$6:$G$58,Census!$G129-17)*(INDEX(Decrements!$D$6:$D$58,Census!$G129+AJ$5-18)+IF(AJ$5=$B129,INDEX(Decrements!$F$6:$F$58,Census!$G129+AJ$5-18),0)+INDEX(Decrements!$E$6:$E$58,Census!$G129+AJ$5-18)*IF((Census!$F129+AJ$5)&gt;=Assumptions!$B$11,1,0))*MIN(15/26*Census!$D129*(1+Assumptions!$B$9)^AJ$5*(INT((Census!$F129+AJ$5))+IF((Census!$F129+AJ$5)-INT((Census!$F129+AJ$5))&gt;0.5,1,0)),Assumptions!$B$10))</f>
        <v>0</v>
      </c>
      <c r="AK129" s="30">
        <f>IF(AK$5&gt;$B129,0,INDEX(Decrements!$G$6:$G$58,Census!$G129+AK$5-18)/INDEX(Decrements!$G$6:$G$58,Census!$G129-17)*(INDEX(Decrements!$D$6:$D$58,Census!$G129+AK$5-18)+IF(AK$5=$B129,INDEX(Decrements!$F$6:$F$58,Census!$G129+AK$5-18),0)+INDEX(Decrements!$E$6:$E$58,Census!$G129+AK$5-18)*IF((Census!$F129+AK$5)&gt;=Assumptions!$B$11,1,0))*MIN(15/26*Census!$D129*(1+Assumptions!$B$9)^AK$5*(INT((Census!$F129+AK$5))+IF((Census!$F129+AK$5)-INT((Census!$F129+AK$5))&gt;0.5,1,0)),Assumptions!$B$10))</f>
        <v>0</v>
      </c>
      <c r="AL129" s="30">
        <f>IF(AL$5&gt;$B129,0,INDEX(Decrements!$G$6:$G$58,Census!$G129+AL$5-18)/INDEX(Decrements!$G$6:$G$58,Census!$G129-17)*(INDEX(Decrements!$D$6:$D$58,Census!$G129+AL$5-18)+IF(AL$5=$B129,INDEX(Decrements!$F$6:$F$58,Census!$G129+AL$5-18),0)+INDEX(Decrements!$E$6:$E$58,Census!$G129+AL$5-18)*IF((Census!$F129+AL$5)&gt;=Assumptions!$B$11,1,0))*MIN(15/26*Census!$D129*(1+Assumptions!$B$9)^AL$5*(INT((Census!$F129+AL$5))+IF((Census!$F129+AL$5)-INT((Census!$F129+AL$5))&gt;0.5,1,0)),Assumptions!$B$10))</f>
        <v>0</v>
      </c>
      <c r="AM129" s="30">
        <f>IF(AM$5&gt;$B129,0,INDEX(Decrements!$G$6:$G$58,Census!$G129+AM$5-18)/INDEX(Decrements!$G$6:$G$58,Census!$G129-17)*(INDEX(Decrements!$D$6:$D$58,Census!$G129+AM$5-18)+IF(AM$5=$B129,INDEX(Decrements!$F$6:$F$58,Census!$G129+AM$5-18),0)+INDEX(Decrements!$E$6:$E$58,Census!$G129+AM$5-18)*IF((Census!$F129+AM$5)&gt;=Assumptions!$B$11,1,0))*MIN(15/26*Census!$D129*(1+Assumptions!$B$9)^AM$5*(INT((Census!$F129+AM$5))+IF((Census!$F129+AM$5)-INT((Census!$F129+AM$5))&gt;0.5,1,0)),Assumptions!$B$10))</f>
        <v>0</v>
      </c>
      <c r="AN129" s="30">
        <f>IF(AN$5&gt;$B129,0,INDEX(Decrements!$G$6:$G$58,Census!$G129+AN$5-18)/INDEX(Decrements!$G$6:$G$58,Census!$G129-17)*(INDEX(Decrements!$D$6:$D$58,Census!$G129+AN$5-18)+IF(AN$5=$B129,INDEX(Decrements!$F$6:$F$58,Census!$G129+AN$5-18),0)+INDEX(Decrements!$E$6:$E$58,Census!$G129+AN$5-18)*IF((Census!$F129+AN$5)&gt;=Assumptions!$B$11,1,0))*MIN(15/26*Census!$D129*(1+Assumptions!$B$9)^AN$5*(INT((Census!$F129+AN$5))+IF((Census!$F129+AN$5)-INT((Census!$F129+AN$5))&gt;0.5,1,0)),Assumptions!$B$10))</f>
        <v>0</v>
      </c>
      <c r="AO129" s="30">
        <f>IF(AO$5&gt;$B129,0,INDEX(Decrements!$G$6:$G$58,Census!$G129+AO$5-18)/INDEX(Decrements!$G$6:$G$58,Census!$G129-17)*(INDEX(Decrements!$D$6:$D$58,Census!$G129+AO$5-18)+IF(AO$5=$B129,INDEX(Decrements!$F$6:$F$58,Census!$G129+AO$5-18),0)+INDEX(Decrements!$E$6:$E$58,Census!$G129+AO$5-18)*IF((Census!$F129+AO$5)&gt;=Assumptions!$B$11,1,0))*MIN(15/26*Census!$D129*(1+Assumptions!$B$9)^AO$5*(INT((Census!$F129+AO$5))+IF((Census!$F129+AO$5)-INT((Census!$F129+AO$5))&gt;0.5,1,0)),Assumptions!$B$10))</f>
        <v>0</v>
      </c>
      <c r="AP129" s="30">
        <f>IF(AP$5&gt;$B129,0,INDEX(Decrements!$G$6:$G$58,Census!$G129+AP$5-18)/INDEX(Decrements!$G$6:$G$58,Census!$G129-17)*(INDEX(Decrements!$D$6:$D$58,Census!$G129+AP$5-18)+IF(AP$5=$B129,INDEX(Decrements!$F$6:$F$58,Census!$G129+AP$5-18),0)+INDEX(Decrements!$E$6:$E$58,Census!$G129+AP$5-18)*IF((Census!$F129+AP$5)&gt;=Assumptions!$B$11,1,0))*MIN(15/26*Census!$D129*(1+Assumptions!$B$9)^AP$5*(INT((Census!$F129+AP$5))+IF((Census!$F129+AP$5)-INT((Census!$F129+AP$5))&gt;0.5,1,0)),Assumptions!$B$10))</f>
        <v>0</v>
      </c>
      <c r="AQ129" s="30">
        <f>IF(AQ$5&gt;$B129,0,INDEX(Decrements!$G$6:$G$58,Census!$G129+AQ$5-18)/INDEX(Decrements!$G$6:$G$58,Census!$G129-17)*(INDEX(Decrements!$D$6:$D$58,Census!$G129+AQ$5-18)+IF(AQ$5=$B129,INDEX(Decrements!$F$6:$F$58,Census!$G129+AQ$5-18),0)+INDEX(Decrements!$E$6:$E$58,Census!$G129+AQ$5-18)*IF((Census!$F129+AQ$5)&gt;=Assumptions!$B$11,1,0))*MIN(15/26*Census!$D129*(1+Assumptions!$B$9)^AQ$5*(INT((Census!$F129+AQ$5))+IF((Census!$F129+AQ$5)-INT((Census!$F129+AQ$5))&gt;0.5,1,0)),Assumptions!$B$10))</f>
        <v>0</v>
      </c>
      <c r="AR129" s="30">
        <f>IF(AR$5&gt;$B129,0,INDEX(Decrements!$G$6:$G$58,Census!$G129+AR$5-18)/INDEX(Decrements!$G$6:$G$58,Census!$G129-17)*(INDEX(Decrements!$D$6:$D$58,Census!$G129+AR$5-18)+IF(AR$5=$B129,INDEX(Decrements!$F$6:$F$58,Census!$G129+AR$5-18),0)+INDEX(Decrements!$E$6:$E$58,Census!$G129+AR$5-18)*IF((Census!$F129+AR$5)&gt;=Assumptions!$B$11,1,0))*MIN(15/26*Census!$D129*(1+Assumptions!$B$9)^AR$5*(INT((Census!$F129+AR$5))+IF((Census!$F129+AR$5)-INT((Census!$F129+AR$5))&gt;0.5,1,0)),Assumptions!$B$10))</f>
        <v>0</v>
      </c>
      <c r="AS129" s="30">
        <f>IF(AS$5&gt;$B129,0,INDEX(Decrements!$G$6:$G$58,Census!$G129+AS$5-18)/INDEX(Decrements!$G$6:$G$58,Census!$G129-17)*(INDEX(Decrements!$D$6:$D$58,Census!$G129+AS$5-18)+IF(AS$5=$B129,INDEX(Decrements!$F$6:$F$58,Census!$G129+AS$5-18),0)+INDEX(Decrements!$E$6:$E$58,Census!$G129+AS$5-18)*IF((Census!$F129+AS$5)&gt;=Assumptions!$B$11,1,0))*MIN(15/26*Census!$D129*(1+Assumptions!$B$9)^AS$5*(INT((Census!$F129+AS$5))+IF((Census!$F129+AS$5)-INT((Census!$F129+AS$5))&gt;0.5,1,0)),Assumptions!$B$10))</f>
        <v>0</v>
      </c>
      <c r="AT129" s="30">
        <f>IF(AT$5&gt;$B129,0,INDEX(Decrements!$G$6:$G$58,Census!$G129+AT$5-18)/INDEX(Decrements!$G$6:$G$58,Census!$G129-17)*(INDEX(Decrements!$D$6:$D$58,Census!$G129+AT$5-18)+IF(AT$5=$B129,INDEX(Decrements!$F$6:$F$58,Census!$G129+AT$5-18),0)+INDEX(Decrements!$E$6:$E$58,Census!$G129+AT$5-18)*IF((Census!$F129+AT$5)&gt;=Assumptions!$B$11,1,0))*MIN(15/26*Census!$D129*(1+Assumptions!$B$9)^AT$5*(INT((Census!$F129+AT$5))+IF((Census!$F129+AT$5)-INT((Census!$F129+AT$5))&gt;0.5,1,0)),Assumptions!$B$10))</f>
        <v>0</v>
      </c>
      <c r="AU129" s="30">
        <f>IF(AU$5&gt;$B129,0,INDEX(Decrements!$G$6:$G$58,Census!$G129+AU$5-18)/INDEX(Decrements!$G$6:$G$58,Census!$G129-17)*(INDEX(Decrements!$D$6:$D$58,Census!$G129+AU$5-18)+IF(AU$5=$B129,INDEX(Decrements!$F$6:$F$58,Census!$G129+AU$5-18),0)+INDEX(Decrements!$E$6:$E$58,Census!$G129+AU$5-18)*IF((Census!$F129+AU$5)&gt;=Assumptions!$B$11,1,0))*MIN(15/26*Census!$D129*(1+Assumptions!$B$9)^AU$5*(INT((Census!$F129+AU$5))+IF((Census!$F129+AU$5)-INT((Census!$F129+AU$5))&gt;0.5,1,0)),Assumptions!$B$10))</f>
        <v>0</v>
      </c>
    </row>
    <row r="130" spans="1:47" x14ac:dyDescent="0.3">
      <c r="A130" s="10" t="str">
        <f>Census!A130</f>
        <v>E125</v>
      </c>
      <c r="B130" s="29">
        <f>Census!H130</f>
        <v>12</v>
      </c>
      <c r="C130" s="30">
        <f>IF(C$5&gt;$B130,0,INDEX(Decrements!$G$6:$G$58,Census!$G130+C$5-18)/INDEX(Decrements!$G$6:$G$58,Census!$G130-17)*(INDEX(Decrements!$D$6:$D$58,Census!$G130+C$5-18)+IF(C$5=$B130,INDEX(Decrements!$F$6:$F$58,Census!$G130+C$5-18),0)+INDEX(Decrements!$E$6:$E$58,Census!$G130+C$5-18)*IF((Census!$F130+C$5)&gt;=Assumptions!$B$11,1,0))*MIN(15/26*Census!$D130*(1+Assumptions!$B$9)^C$5*(INT((Census!$F130+C$5))+IF((Census!$F130+C$5)-INT((Census!$F130+C$5))&gt;0.5,1,0)),Assumptions!$B$10))</f>
        <v>44519.217143136586</v>
      </c>
      <c r="D130" s="30">
        <f>IF(D$5&gt;$B130,0,INDEX(Decrements!$G$6:$G$58,Census!$G130+D$5-18)/INDEX(Decrements!$G$6:$G$58,Census!$G130-17)*(INDEX(Decrements!$D$6:$D$58,Census!$G130+D$5-18)+IF(D$5=$B130,INDEX(Decrements!$F$6:$F$58,Census!$G130+D$5-18),0)+INDEX(Decrements!$E$6:$E$58,Census!$G130+D$5-18)*IF((Census!$F130+D$5)&gt;=Assumptions!$B$11,1,0))*MIN(15/26*Census!$D130*(1+Assumptions!$B$9)^D$5*(INT((Census!$F130+D$5))+IF((Census!$F130+D$5)-INT((Census!$F130+D$5))&gt;0.5,1,0)),Assumptions!$B$10))</f>
        <v>48843.197034876001</v>
      </c>
      <c r="E130" s="30">
        <f>IF(E$5&gt;$B130,0,INDEX(Decrements!$G$6:$G$58,Census!$G130+E$5-18)/INDEX(Decrements!$G$6:$G$58,Census!$G130-17)*(INDEX(Decrements!$D$6:$D$58,Census!$G130+E$5-18)+IF(E$5=$B130,INDEX(Decrements!$F$6:$F$58,Census!$G130+E$5-18),0)+INDEX(Decrements!$E$6:$E$58,Census!$G130+E$5-18)*IF((Census!$F130+E$5)&gt;=Assumptions!$B$11,1,0))*MIN(15/26*Census!$D130*(1+Assumptions!$B$9)^E$5*(INT((Census!$F130+E$5))+IF((Census!$F130+E$5)-INT((Census!$F130+E$5))&gt;0.5,1,0)),Assumptions!$B$10))</f>
        <v>37231.787528065244</v>
      </c>
      <c r="F130" s="30">
        <f>IF(F$5&gt;$B130,0,INDEX(Decrements!$G$6:$G$58,Census!$G130+F$5-18)/INDEX(Decrements!$G$6:$G$58,Census!$G130-17)*(INDEX(Decrements!$D$6:$D$58,Census!$G130+F$5-18)+IF(F$5=$B130,INDEX(Decrements!$F$6:$F$58,Census!$G130+F$5-18),0)+INDEX(Decrements!$E$6:$E$58,Census!$G130+F$5-18)*IF((Census!$F130+F$5)&gt;=Assumptions!$B$11,1,0))*MIN(15/26*Census!$D130*(1+Assumptions!$B$9)^F$5*(INT((Census!$F130+F$5))+IF((Census!$F130+F$5)-INT((Census!$F130+F$5))&gt;0.5,1,0)),Assumptions!$B$10))</f>
        <v>41296.543693037202</v>
      </c>
      <c r="G130" s="30">
        <f>IF(G$5&gt;$B130,0,INDEX(Decrements!$G$6:$G$58,Census!$G130+G$5-18)/INDEX(Decrements!$G$6:$G$58,Census!$G130-17)*(INDEX(Decrements!$D$6:$D$58,Census!$G130+G$5-18)+IF(G$5=$B130,INDEX(Decrements!$F$6:$F$58,Census!$G130+G$5-18),0)+INDEX(Decrements!$E$6:$E$58,Census!$G130+G$5-18)*IF((Census!$F130+G$5)&gt;=Assumptions!$B$11,1,0))*MIN(15/26*Census!$D130*(1+Assumptions!$B$9)^G$5*(INT((Census!$F130+G$5))+IF((Census!$F130+G$5)-INT((Census!$F130+G$5))&gt;0.5,1,0)),Assumptions!$B$10))</f>
        <v>41660.260109755538</v>
      </c>
      <c r="H130" s="30">
        <f>IF(H$5&gt;$B130,0,INDEX(Decrements!$G$6:$G$58,Census!$G130+H$5-18)/INDEX(Decrements!$G$6:$G$58,Census!$G130-17)*(INDEX(Decrements!$D$6:$D$58,Census!$G130+H$5-18)+IF(H$5=$B130,INDEX(Decrements!$F$6:$F$58,Census!$G130+H$5-18),0)+INDEX(Decrements!$E$6:$E$58,Census!$G130+H$5-18)*IF((Census!$F130+H$5)&gt;=Assumptions!$B$11,1,0))*MIN(15/26*Census!$D130*(1+Assumptions!$B$9)^H$5*(INT((Census!$F130+H$5))+IF((Census!$F130+H$5)-INT((Census!$F130+H$5))&gt;0.5,1,0)),Assumptions!$B$10))</f>
        <v>41197.412478000617</v>
      </c>
      <c r="I130" s="30">
        <f>IF(I$5&gt;$B130,0,INDEX(Decrements!$G$6:$G$58,Census!$G130+I$5-18)/INDEX(Decrements!$G$6:$G$58,Census!$G130-17)*(INDEX(Decrements!$D$6:$D$58,Census!$G130+I$5-18)+IF(I$5=$B130,INDEX(Decrements!$F$6:$F$58,Census!$G130+I$5-18),0)+INDEX(Decrements!$E$6:$E$58,Census!$G130+I$5-18)*IF((Census!$F130+I$5)&gt;=Assumptions!$B$11,1,0))*MIN(15/26*Census!$D130*(1+Assumptions!$B$9)^I$5*(INT((Census!$F130+I$5))+IF((Census!$F130+I$5)-INT((Census!$F130+I$5))&gt;0.5,1,0)),Assumptions!$B$10))</f>
        <v>40770.814345692808</v>
      </c>
      <c r="J130" s="30">
        <f>IF(J$5&gt;$B130,0,INDEX(Decrements!$G$6:$G$58,Census!$G130+J$5-18)/INDEX(Decrements!$G$6:$G$58,Census!$G130-17)*(INDEX(Decrements!$D$6:$D$58,Census!$G130+J$5-18)+IF(J$5=$B130,INDEX(Decrements!$F$6:$F$58,Census!$G130+J$5-18),0)+INDEX(Decrements!$E$6:$E$58,Census!$G130+J$5-18)*IF((Census!$F130+J$5)&gt;=Assumptions!$B$11,1,0))*MIN(15/26*Census!$D130*(1+Assumptions!$B$9)^J$5*(INT((Census!$F130+J$5))+IF((Census!$F130+J$5)-INT((Census!$F130+J$5))&gt;0.5,1,0)),Assumptions!$B$10))</f>
        <v>23815.791644656234</v>
      </c>
      <c r="K130" s="30">
        <f>IF(K$5&gt;$B130,0,INDEX(Decrements!$G$6:$G$58,Census!$G130+K$5-18)/INDEX(Decrements!$G$6:$G$58,Census!$G130-17)*(INDEX(Decrements!$D$6:$D$58,Census!$G130+K$5-18)+IF(K$5=$B130,INDEX(Decrements!$F$6:$F$58,Census!$G130+K$5-18),0)+INDEX(Decrements!$E$6:$E$58,Census!$G130+K$5-18)*IF((Census!$F130+K$5)&gt;=Assumptions!$B$11,1,0))*MIN(15/26*Census!$D130*(1+Assumptions!$B$9)^K$5*(INT((Census!$F130+K$5))+IF((Census!$F130+K$5)-INT((Census!$F130+K$5))&gt;0.5,1,0)),Assumptions!$B$10))</f>
        <v>24116.067761904938</v>
      </c>
      <c r="L130" s="30">
        <f>IF(L$5&gt;$B130,0,INDEX(Decrements!$G$6:$G$58,Census!$G130+L$5-18)/INDEX(Decrements!$G$6:$G$58,Census!$G130-17)*(INDEX(Decrements!$D$6:$D$58,Census!$G130+L$5-18)+IF(L$5=$B130,INDEX(Decrements!$F$6:$F$58,Census!$G130+L$5-18),0)+INDEX(Decrements!$E$6:$E$58,Census!$G130+L$5-18)*IF((Census!$F130+L$5)&gt;=Assumptions!$B$11,1,0))*MIN(15/26*Census!$D130*(1+Assumptions!$B$9)^L$5*(INT((Census!$F130+L$5))+IF((Census!$F130+L$5)-INT((Census!$F130+L$5))&gt;0.5,1,0)),Assumptions!$B$10))</f>
        <v>24456.074073724725</v>
      </c>
      <c r="M130" s="30">
        <f>IF(M$5&gt;$B130,0,INDEX(Decrements!$G$6:$G$58,Census!$G130+M$5-18)/INDEX(Decrements!$G$6:$G$58,Census!$G130-17)*(INDEX(Decrements!$D$6:$D$58,Census!$G130+M$5-18)+IF(M$5=$B130,INDEX(Decrements!$F$6:$F$58,Census!$G130+M$5-18),0)+INDEX(Decrements!$E$6:$E$58,Census!$G130+M$5-18)*IF((Census!$F130+M$5)&gt;=Assumptions!$B$11,1,0))*MIN(15/26*Census!$D130*(1+Assumptions!$B$9)^M$5*(INT((Census!$F130+M$5))+IF((Census!$F130+M$5)-INT((Census!$F130+M$5))&gt;0.5,1,0)),Assumptions!$B$10))</f>
        <v>24838.121438464346</v>
      </c>
      <c r="N130" s="30">
        <f>IF(N$5&gt;$B130,0,INDEX(Decrements!$G$6:$G$58,Census!$G130+N$5-18)/INDEX(Decrements!$G$6:$G$58,Census!$G130-17)*(INDEX(Decrements!$D$6:$D$58,Census!$G130+N$5-18)+IF(N$5=$B130,INDEX(Decrements!$F$6:$F$58,Census!$G130+N$5-18),0)+INDEX(Decrements!$E$6:$E$58,Census!$G130+N$5-18)*IF((Census!$F130+N$5)&gt;=Assumptions!$B$11,1,0))*MIN(15/26*Census!$D130*(1+Assumptions!$B$9)^N$5*(INT((Census!$F130+N$5))+IF((Census!$F130+N$5)-INT((Census!$F130+N$5))&gt;0.5,1,0)),Assumptions!$B$10))</f>
        <v>1566568.793935776</v>
      </c>
      <c r="O130" s="30">
        <f>IF(O$5&gt;$B130,0,INDEX(Decrements!$G$6:$G$58,Census!$G130+O$5-18)/INDEX(Decrements!$G$6:$G$58,Census!$G130-17)*(INDEX(Decrements!$D$6:$D$58,Census!$G130+O$5-18)+IF(O$5=$B130,INDEX(Decrements!$F$6:$F$58,Census!$G130+O$5-18),0)+INDEX(Decrements!$E$6:$E$58,Census!$G130+O$5-18)*IF((Census!$F130+O$5)&gt;=Assumptions!$B$11,1,0))*MIN(15/26*Census!$D130*(1+Assumptions!$B$9)^O$5*(INT((Census!$F130+O$5))+IF((Census!$F130+O$5)-INT((Census!$F130+O$5))&gt;0.5,1,0)),Assumptions!$B$10))</f>
        <v>0</v>
      </c>
      <c r="P130" s="30">
        <f>IF(P$5&gt;$B130,0,INDEX(Decrements!$G$6:$G$58,Census!$G130+P$5-18)/INDEX(Decrements!$G$6:$G$58,Census!$G130-17)*(INDEX(Decrements!$D$6:$D$58,Census!$G130+P$5-18)+IF(P$5=$B130,INDEX(Decrements!$F$6:$F$58,Census!$G130+P$5-18),0)+INDEX(Decrements!$E$6:$E$58,Census!$G130+P$5-18)*IF((Census!$F130+P$5)&gt;=Assumptions!$B$11,1,0))*MIN(15/26*Census!$D130*(1+Assumptions!$B$9)^P$5*(INT((Census!$F130+P$5))+IF((Census!$F130+P$5)-INT((Census!$F130+P$5))&gt;0.5,1,0)),Assumptions!$B$10))</f>
        <v>0</v>
      </c>
      <c r="Q130" s="30">
        <f>IF(Q$5&gt;$B130,0,INDEX(Decrements!$G$6:$G$58,Census!$G130+Q$5-18)/INDEX(Decrements!$G$6:$G$58,Census!$G130-17)*(INDEX(Decrements!$D$6:$D$58,Census!$G130+Q$5-18)+IF(Q$5=$B130,INDEX(Decrements!$F$6:$F$58,Census!$G130+Q$5-18),0)+INDEX(Decrements!$E$6:$E$58,Census!$G130+Q$5-18)*IF((Census!$F130+Q$5)&gt;=Assumptions!$B$11,1,0))*MIN(15/26*Census!$D130*(1+Assumptions!$B$9)^Q$5*(INT((Census!$F130+Q$5))+IF((Census!$F130+Q$5)-INT((Census!$F130+Q$5))&gt;0.5,1,0)),Assumptions!$B$10))</f>
        <v>0</v>
      </c>
      <c r="R130" s="30">
        <f>IF(R$5&gt;$B130,0,INDEX(Decrements!$G$6:$G$58,Census!$G130+R$5-18)/INDEX(Decrements!$G$6:$G$58,Census!$G130-17)*(INDEX(Decrements!$D$6:$D$58,Census!$G130+R$5-18)+IF(R$5=$B130,INDEX(Decrements!$F$6:$F$58,Census!$G130+R$5-18),0)+INDEX(Decrements!$E$6:$E$58,Census!$G130+R$5-18)*IF((Census!$F130+R$5)&gt;=Assumptions!$B$11,1,0))*MIN(15/26*Census!$D130*(1+Assumptions!$B$9)^R$5*(INT((Census!$F130+R$5))+IF((Census!$F130+R$5)-INT((Census!$F130+R$5))&gt;0.5,1,0)),Assumptions!$B$10))</f>
        <v>0</v>
      </c>
      <c r="S130" s="30">
        <f>IF(S$5&gt;$B130,0,INDEX(Decrements!$G$6:$G$58,Census!$G130+S$5-18)/INDEX(Decrements!$G$6:$G$58,Census!$G130-17)*(INDEX(Decrements!$D$6:$D$58,Census!$G130+S$5-18)+IF(S$5=$B130,INDEX(Decrements!$F$6:$F$58,Census!$G130+S$5-18),0)+INDEX(Decrements!$E$6:$E$58,Census!$G130+S$5-18)*IF((Census!$F130+S$5)&gt;=Assumptions!$B$11,1,0))*MIN(15/26*Census!$D130*(1+Assumptions!$B$9)^S$5*(INT((Census!$F130+S$5))+IF((Census!$F130+S$5)-INT((Census!$F130+S$5))&gt;0.5,1,0)),Assumptions!$B$10))</f>
        <v>0</v>
      </c>
      <c r="T130" s="30">
        <f>IF(T$5&gt;$B130,0,INDEX(Decrements!$G$6:$G$58,Census!$G130+T$5-18)/INDEX(Decrements!$G$6:$G$58,Census!$G130-17)*(INDEX(Decrements!$D$6:$D$58,Census!$G130+T$5-18)+IF(T$5=$B130,INDEX(Decrements!$F$6:$F$58,Census!$G130+T$5-18),0)+INDEX(Decrements!$E$6:$E$58,Census!$G130+T$5-18)*IF((Census!$F130+T$5)&gt;=Assumptions!$B$11,1,0))*MIN(15/26*Census!$D130*(1+Assumptions!$B$9)^T$5*(INT((Census!$F130+T$5))+IF((Census!$F130+T$5)-INT((Census!$F130+T$5))&gt;0.5,1,0)),Assumptions!$B$10))</f>
        <v>0</v>
      </c>
      <c r="U130" s="30">
        <f>IF(U$5&gt;$B130,0,INDEX(Decrements!$G$6:$G$58,Census!$G130+U$5-18)/INDEX(Decrements!$G$6:$G$58,Census!$G130-17)*(INDEX(Decrements!$D$6:$D$58,Census!$G130+U$5-18)+IF(U$5=$B130,INDEX(Decrements!$F$6:$F$58,Census!$G130+U$5-18),0)+INDEX(Decrements!$E$6:$E$58,Census!$G130+U$5-18)*IF((Census!$F130+U$5)&gt;=Assumptions!$B$11,1,0))*MIN(15/26*Census!$D130*(1+Assumptions!$B$9)^U$5*(INT((Census!$F130+U$5))+IF((Census!$F130+U$5)-INT((Census!$F130+U$5))&gt;0.5,1,0)),Assumptions!$B$10))</f>
        <v>0</v>
      </c>
      <c r="V130" s="30">
        <f>IF(V$5&gt;$B130,0,INDEX(Decrements!$G$6:$G$58,Census!$G130+V$5-18)/INDEX(Decrements!$G$6:$G$58,Census!$G130-17)*(INDEX(Decrements!$D$6:$D$58,Census!$G130+V$5-18)+IF(V$5=$B130,INDEX(Decrements!$F$6:$F$58,Census!$G130+V$5-18),0)+INDEX(Decrements!$E$6:$E$58,Census!$G130+V$5-18)*IF((Census!$F130+V$5)&gt;=Assumptions!$B$11,1,0))*MIN(15/26*Census!$D130*(1+Assumptions!$B$9)^V$5*(INT((Census!$F130+V$5))+IF((Census!$F130+V$5)-INT((Census!$F130+V$5))&gt;0.5,1,0)),Assumptions!$B$10))</f>
        <v>0</v>
      </c>
      <c r="W130" s="30">
        <f>IF(W$5&gt;$B130,0,INDEX(Decrements!$G$6:$G$58,Census!$G130+W$5-18)/INDEX(Decrements!$G$6:$G$58,Census!$G130-17)*(INDEX(Decrements!$D$6:$D$58,Census!$G130+W$5-18)+IF(W$5=$B130,INDEX(Decrements!$F$6:$F$58,Census!$G130+W$5-18),0)+INDEX(Decrements!$E$6:$E$58,Census!$G130+W$5-18)*IF((Census!$F130+W$5)&gt;=Assumptions!$B$11,1,0))*MIN(15/26*Census!$D130*(1+Assumptions!$B$9)^W$5*(INT((Census!$F130+W$5))+IF((Census!$F130+W$5)-INT((Census!$F130+W$5))&gt;0.5,1,0)),Assumptions!$B$10))</f>
        <v>0</v>
      </c>
      <c r="X130" s="30">
        <f>IF(X$5&gt;$B130,0,INDEX(Decrements!$G$6:$G$58,Census!$G130+X$5-18)/INDEX(Decrements!$G$6:$G$58,Census!$G130-17)*(INDEX(Decrements!$D$6:$D$58,Census!$G130+X$5-18)+IF(X$5=$B130,INDEX(Decrements!$F$6:$F$58,Census!$G130+X$5-18),0)+INDEX(Decrements!$E$6:$E$58,Census!$G130+X$5-18)*IF((Census!$F130+X$5)&gt;=Assumptions!$B$11,1,0))*MIN(15/26*Census!$D130*(1+Assumptions!$B$9)^X$5*(INT((Census!$F130+X$5))+IF((Census!$F130+X$5)-INT((Census!$F130+X$5))&gt;0.5,1,0)),Assumptions!$B$10))</f>
        <v>0</v>
      </c>
      <c r="Y130" s="30">
        <f>IF(Y$5&gt;$B130,0,INDEX(Decrements!$G$6:$G$58,Census!$G130+Y$5-18)/INDEX(Decrements!$G$6:$G$58,Census!$G130-17)*(INDEX(Decrements!$D$6:$D$58,Census!$G130+Y$5-18)+IF(Y$5=$B130,INDEX(Decrements!$F$6:$F$58,Census!$G130+Y$5-18),0)+INDEX(Decrements!$E$6:$E$58,Census!$G130+Y$5-18)*IF((Census!$F130+Y$5)&gt;=Assumptions!$B$11,1,0))*MIN(15/26*Census!$D130*(1+Assumptions!$B$9)^Y$5*(INT((Census!$F130+Y$5))+IF((Census!$F130+Y$5)-INT((Census!$F130+Y$5))&gt;0.5,1,0)),Assumptions!$B$10))</f>
        <v>0</v>
      </c>
      <c r="Z130" s="30">
        <f>IF(Z$5&gt;$B130,0,INDEX(Decrements!$G$6:$G$58,Census!$G130+Z$5-18)/INDEX(Decrements!$G$6:$G$58,Census!$G130-17)*(INDEX(Decrements!$D$6:$D$58,Census!$G130+Z$5-18)+IF(Z$5=$B130,INDEX(Decrements!$F$6:$F$58,Census!$G130+Z$5-18),0)+INDEX(Decrements!$E$6:$E$58,Census!$G130+Z$5-18)*IF((Census!$F130+Z$5)&gt;=Assumptions!$B$11,1,0))*MIN(15/26*Census!$D130*(1+Assumptions!$B$9)^Z$5*(INT((Census!$F130+Z$5))+IF((Census!$F130+Z$5)-INT((Census!$F130+Z$5))&gt;0.5,1,0)),Assumptions!$B$10))</f>
        <v>0</v>
      </c>
      <c r="AA130" s="30">
        <f>IF(AA$5&gt;$B130,0,INDEX(Decrements!$G$6:$G$58,Census!$G130+AA$5-18)/INDEX(Decrements!$G$6:$G$58,Census!$G130-17)*(INDEX(Decrements!$D$6:$D$58,Census!$G130+AA$5-18)+IF(AA$5=$B130,INDEX(Decrements!$F$6:$F$58,Census!$G130+AA$5-18),0)+INDEX(Decrements!$E$6:$E$58,Census!$G130+AA$5-18)*IF((Census!$F130+AA$5)&gt;=Assumptions!$B$11,1,0))*MIN(15/26*Census!$D130*(1+Assumptions!$B$9)^AA$5*(INT((Census!$F130+AA$5))+IF((Census!$F130+AA$5)-INT((Census!$F130+AA$5))&gt;0.5,1,0)),Assumptions!$B$10))</f>
        <v>0</v>
      </c>
      <c r="AB130" s="30">
        <f>IF(AB$5&gt;$B130,0,INDEX(Decrements!$G$6:$G$58,Census!$G130+AB$5-18)/INDEX(Decrements!$G$6:$G$58,Census!$G130-17)*(INDEX(Decrements!$D$6:$D$58,Census!$G130+AB$5-18)+IF(AB$5=$B130,INDEX(Decrements!$F$6:$F$58,Census!$G130+AB$5-18),0)+INDEX(Decrements!$E$6:$E$58,Census!$G130+AB$5-18)*IF((Census!$F130+AB$5)&gt;=Assumptions!$B$11,1,0))*MIN(15/26*Census!$D130*(1+Assumptions!$B$9)^AB$5*(INT((Census!$F130+AB$5))+IF((Census!$F130+AB$5)-INT((Census!$F130+AB$5))&gt;0.5,1,0)),Assumptions!$B$10))</f>
        <v>0</v>
      </c>
      <c r="AC130" s="30">
        <f>IF(AC$5&gt;$B130,0,INDEX(Decrements!$G$6:$G$58,Census!$G130+AC$5-18)/INDEX(Decrements!$G$6:$G$58,Census!$G130-17)*(INDEX(Decrements!$D$6:$D$58,Census!$G130+AC$5-18)+IF(AC$5=$B130,INDEX(Decrements!$F$6:$F$58,Census!$G130+AC$5-18),0)+INDEX(Decrements!$E$6:$E$58,Census!$G130+AC$5-18)*IF((Census!$F130+AC$5)&gt;=Assumptions!$B$11,1,0))*MIN(15/26*Census!$D130*(1+Assumptions!$B$9)^AC$5*(INT((Census!$F130+AC$5))+IF((Census!$F130+AC$5)-INT((Census!$F130+AC$5))&gt;0.5,1,0)),Assumptions!$B$10))</f>
        <v>0</v>
      </c>
      <c r="AD130" s="30">
        <f>IF(AD$5&gt;$B130,0,INDEX(Decrements!$G$6:$G$58,Census!$G130+AD$5-18)/INDEX(Decrements!$G$6:$G$58,Census!$G130-17)*(INDEX(Decrements!$D$6:$D$58,Census!$G130+AD$5-18)+IF(AD$5=$B130,INDEX(Decrements!$F$6:$F$58,Census!$G130+AD$5-18),0)+INDEX(Decrements!$E$6:$E$58,Census!$G130+AD$5-18)*IF((Census!$F130+AD$5)&gt;=Assumptions!$B$11,1,0))*MIN(15/26*Census!$D130*(1+Assumptions!$B$9)^AD$5*(INT((Census!$F130+AD$5))+IF((Census!$F130+AD$5)-INT((Census!$F130+AD$5))&gt;0.5,1,0)),Assumptions!$B$10))</f>
        <v>0</v>
      </c>
      <c r="AE130" s="30">
        <f>IF(AE$5&gt;$B130,0,INDEX(Decrements!$G$6:$G$58,Census!$G130+AE$5-18)/INDEX(Decrements!$G$6:$G$58,Census!$G130-17)*(INDEX(Decrements!$D$6:$D$58,Census!$G130+AE$5-18)+IF(AE$5=$B130,INDEX(Decrements!$F$6:$F$58,Census!$G130+AE$5-18),0)+INDEX(Decrements!$E$6:$E$58,Census!$G130+AE$5-18)*IF((Census!$F130+AE$5)&gt;=Assumptions!$B$11,1,0))*MIN(15/26*Census!$D130*(1+Assumptions!$B$9)^AE$5*(INT((Census!$F130+AE$5))+IF((Census!$F130+AE$5)-INT((Census!$F130+AE$5))&gt;0.5,1,0)),Assumptions!$B$10))</f>
        <v>0</v>
      </c>
      <c r="AF130" s="30">
        <f>IF(AF$5&gt;$B130,0,INDEX(Decrements!$G$6:$G$58,Census!$G130+AF$5-18)/INDEX(Decrements!$G$6:$G$58,Census!$G130-17)*(INDEX(Decrements!$D$6:$D$58,Census!$G130+AF$5-18)+IF(AF$5=$B130,INDEX(Decrements!$F$6:$F$58,Census!$G130+AF$5-18),0)+INDEX(Decrements!$E$6:$E$58,Census!$G130+AF$5-18)*IF((Census!$F130+AF$5)&gt;=Assumptions!$B$11,1,0))*MIN(15/26*Census!$D130*(1+Assumptions!$B$9)^AF$5*(INT((Census!$F130+AF$5))+IF((Census!$F130+AF$5)-INT((Census!$F130+AF$5))&gt;0.5,1,0)),Assumptions!$B$10))</f>
        <v>0</v>
      </c>
      <c r="AG130" s="30">
        <f>IF(AG$5&gt;$B130,0,INDEX(Decrements!$G$6:$G$58,Census!$G130+AG$5-18)/INDEX(Decrements!$G$6:$G$58,Census!$G130-17)*(INDEX(Decrements!$D$6:$D$58,Census!$G130+AG$5-18)+IF(AG$5=$B130,INDEX(Decrements!$F$6:$F$58,Census!$G130+AG$5-18),0)+INDEX(Decrements!$E$6:$E$58,Census!$G130+AG$5-18)*IF((Census!$F130+AG$5)&gt;=Assumptions!$B$11,1,0))*MIN(15/26*Census!$D130*(1+Assumptions!$B$9)^AG$5*(INT((Census!$F130+AG$5))+IF((Census!$F130+AG$5)-INT((Census!$F130+AG$5))&gt;0.5,1,0)),Assumptions!$B$10))</f>
        <v>0</v>
      </c>
      <c r="AH130" s="30">
        <f>IF(AH$5&gt;$B130,0,INDEX(Decrements!$G$6:$G$58,Census!$G130+AH$5-18)/INDEX(Decrements!$G$6:$G$58,Census!$G130-17)*(INDEX(Decrements!$D$6:$D$58,Census!$G130+AH$5-18)+IF(AH$5=$B130,INDEX(Decrements!$F$6:$F$58,Census!$G130+AH$5-18),0)+INDEX(Decrements!$E$6:$E$58,Census!$G130+AH$5-18)*IF((Census!$F130+AH$5)&gt;=Assumptions!$B$11,1,0))*MIN(15/26*Census!$D130*(1+Assumptions!$B$9)^AH$5*(INT((Census!$F130+AH$5))+IF((Census!$F130+AH$5)-INT((Census!$F130+AH$5))&gt;0.5,1,0)),Assumptions!$B$10))</f>
        <v>0</v>
      </c>
      <c r="AI130" s="30">
        <f>IF(AI$5&gt;$B130,0,INDEX(Decrements!$G$6:$G$58,Census!$G130+AI$5-18)/INDEX(Decrements!$G$6:$G$58,Census!$G130-17)*(INDEX(Decrements!$D$6:$D$58,Census!$G130+AI$5-18)+IF(AI$5=$B130,INDEX(Decrements!$F$6:$F$58,Census!$G130+AI$5-18),0)+INDEX(Decrements!$E$6:$E$58,Census!$G130+AI$5-18)*IF((Census!$F130+AI$5)&gt;=Assumptions!$B$11,1,0))*MIN(15/26*Census!$D130*(1+Assumptions!$B$9)^AI$5*(INT((Census!$F130+AI$5))+IF((Census!$F130+AI$5)-INT((Census!$F130+AI$5))&gt;0.5,1,0)),Assumptions!$B$10))</f>
        <v>0</v>
      </c>
      <c r="AJ130" s="30">
        <f>IF(AJ$5&gt;$B130,0,INDEX(Decrements!$G$6:$G$58,Census!$G130+AJ$5-18)/INDEX(Decrements!$G$6:$G$58,Census!$G130-17)*(INDEX(Decrements!$D$6:$D$58,Census!$G130+AJ$5-18)+IF(AJ$5=$B130,INDEX(Decrements!$F$6:$F$58,Census!$G130+AJ$5-18),0)+INDEX(Decrements!$E$6:$E$58,Census!$G130+AJ$5-18)*IF((Census!$F130+AJ$5)&gt;=Assumptions!$B$11,1,0))*MIN(15/26*Census!$D130*(1+Assumptions!$B$9)^AJ$5*(INT((Census!$F130+AJ$5))+IF((Census!$F130+AJ$5)-INT((Census!$F130+AJ$5))&gt;0.5,1,0)),Assumptions!$B$10))</f>
        <v>0</v>
      </c>
      <c r="AK130" s="30">
        <f>IF(AK$5&gt;$B130,0,INDEX(Decrements!$G$6:$G$58,Census!$G130+AK$5-18)/INDEX(Decrements!$G$6:$G$58,Census!$G130-17)*(INDEX(Decrements!$D$6:$D$58,Census!$G130+AK$5-18)+IF(AK$5=$B130,INDEX(Decrements!$F$6:$F$58,Census!$G130+AK$5-18),0)+INDEX(Decrements!$E$6:$E$58,Census!$G130+AK$5-18)*IF((Census!$F130+AK$5)&gt;=Assumptions!$B$11,1,0))*MIN(15/26*Census!$D130*(1+Assumptions!$B$9)^AK$5*(INT((Census!$F130+AK$5))+IF((Census!$F130+AK$5)-INT((Census!$F130+AK$5))&gt;0.5,1,0)),Assumptions!$B$10))</f>
        <v>0</v>
      </c>
      <c r="AL130" s="30">
        <f>IF(AL$5&gt;$B130,0,INDEX(Decrements!$G$6:$G$58,Census!$G130+AL$5-18)/INDEX(Decrements!$G$6:$G$58,Census!$G130-17)*(INDEX(Decrements!$D$6:$D$58,Census!$G130+AL$5-18)+IF(AL$5=$B130,INDEX(Decrements!$F$6:$F$58,Census!$G130+AL$5-18),0)+INDEX(Decrements!$E$6:$E$58,Census!$G130+AL$5-18)*IF((Census!$F130+AL$5)&gt;=Assumptions!$B$11,1,0))*MIN(15/26*Census!$D130*(1+Assumptions!$B$9)^AL$5*(INT((Census!$F130+AL$5))+IF((Census!$F130+AL$5)-INT((Census!$F130+AL$5))&gt;0.5,1,0)),Assumptions!$B$10))</f>
        <v>0</v>
      </c>
      <c r="AM130" s="30">
        <f>IF(AM$5&gt;$B130,0,INDEX(Decrements!$G$6:$G$58,Census!$G130+AM$5-18)/INDEX(Decrements!$G$6:$G$58,Census!$G130-17)*(INDEX(Decrements!$D$6:$D$58,Census!$G130+AM$5-18)+IF(AM$5=$B130,INDEX(Decrements!$F$6:$F$58,Census!$G130+AM$5-18),0)+INDEX(Decrements!$E$6:$E$58,Census!$G130+AM$5-18)*IF((Census!$F130+AM$5)&gt;=Assumptions!$B$11,1,0))*MIN(15/26*Census!$D130*(1+Assumptions!$B$9)^AM$5*(INT((Census!$F130+AM$5))+IF((Census!$F130+AM$5)-INT((Census!$F130+AM$5))&gt;0.5,1,0)),Assumptions!$B$10))</f>
        <v>0</v>
      </c>
      <c r="AN130" s="30">
        <f>IF(AN$5&gt;$B130,0,INDEX(Decrements!$G$6:$G$58,Census!$G130+AN$5-18)/INDEX(Decrements!$G$6:$G$58,Census!$G130-17)*(INDEX(Decrements!$D$6:$D$58,Census!$G130+AN$5-18)+IF(AN$5=$B130,INDEX(Decrements!$F$6:$F$58,Census!$G130+AN$5-18),0)+INDEX(Decrements!$E$6:$E$58,Census!$G130+AN$5-18)*IF((Census!$F130+AN$5)&gt;=Assumptions!$B$11,1,0))*MIN(15/26*Census!$D130*(1+Assumptions!$B$9)^AN$5*(INT((Census!$F130+AN$5))+IF((Census!$F130+AN$5)-INT((Census!$F130+AN$5))&gt;0.5,1,0)),Assumptions!$B$10))</f>
        <v>0</v>
      </c>
      <c r="AO130" s="30">
        <f>IF(AO$5&gt;$B130,0,INDEX(Decrements!$G$6:$G$58,Census!$G130+AO$5-18)/INDEX(Decrements!$G$6:$G$58,Census!$G130-17)*(INDEX(Decrements!$D$6:$D$58,Census!$G130+AO$5-18)+IF(AO$5=$B130,INDEX(Decrements!$F$6:$F$58,Census!$G130+AO$5-18),0)+INDEX(Decrements!$E$6:$E$58,Census!$G130+AO$5-18)*IF((Census!$F130+AO$5)&gt;=Assumptions!$B$11,1,0))*MIN(15/26*Census!$D130*(1+Assumptions!$B$9)^AO$5*(INT((Census!$F130+AO$5))+IF((Census!$F130+AO$5)-INT((Census!$F130+AO$5))&gt;0.5,1,0)),Assumptions!$B$10))</f>
        <v>0</v>
      </c>
      <c r="AP130" s="30">
        <f>IF(AP$5&gt;$B130,0,INDEX(Decrements!$G$6:$G$58,Census!$G130+AP$5-18)/INDEX(Decrements!$G$6:$G$58,Census!$G130-17)*(INDEX(Decrements!$D$6:$D$58,Census!$G130+AP$5-18)+IF(AP$5=$B130,INDEX(Decrements!$F$6:$F$58,Census!$G130+AP$5-18),0)+INDEX(Decrements!$E$6:$E$58,Census!$G130+AP$5-18)*IF((Census!$F130+AP$5)&gt;=Assumptions!$B$11,1,0))*MIN(15/26*Census!$D130*(1+Assumptions!$B$9)^AP$5*(INT((Census!$F130+AP$5))+IF((Census!$F130+AP$5)-INT((Census!$F130+AP$5))&gt;0.5,1,0)),Assumptions!$B$10))</f>
        <v>0</v>
      </c>
      <c r="AQ130" s="30">
        <f>IF(AQ$5&gt;$B130,0,INDEX(Decrements!$G$6:$G$58,Census!$G130+AQ$5-18)/INDEX(Decrements!$G$6:$G$58,Census!$G130-17)*(INDEX(Decrements!$D$6:$D$58,Census!$G130+AQ$5-18)+IF(AQ$5=$B130,INDEX(Decrements!$F$6:$F$58,Census!$G130+AQ$5-18),0)+INDEX(Decrements!$E$6:$E$58,Census!$G130+AQ$5-18)*IF((Census!$F130+AQ$5)&gt;=Assumptions!$B$11,1,0))*MIN(15/26*Census!$D130*(1+Assumptions!$B$9)^AQ$5*(INT((Census!$F130+AQ$5))+IF((Census!$F130+AQ$5)-INT((Census!$F130+AQ$5))&gt;0.5,1,0)),Assumptions!$B$10))</f>
        <v>0</v>
      </c>
      <c r="AR130" s="30">
        <f>IF(AR$5&gt;$B130,0,INDEX(Decrements!$G$6:$G$58,Census!$G130+AR$5-18)/INDEX(Decrements!$G$6:$G$58,Census!$G130-17)*(INDEX(Decrements!$D$6:$D$58,Census!$G130+AR$5-18)+IF(AR$5=$B130,INDEX(Decrements!$F$6:$F$58,Census!$G130+AR$5-18),0)+INDEX(Decrements!$E$6:$E$58,Census!$G130+AR$5-18)*IF((Census!$F130+AR$5)&gt;=Assumptions!$B$11,1,0))*MIN(15/26*Census!$D130*(1+Assumptions!$B$9)^AR$5*(INT((Census!$F130+AR$5))+IF((Census!$F130+AR$5)-INT((Census!$F130+AR$5))&gt;0.5,1,0)),Assumptions!$B$10))</f>
        <v>0</v>
      </c>
      <c r="AS130" s="30">
        <f>IF(AS$5&gt;$B130,0,INDEX(Decrements!$G$6:$G$58,Census!$G130+AS$5-18)/INDEX(Decrements!$G$6:$G$58,Census!$G130-17)*(INDEX(Decrements!$D$6:$D$58,Census!$G130+AS$5-18)+IF(AS$5=$B130,INDEX(Decrements!$F$6:$F$58,Census!$G130+AS$5-18),0)+INDEX(Decrements!$E$6:$E$58,Census!$G130+AS$5-18)*IF((Census!$F130+AS$5)&gt;=Assumptions!$B$11,1,0))*MIN(15/26*Census!$D130*(1+Assumptions!$B$9)^AS$5*(INT((Census!$F130+AS$5))+IF((Census!$F130+AS$5)-INT((Census!$F130+AS$5))&gt;0.5,1,0)),Assumptions!$B$10))</f>
        <v>0</v>
      </c>
      <c r="AT130" s="30">
        <f>IF(AT$5&gt;$B130,0,INDEX(Decrements!$G$6:$G$58,Census!$G130+AT$5-18)/INDEX(Decrements!$G$6:$G$58,Census!$G130-17)*(INDEX(Decrements!$D$6:$D$58,Census!$G130+AT$5-18)+IF(AT$5=$B130,INDEX(Decrements!$F$6:$F$58,Census!$G130+AT$5-18),0)+INDEX(Decrements!$E$6:$E$58,Census!$G130+AT$5-18)*IF((Census!$F130+AT$5)&gt;=Assumptions!$B$11,1,0))*MIN(15/26*Census!$D130*(1+Assumptions!$B$9)^AT$5*(INT((Census!$F130+AT$5))+IF((Census!$F130+AT$5)-INT((Census!$F130+AT$5))&gt;0.5,1,0)),Assumptions!$B$10))</f>
        <v>0</v>
      </c>
      <c r="AU130" s="30">
        <f>IF(AU$5&gt;$B130,0,INDEX(Decrements!$G$6:$G$58,Census!$G130+AU$5-18)/INDEX(Decrements!$G$6:$G$58,Census!$G130-17)*(INDEX(Decrements!$D$6:$D$58,Census!$G130+AU$5-18)+IF(AU$5=$B130,INDEX(Decrements!$F$6:$F$58,Census!$G130+AU$5-18),0)+INDEX(Decrements!$E$6:$E$58,Census!$G130+AU$5-18)*IF((Census!$F130+AU$5)&gt;=Assumptions!$B$11,1,0))*MIN(15/26*Census!$D130*(1+Assumptions!$B$9)^AU$5*(INT((Census!$F130+AU$5))+IF((Census!$F130+AU$5)-INT((Census!$F130+AU$5))&gt;0.5,1,0)),Assumptions!$B$10))</f>
        <v>0</v>
      </c>
    </row>
    <row r="131" spans="1:47" x14ac:dyDescent="0.3">
      <c r="A131" s="10" t="str">
        <f>Census!A131</f>
        <v>E126</v>
      </c>
      <c r="B131" s="29">
        <f>Census!H131</f>
        <v>27</v>
      </c>
      <c r="C131" s="30">
        <f>IF(C$5&gt;$B131,0,INDEX(Decrements!$G$6:$G$58,Census!$G131+C$5-18)/INDEX(Decrements!$G$6:$G$58,Census!$G131-17)*(INDEX(Decrements!$D$6:$D$58,Census!$G131+C$5-18)+IF(C$5=$B131,INDEX(Decrements!$F$6:$F$58,Census!$G131+C$5-18),0)+INDEX(Decrements!$E$6:$E$58,Census!$G131+C$5-18)*IF((Census!$F131+C$5)&gt;=Assumptions!$B$11,1,0))*MIN(15/26*Census!$D131*(1+Assumptions!$B$9)^C$5*(INT((Census!$F131+C$5))+IF((Census!$F131+C$5)-INT((Census!$F131+C$5))&gt;0.5,1,0)),Assumptions!$B$10))</f>
        <v>43344.136783500435</v>
      </c>
      <c r="D131" s="30">
        <f>IF(D$5&gt;$B131,0,INDEX(Decrements!$G$6:$G$58,Census!$G131+D$5-18)/INDEX(Decrements!$G$6:$G$58,Census!$G131-17)*(INDEX(Decrements!$D$6:$D$58,Census!$G131+D$5-18)+IF(D$5=$B131,INDEX(Decrements!$F$6:$F$58,Census!$G131+D$5-18),0)+INDEX(Decrements!$E$6:$E$58,Census!$G131+D$5-18)*IF((Census!$F131+D$5)&gt;=Assumptions!$B$11,1,0))*MIN(15/26*Census!$D131*(1+Assumptions!$B$9)^D$5*(INT((Census!$F131+D$5))+IF((Census!$F131+D$5)-INT((Census!$F131+D$5))&gt;0.5,1,0)),Assumptions!$B$10))</f>
        <v>44844.921716946461</v>
      </c>
      <c r="E131" s="30">
        <f>IF(E$5&gt;$B131,0,INDEX(Decrements!$G$6:$G$58,Census!$G131+E$5-18)/INDEX(Decrements!$G$6:$G$58,Census!$G131-17)*(INDEX(Decrements!$D$6:$D$58,Census!$G131+E$5-18)+IF(E$5=$B131,INDEX(Decrements!$F$6:$F$58,Census!$G131+E$5-18),0)+INDEX(Decrements!$E$6:$E$58,Census!$G131+E$5-18)*IF((Census!$F131+E$5)&gt;=Assumptions!$B$11,1,0))*MIN(15/26*Census!$D131*(1+Assumptions!$B$9)^E$5*(INT((Census!$F131+E$5))+IF((Census!$F131+E$5)-INT((Census!$F131+E$5))&gt;0.5,1,0)),Assumptions!$B$10))</f>
        <v>33683.583162923685</v>
      </c>
      <c r="F131" s="30">
        <f>IF(F$5&gt;$B131,0,INDEX(Decrements!$G$6:$G$58,Census!$G131+F$5-18)/INDEX(Decrements!$G$6:$G$58,Census!$G131-17)*(INDEX(Decrements!$D$6:$D$58,Census!$G131+F$5-18)+IF(F$5=$B131,INDEX(Decrements!$F$6:$F$58,Census!$G131+F$5-18),0)+INDEX(Decrements!$E$6:$E$58,Census!$G131+F$5-18)*IF((Census!$F131+F$5)&gt;=Assumptions!$B$11,1,0))*MIN(15/26*Census!$D131*(1+Assumptions!$B$9)^F$5*(INT((Census!$F131+F$5))+IF((Census!$F131+F$5)-INT((Census!$F131+F$5))&gt;0.5,1,0)),Assumptions!$B$10))</f>
        <v>35687.784021645901</v>
      </c>
      <c r="G131" s="30">
        <f>IF(G$5&gt;$B131,0,INDEX(Decrements!$G$6:$G$58,Census!$G131+G$5-18)/INDEX(Decrements!$G$6:$G$58,Census!$G131-17)*(INDEX(Decrements!$D$6:$D$58,Census!$G131+G$5-18)+IF(G$5=$B131,INDEX(Decrements!$F$6:$F$58,Census!$G131+G$5-18),0)+INDEX(Decrements!$E$6:$E$58,Census!$G131+G$5-18)*IF((Census!$F131+G$5)&gt;=Assumptions!$B$11,1,0))*MIN(15/26*Census!$D131*(1+Assumptions!$B$9)^G$5*(INT((Census!$F131+G$5))+IF((Census!$F131+G$5)-INT((Census!$F131+G$5))&gt;0.5,1,0)),Assumptions!$B$10))</f>
        <v>37663.816136648296</v>
      </c>
      <c r="H131" s="30">
        <f>IF(H$5&gt;$B131,0,INDEX(Decrements!$G$6:$G$58,Census!$G131+H$5-18)/INDEX(Decrements!$G$6:$G$58,Census!$G131-17)*(INDEX(Decrements!$D$6:$D$58,Census!$G131+H$5-18)+IF(H$5=$B131,INDEX(Decrements!$F$6:$F$58,Census!$G131+H$5-18),0)+INDEX(Decrements!$E$6:$E$58,Census!$G131+H$5-18)*IF((Census!$F131+H$5)&gt;=Assumptions!$B$11,1,0))*MIN(15/26*Census!$D131*(1+Assumptions!$B$9)^H$5*(INT((Census!$F131+H$5))+IF((Census!$F131+H$5)-INT((Census!$F131+H$5))&gt;0.5,1,0)),Assumptions!$B$10))</f>
        <v>39612.039486998998</v>
      </c>
      <c r="I131" s="30">
        <f>IF(I$5&gt;$B131,0,INDEX(Decrements!$G$6:$G$58,Census!$G131+I$5-18)/INDEX(Decrements!$G$6:$G$58,Census!$G131-17)*(INDEX(Decrements!$D$6:$D$58,Census!$G131+I$5-18)+IF(I$5=$B131,INDEX(Decrements!$F$6:$F$58,Census!$G131+I$5-18),0)+INDEX(Decrements!$E$6:$E$58,Census!$G131+I$5-18)*IF((Census!$F131+I$5)&gt;=Assumptions!$B$11,1,0))*MIN(15/26*Census!$D131*(1+Assumptions!$B$9)^I$5*(INT((Census!$F131+I$5))+IF((Census!$F131+I$5)-INT((Census!$F131+I$5))&gt;0.5,1,0)),Assumptions!$B$10))</f>
        <v>41532.816579274251</v>
      </c>
      <c r="J131" s="30">
        <f>IF(J$5&gt;$B131,0,INDEX(Decrements!$G$6:$G$58,Census!$G131+J$5-18)/INDEX(Decrements!$G$6:$G$58,Census!$G131-17)*(INDEX(Decrements!$D$6:$D$58,Census!$G131+J$5-18)+IF(J$5=$B131,INDEX(Decrements!$F$6:$F$58,Census!$G131+J$5-18),0)+INDEX(Decrements!$E$6:$E$58,Census!$G131+J$5-18)*IF((Census!$F131+J$5)&gt;=Assumptions!$B$11,1,0))*MIN(15/26*Census!$D131*(1+Assumptions!$B$9)^J$5*(INT((Census!$F131+J$5))+IF((Census!$F131+J$5)-INT((Census!$F131+J$5))&gt;0.5,1,0)),Assumptions!$B$10))</f>
        <v>27411.943727547939</v>
      </c>
      <c r="K131" s="30">
        <f>IF(K$5&gt;$B131,0,INDEX(Decrements!$G$6:$G$58,Census!$G131+K$5-18)/INDEX(Decrements!$G$6:$G$58,Census!$G131-17)*(INDEX(Decrements!$D$6:$D$58,Census!$G131+K$5-18)+IF(K$5=$B131,INDEX(Decrements!$F$6:$F$58,Census!$G131+K$5-18),0)+INDEX(Decrements!$E$6:$E$58,Census!$G131+K$5-18)*IF((Census!$F131+K$5)&gt;=Assumptions!$B$11,1,0))*MIN(15/26*Census!$D131*(1+Assumptions!$B$9)^K$5*(INT((Census!$F131+K$5))+IF((Census!$F131+K$5)-INT((Census!$F131+K$5))&gt;0.5,1,0)),Assumptions!$B$10))</f>
        <v>29542.869088118878</v>
      </c>
      <c r="L131" s="30">
        <f>IF(L$5&gt;$B131,0,INDEX(Decrements!$G$6:$G$58,Census!$G131+L$5-18)/INDEX(Decrements!$G$6:$G$58,Census!$G131-17)*(INDEX(Decrements!$D$6:$D$58,Census!$G131+L$5-18)+IF(L$5=$B131,INDEX(Decrements!$F$6:$F$58,Census!$G131+L$5-18),0)+INDEX(Decrements!$E$6:$E$58,Census!$G131+L$5-18)*IF((Census!$F131+L$5)&gt;=Assumptions!$B$11,1,0))*MIN(15/26*Census!$D131*(1+Assumptions!$B$9)^L$5*(INT((Census!$F131+L$5))+IF((Census!$F131+L$5)-INT((Census!$F131+L$5))&gt;0.5,1,0)),Assumptions!$B$10))</f>
        <v>31769.688667388455</v>
      </c>
      <c r="M131" s="30">
        <f>IF(M$5&gt;$B131,0,INDEX(Decrements!$G$6:$G$58,Census!$G131+M$5-18)/INDEX(Decrements!$G$6:$G$58,Census!$G131-17)*(INDEX(Decrements!$D$6:$D$58,Census!$G131+M$5-18)+IF(M$5=$B131,INDEX(Decrements!$F$6:$F$58,Census!$G131+M$5-18),0)+INDEX(Decrements!$E$6:$E$58,Census!$G131+M$5-18)*IF((Census!$F131+M$5)&gt;=Assumptions!$B$11,1,0))*MIN(15/26*Census!$D131*(1+Assumptions!$B$9)^M$5*(INT((Census!$F131+M$5))+IF((Census!$F131+M$5)-INT((Census!$F131+M$5))&gt;0.5,1,0)),Assumptions!$B$10))</f>
        <v>34096.62420361791</v>
      </c>
      <c r="N131" s="30">
        <f>IF(N$5&gt;$B131,0,INDEX(Decrements!$G$6:$G$58,Census!$G131+N$5-18)/INDEX(Decrements!$G$6:$G$58,Census!$G131-17)*(INDEX(Decrements!$D$6:$D$58,Census!$G131+N$5-18)+IF(N$5=$B131,INDEX(Decrements!$F$6:$F$58,Census!$G131+N$5-18),0)+INDEX(Decrements!$E$6:$E$58,Census!$G131+N$5-18)*IF((Census!$F131+N$5)&gt;=Assumptions!$B$11,1,0))*MIN(15/26*Census!$D131*(1+Assumptions!$B$9)^N$5*(INT((Census!$F131+N$5))+IF((Census!$F131+N$5)-INT((Census!$F131+N$5))&gt;0.5,1,0)),Assumptions!$B$10))</f>
        <v>36528.148451505927</v>
      </c>
      <c r="O131" s="30">
        <f>IF(O$5&gt;$B131,0,INDEX(Decrements!$G$6:$G$58,Census!$G131+O$5-18)/INDEX(Decrements!$G$6:$G$58,Census!$G131-17)*(INDEX(Decrements!$D$6:$D$58,Census!$G131+O$5-18)+IF(O$5=$B131,INDEX(Decrements!$F$6:$F$58,Census!$G131+O$5-18),0)+INDEX(Decrements!$E$6:$E$58,Census!$G131+O$5-18)*IF((Census!$F131+O$5)&gt;=Assumptions!$B$11,1,0))*MIN(15/26*Census!$D131*(1+Assumptions!$B$9)^O$5*(INT((Census!$F131+O$5))+IF((Census!$F131+O$5)-INT((Census!$F131+O$5))&gt;0.5,1,0)),Assumptions!$B$10))</f>
        <v>24022.617857035435</v>
      </c>
      <c r="P131" s="30">
        <f>IF(P$5&gt;$B131,0,INDEX(Decrements!$G$6:$G$58,Census!$G131+P$5-18)/INDEX(Decrements!$G$6:$G$58,Census!$G131-17)*(INDEX(Decrements!$D$6:$D$58,Census!$G131+P$5-18)+IF(P$5=$B131,INDEX(Decrements!$F$6:$F$58,Census!$G131+P$5-18),0)+INDEX(Decrements!$E$6:$E$58,Census!$G131+P$5-18)*IF((Census!$F131+P$5)&gt;=Assumptions!$B$11,1,0))*MIN(15/26*Census!$D131*(1+Assumptions!$B$9)^P$5*(INT((Census!$F131+P$5))+IF((Census!$F131+P$5)-INT((Census!$F131+P$5))&gt;0.5,1,0)),Assumptions!$B$10))</f>
        <v>24665.122326732151</v>
      </c>
      <c r="Q131" s="30">
        <f>IF(Q$5&gt;$B131,0,INDEX(Decrements!$G$6:$G$58,Census!$G131+Q$5-18)/INDEX(Decrements!$G$6:$G$58,Census!$G131-17)*(INDEX(Decrements!$D$6:$D$58,Census!$G131+Q$5-18)+IF(Q$5=$B131,INDEX(Decrements!$F$6:$F$58,Census!$G131+Q$5-18),0)+INDEX(Decrements!$E$6:$E$58,Census!$G131+Q$5-18)*IF((Census!$F131+Q$5)&gt;=Assumptions!$B$11,1,0))*MIN(15/26*Census!$D131*(1+Assumptions!$B$9)^Q$5*(INT((Census!$F131+Q$5))+IF((Census!$F131+Q$5)-INT((Census!$F131+Q$5))&gt;0.5,1,0)),Assumptions!$B$10))</f>
        <v>23996.83102560306</v>
      </c>
      <c r="R131" s="30">
        <f>IF(R$5&gt;$B131,0,INDEX(Decrements!$G$6:$G$58,Census!$G131+R$5-18)/INDEX(Decrements!$G$6:$G$58,Census!$G131-17)*(INDEX(Decrements!$D$6:$D$58,Census!$G131+R$5-18)+IF(R$5=$B131,INDEX(Decrements!$F$6:$F$58,Census!$G131+R$5-18),0)+INDEX(Decrements!$E$6:$E$58,Census!$G131+R$5-18)*IF((Census!$F131+R$5)&gt;=Assumptions!$B$11,1,0))*MIN(15/26*Census!$D131*(1+Assumptions!$B$9)^R$5*(INT((Census!$F131+R$5))+IF((Census!$F131+R$5)-INT((Census!$F131+R$5))&gt;0.5,1,0)),Assumptions!$B$10))</f>
        <v>23353.851141971063</v>
      </c>
      <c r="S131" s="30">
        <f>IF(S$5&gt;$B131,0,INDEX(Decrements!$G$6:$G$58,Census!$G131+S$5-18)/INDEX(Decrements!$G$6:$G$58,Census!$G131-17)*(INDEX(Decrements!$D$6:$D$58,Census!$G131+S$5-18)+IF(S$5=$B131,INDEX(Decrements!$F$6:$F$58,Census!$G131+S$5-18),0)+INDEX(Decrements!$E$6:$E$58,Census!$G131+S$5-18)*IF((Census!$F131+S$5)&gt;=Assumptions!$B$11,1,0))*MIN(15/26*Census!$D131*(1+Assumptions!$B$9)^S$5*(INT((Census!$F131+S$5))+IF((Census!$F131+S$5)-INT((Census!$F131+S$5))&gt;0.5,1,0)),Assumptions!$B$10))</f>
        <v>22735.678045222099</v>
      </c>
      <c r="T131" s="30">
        <f>IF(T$5&gt;$B131,0,INDEX(Decrements!$G$6:$G$58,Census!$G131+T$5-18)/INDEX(Decrements!$G$6:$G$58,Census!$G131-17)*(INDEX(Decrements!$D$6:$D$58,Census!$G131+T$5-18)+IF(T$5=$B131,INDEX(Decrements!$F$6:$F$58,Census!$G131+T$5-18),0)+INDEX(Decrements!$E$6:$E$58,Census!$G131+T$5-18)*IF((Census!$F131+T$5)&gt;=Assumptions!$B$11,1,0))*MIN(15/26*Census!$D131*(1+Assumptions!$B$9)^T$5*(INT((Census!$F131+T$5))+IF((Census!$F131+T$5)-INT((Census!$F131+T$5))&gt;0.5,1,0)),Assumptions!$B$10))</f>
        <v>15405.123800680494</v>
      </c>
      <c r="U131" s="30">
        <f>IF(U$5&gt;$B131,0,INDEX(Decrements!$G$6:$G$58,Census!$G131+U$5-18)/INDEX(Decrements!$G$6:$G$58,Census!$G131-17)*(INDEX(Decrements!$D$6:$D$58,Census!$G131+U$5-18)+IF(U$5=$B131,INDEX(Decrements!$F$6:$F$58,Census!$G131+U$5-18),0)+INDEX(Decrements!$E$6:$E$58,Census!$G131+U$5-18)*IF((Census!$F131+U$5)&gt;=Assumptions!$B$11,1,0))*MIN(15/26*Census!$D131*(1+Assumptions!$B$9)^U$5*(INT((Census!$F131+U$5))+IF((Census!$F131+U$5)-INT((Census!$F131+U$5))&gt;0.5,1,0)),Assumptions!$B$10))</f>
        <v>15212.756555086184</v>
      </c>
      <c r="V131" s="30">
        <f>IF(V$5&gt;$B131,0,INDEX(Decrements!$G$6:$G$58,Census!$G131+V$5-18)/INDEX(Decrements!$G$6:$G$58,Census!$G131-17)*(INDEX(Decrements!$D$6:$D$58,Census!$G131+V$5-18)+IF(V$5=$B131,INDEX(Decrements!$F$6:$F$58,Census!$G131+V$5-18),0)+INDEX(Decrements!$E$6:$E$58,Census!$G131+V$5-18)*IF((Census!$F131+V$5)&gt;=Assumptions!$B$11,1,0))*MIN(15/26*Census!$D131*(1+Assumptions!$B$9)^V$5*(INT((Census!$F131+V$5))+IF((Census!$F131+V$5)-INT((Census!$F131+V$5))&gt;0.5,1,0)),Assumptions!$B$10))</f>
        <v>15032.932451691437</v>
      </c>
      <c r="W131" s="30">
        <f>IF(W$5&gt;$B131,0,INDEX(Decrements!$G$6:$G$58,Census!$G131+W$5-18)/INDEX(Decrements!$G$6:$G$58,Census!$G131-17)*(INDEX(Decrements!$D$6:$D$58,Census!$G131+W$5-18)+IF(W$5=$B131,INDEX(Decrements!$F$6:$F$58,Census!$G131+W$5-18),0)+INDEX(Decrements!$E$6:$E$58,Census!$G131+W$5-18)*IF((Census!$F131+W$5)&gt;=Assumptions!$B$11,1,0))*MIN(15/26*Census!$D131*(1+Assumptions!$B$9)^W$5*(INT((Census!$F131+W$5))+IF((Census!$F131+W$5)-INT((Census!$F131+W$5))&gt;0.5,1,0)),Assumptions!$B$10))</f>
        <v>14865.915799244571</v>
      </c>
      <c r="X131" s="30">
        <f>IF(X$5&gt;$B131,0,INDEX(Decrements!$G$6:$G$58,Census!$G131+X$5-18)/INDEX(Decrements!$G$6:$G$58,Census!$G131-17)*(INDEX(Decrements!$D$6:$D$58,Census!$G131+X$5-18)+IF(X$5=$B131,INDEX(Decrements!$F$6:$F$58,Census!$G131+X$5-18),0)+INDEX(Decrements!$E$6:$E$58,Census!$G131+X$5-18)*IF((Census!$F131+X$5)&gt;=Assumptions!$B$11,1,0))*MIN(15/26*Census!$D131*(1+Assumptions!$B$9)^X$5*(INT((Census!$F131+X$5))+IF((Census!$F131+X$5)-INT((Census!$F131+X$5))&gt;0.5,1,0)),Assumptions!$B$10))</f>
        <v>14711.979628656447</v>
      </c>
      <c r="Y131" s="30">
        <f>IF(Y$5&gt;$B131,0,INDEX(Decrements!$G$6:$G$58,Census!$G131+Y$5-18)/INDEX(Decrements!$G$6:$G$58,Census!$G131-17)*(INDEX(Decrements!$D$6:$D$58,Census!$G131+Y$5-18)+IF(Y$5=$B131,INDEX(Decrements!$F$6:$F$58,Census!$G131+Y$5-18),0)+INDEX(Decrements!$E$6:$E$58,Census!$G131+Y$5-18)*IF((Census!$F131+Y$5)&gt;=Assumptions!$B$11,1,0))*MIN(15/26*Census!$D131*(1+Assumptions!$B$9)^Y$5*(INT((Census!$F131+Y$5))+IF((Census!$F131+Y$5)-INT((Census!$F131+Y$5))&gt;0.5,1,0)),Assumptions!$B$10))</f>
        <v>8593.8298545053258</v>
      </c>
      <c r="Z131" s="30">
        <f>IF(Z$5&gt;$B131,0,INDEX(Decrements!$G$6:$G$58,Census!$G131+Z$5-18)/INDEX(Decrements!$G$6:$G$58,Census!$G131-17)*(INDEX(Decrements!$D$6:$D$58,Census!$G131+Z$5-18)+IF(Z$5=$B131,INDEX(Decrements!$F$6:$F$58,Census!$G131+Z$5-18),0)+INDEX(Decrements!$E$6:$E$58,Census!$G131+Z$5-18)*IF((Census!$F131+Z$5)&gt;=Assumptions!$B$11,1,0))*MIN(15/26*Census!$D131*(1+Assumptions!$B$9)^Z$5*(INT((Census!$F131+Z$5))+IF((Census!$F131+Z$5)-INT((Census!$F131+Z$5))&gt;0.5,1,0)),Assumptions!$B$10))</f>
        <v>8702.1832487367501</v>
      </c>
      <c r="AA131" s="30">
        <f>IF(AA$5&gt;$B131,0,INDEX(Decrements!$G$6:$G$58,Census!$G131+AA$5-18)/INDEX(Decrements!$G$6:$G$58,Census!$G131-17)*(INDEX(Decrements!$D$6:$D$58,Census!$G131+AA$5-18)+IF(AA$5=$B131,INDEX(Decrements!$F$6:$F$58,Census!$G131+AA$5-18),0)+INDEX(Decrements!$E$6:$E$58,Census!$G131+AA$5-18)*IF((Census!$F131+AA$5)&gt;=Assumptions!$B$11,1,0))*MIN(15/26*Census!$D131*(1+Assumptions!$B$9)^AA$5*(INT((Census!$F131+AA$5))+IF((Census!$F131+AA$5)-INT((Census!$F131+AA$5))&gt;0.5,1,0)),Assumptions!$B$10))</f>
        <v>8824.8731192577143</v>
      </c>
      <c r="AB131" s="30">
        <f>IF(AB$5&gt;$B131,0,INDEX(Decrements!$G$6:$G$58,Census!$G131+AB$5-18)/INDEX(Decrements!$G$6:$G$58,Census!$G131-17)*(INDEX(Decrements!$D$6:$D$58,Census!$G131+AB$5-18)+IF(AB$5=$B131,INDEX(Decrements!$F$6:$F$58,Census!$G131+AB$5-18),0)+INDEX(Decrements!$E$6:$E$58,Census!$G131+AB$5-18)*IF((Census!$F131+AB$5)&gt;=Assumptions!$B$11,1,0))*MIN(15/26*Census!$D131*(1+Assumptions!$B$9)^AB$5*(INT((Census!$F131+AB$5))+IF((Census!$F131+AB$5)-INT((Census!$F131+AB$5))&gt;0.5,1,0)),Assumptions!$B$10))</f>
        <v>8962.7333297399946</v>
      </c>
      <c r="AC131" s="30">
        <f>IF(AC$5&gt;$B131,0,INDEX(Decrements!$G$6:$G$58,Census!$G131+AC$5-18)/INDEX(Decrements!$G$6:$G$58,Census!$G131-17)*(INDEX(Decrements!$D$6:$D$58,Census!$G131+AC$5-18)+IF(AC$5=$B131,INDEX(Decrements!$F$6:$F$58,Census!$G131+AC$5-18),0)+INDEX(Decrements!$E$6:$E$58,Census!$G131+AC$5-18)*IF((Census!$F131+AC$5)&gt;=Assumptions!$B$11,1,0))*MIN(15/26*Census!$D131*(1+Assumptions!$B$9)^AC$5*(INT((Census!$F131+AC$5))+IF((Census!$F131+AC$5)-INT((Census!$F131+AC$5))&gt;0.5,1,0)),Assumptions!$B$10))</f>
        <v>565289.86612470855</v>
      </c>
      <c r="AD131" s="30">
        <f>IF(AD$5&gt;$B131,0,INDEX(Decrements!$G$6:$G$58,Census!$G131+AD$5-18)/INDEX(Decrements!$G$6:$G$58,Census!$G131-17)*(INDEX(Decrements!$D$6:$D$58,Census!$G131+AD$5-18)+IF(AD$5=$B131,INDEX(Decrements!$F$6:$F$58,Census!$G131+AD$5-18),0)+INDEX(Decrements!$E$6:$E$58,Census!$G131+AD$5-18)*IF((Census!$F131+AD$5)&gt;=Assumptions!$B$11,1,0))*MIN(15/26*Census!$D131*(1+Assumptions!$B$9)^AD$5*(INT((Census!$F131+AD$5))+IF((Census!$F131+AD$5)-INT((Census!$F131+AD$5))&gt;0.5,1,0)),Assumptions!$B$10))</f>
        <v>0</v>
      </c>
      <c r="AE131" s="30">
        <f>IF(AE$5&gt;$B131,0,INDEX(Decrements!$G$6:$G$58,Census!$G131+AE$5-18)/INDEX(Decrements!$G$6:$G$58,Census!$G131-17)*(INDEX(Decrements!$D$6:$D$58,Census!$G131+AE$5-18)+IF(AE$5=$B131,INDEX(Decrements!$F$6:$F$58,Census!$G131+AE$5-18),0)+INDEX(Decrements!$E$6:$E$58,Census!$G131+AE$5-18)*IF((Census!$F131+AE$5)&gt;=Assumptions!$B$11,1,0))*MIN(15/26*Census!$D131*(1+Assumptions!$B$9)^AE$5*(INT((Census!$F131+AE$5))+IF((Census!$F131+AE$5)-INT((Census!$F131+AE$5))&gt;0.5,1,0)),Assumptions!$B$10))</f>
        <v>0</v>
      </c>
      <c r="AF131" s="30">
        <f>IF(AF$5&gt;$B131,0,INDEX(Decrements!$G$6:$G$58,Census!$G131+AF$5-18)/INDEX(Decrements!$G$6:$G$58,Census!$G131-17)*(INDEX(Decrements!$D$6:$D$58,Census!$G131+AF$5-18)+IF(AF$5=$B131,INDEX(Decrements!$F$6:$F$58,Census!$G131+AF$5-18),0)+INDEX(Decrements!$E$6:$E$58,Census!$G131+AF$5-18)*IF((Census!$F131+AF$5)&gt;=Assumptions!$B$11,1,0))*MIN(15/26*Census!$D131*(1+Assumptions!$B$9)^AF$5*(INT((Census!$F131+AF$5))+IF((Census!$F131+AF$5)-INT((Census!$F131+AF$5))&gt;0.5,1,0)),Assumptions!$B$10))</f>
        <v>0</v>
      </c>
      <c r="AG131" s="30">
        <f>IF(AG$5&gt;$B131,0,INDEX(Decrements!$G$6:$G$58,Census!$G131+AG$5-18)/INDEX(Decrements!$G$6:$G$58,Census!$G131-17)*(INDEX(Decrements!$D$6:$D$58,Census!$G131+AG$5-18)+IF(AG$5=$B131,INDEX(Decrements!$F$6:$F$58,Census!$G131+AG$5-18),0)+INDEX(Decrements!$E$6:$E$58,Census!$G131+AG$5-18)*IF((Census!$F131+AG$5)&gt;=Assumptions!$B$11,1,0))*MIN(15/26*Census!$D131*(1+Assumptions!$B$9)^AG$5*(INT((Census!$F131+AG$5))+IF((Census!$F131+AG$5)-INT((Census!$F131+AG$5))&gt;0.5,1,0)),Assumptions!$B$10))</f>
        <v>0</v>
      </c>
      <c r="AH131" s="30">
        <f>IF(AH$5&gt;$B131,0,INDEX(Decrements!$G$6:$G$58,Census!$G131+AH$5-18)/INDEX(Decrements!$G$6:$G$58,Census!$G131-17)*(INDEX(Decrements!$D$6:$D$58,Census!$G131+AH$5-18)+IF(AH$5=$B131,INDEX(Decrements!$F$6:$F$58,Census!$G131+AH$5-18),0)+INDEX(Decrements!$E$6:$E$58,Census!$G131+AH$5-18)*IF((Census!$F131+AH$5)&gt;=Assumptions!$B$11,1,0))*MIN(15/26*Census!$D131*(1+Assumptions!$B$9)^AH$5*(INT((Census!$F131+AH$5))+IF((Census!$F131+AH$5)-INT((Census!$F131+AH$5))&gt;0.5,1,0)),Assumptions!$B$10))</f>
        <v>0</v>
      </c>
      <c r="AI131" s="30">
        <f>IF(AI$5&gt;$B131,0,INDEX(Decrements!$G$6:$G$58,Census!$G131+AI$5-18)/INDEX(Decrements!$G$6:$G$58,Census!$G131-17)*(INDEX(Decrements!$D$6:$D$58,Census!$G131+AI$5-18)+IF(AI$5=$B131,INDEX(Decrements!$F$6:$F$58,Census!$G131+AI$5-18),0)+INDEX(Decrements!$E$6:$E$58,Census!$G131+AI$5-18)*IF((Census!$F131+AI$5)&gt;=Assumptions!$B$11,1,0))*MIN(15/26*Census!$D131*(1+Assumptions!$B$9)^AI$5*(INT((Census!$F131+AI$5))+IF((Census!$F131+AI$5)-INT((Census!$F131+AI$5))&gt;0.5,1,0)),Assumptions!$B$10))</f>
        <v>0</v>
      </c>
      <c r="AJ131" s="30">
        <f>IF(AJ$5&gt;$B131,0,INDEX(Decrements!$G$6:$G$58,Census!$G131+AJ$5-18)/INDEX(Decrements!$G$6:$G$58,Census!$G131-17)*(INDEX(Decrements!$D$6:$D$58,Census!$G131+AJ$5-18)+IF(AJ$5=$B131,INDEX(Decrements!$F$6:$F$58,Census!$G131+AJ$5-18),0)+INDEX(Decrements!$E$6:$E$58,Census!$G131+AJ$5-18)*IF((Census!$F131+AJ$5)&gt;=Assumptions!$B$11,1,0))*MIN(15/26*Census!$D131*(1+Assumptions!$B$9)^AJ$5*(INT((Census!$F131+AJ$5))+IF((Census!$F131+AJ$5)-INT((Census!$F131+AJ$5))&gt;0.5,1,0)),Assumptions!$B$10))</f>
        <v>0</v>
      </c>
      <c r="AK131" s="30">
        <f>IF(AK$5&gt;$B131,0,INDEX(Decrements!$G$6:$G$58,Census!$G131+AK$5-18)/INDEX(Decrements!$G$6:$G$58,Census!$G131-17)*(INDEX(Decrements!$D$6:$D$58,Census!$G131+AK$5-18)+IF(AK$5=$B131,INDEX(Decrements!$F$6:$F$58,Census!$G131+AK$5-18),0)+INDEX(Decrements!$E$6:$E$58,Census!$G131+AK$5-18)*IF((Census!$F131+AK$5)&gt;=Assumptions!$B$11,1,0))*MIN(15/26*Census!$D131*(1+Assumptions!$B$9)^AK$5*(INT((Census!$F131+AK$5))+IF((Census!$F131+AK$5)-INT((Census!$F131+AK$5))&gt;0.5,1,0)),Assumptions!$B$10))</f>
        <v>0</v>
      </c>
      <c r="AL131" s="30">
        <f>IF(AL$5&gt;$B131,0,INDEX(Decrements!$G$6:$G$58,Census!$G131+AL$5-18)/INDEX(Decrements!$G$6:$G$58,Census!$G131-17)*(INDEX(Decrements!$D$6:$D$58,Census!$G131+AL$5-18)+IF(AL$5=$B131,INDEX(Decrements!$F$6:$F$58,Census!$G131+AL$5-18),0)+INDEX(Decrements!$E$6:$E$58,Census!$G131+AL$5-18)*IF((Census!$F131+AL$5)&gt;=Assumptions!$B$11,1,0))*MIN(15/26*Census!$D131*(1+Assumptions!$B$9)^AL$5*(INT((Census!$F131+AL$5))+IF((Census!$F131+AL$5)-INT((Census!$F131+AL$5))&gt;0.5,1,0)),Assumptions!$B$10))</f>
        <v>0</v>
      </c>
      <c r="AM131" s="30">
        <f>IF(AM$5&gt;$B131,0,INDEX(Decrements!$G$6:$G$58,Census!$G131+AM$5-18)/INDEX(Decrements!$G$6:$G$58,Census!$G131-17)*(INDEX(Decrements!$D$6:$D$58,Census!$G131+AM$5-18)+IF(AM$5=$B131,INDEX(Decrements!$F$6:$F$58,Census!$G131+AM$5-18),0)+INDEX(Decrements!$E$6:$E$58,Census!$G131+AM$5-18)*IF((Census!$F131+AM$5)&gt;=Assumptions!$B$11,1,0))*MIN(15/26*Census!$D131*(1+Assumptions!$B$9)^AM$5*(INT((Census!$F131+AM$5))+IF((Census!$F131+AM$5)-INT((Census!$F131+AM$5))&gt;0.5,1,0)),Assumptions!$B$10))</f>
        <v>0</v>
      </c>
      <c r="AN131" s="30">
        <f>IF(AN$5&gt;$B131,0,INDEX(Decrements!$G$6:$G$58,Census!$G131+AN$5-18)/INDEX(Decrements!$G$6:$G$58,Census!$G131-17)*(INDEX(Decrements!$D$6:$D$58,Census!$G131+AN$5-18)+IF(AN$5=$B131,INDEX(Decrements!$F$6:$F$58,Census!$G131+AN$5-18),0)+INDEX(Decrements!$E$6:$E$58,Census!$G131+AN$5-18)*IF((Census!$F131+AN$5)&gt;=Assumptions!$B$11,1,0))*MIN(15/26*Census!$D131*(1+Assumptions!$B$9)^AN$5*(INT((Census!$F131+AN$5))+IF((Census!$F131+AN$5)-INT((Census!$F131+AN$5))&gt;0.5,1,0)),Assumptions!$B$10))</f>
        <v>0</v>
      </c>
      <c r="AO131" s="30">
        <f>IF(AO$5&gt;$B131,0,INDEX(Decrements!$G$6:$G$58,Census!$G131+AO$5-18)/INDEX(Decrements!$G$6:$G$58,Census!$G131-17)*(INDEX(Decrements!$D$6:$D$58,Census!$G131+AO$5-18)+IF(AO$5=$B131,INDEX(Decrements!$F$6:$F$58,Census!$G131+AO$5-18),0)+INDEX(Decrements!$E$6:$E$58,Census!$G131+AO$5-18)*IF((Census!$F131+AO$5)&gt;=Assumptions!$B$11,1,0))*MIN(15/26*Census!$D131*(1+Assumptions!$B$9)^AO$5*(INT((Census!$F131+AO$5))+IF((Census!$F131+AO$5)-INT((Census!$F131+AO$5))&gt;0.5,1,0)),Assumptions!$B$10))</f>
        <v>0</v>
      </c>
      <c r="AP131" s="30">
        <f>IF(AP$5&gt;$B131,0,INDEX(Decrements!$G$6:$G$58,Census!$G131+AP$5-18)/INDEX(Decrements!$G$6:$G$58,Census!$G131-17)*(INDEX(Decrements!$D$6:$D$58,Census!$G131+AP$5-18)+IF(AP$5=$B131,INDEX(Decrements!$F$6:$F$58,Census!$G131+AP$5-18),0)+INDEX(Decrements!$E$6:$E$58,Census!$G131+AP$5-18)*IF((Census!$F131+AP$5)&gt;=Assumptions!$B$11,1,0))*MIN(15/26*Census!$D131*(1+Assumptions!$B$9)^AP$5*(INT((Census!$F131+AP$5))+IF((Census!$F131+AP$5)-INT((Census!$F131+AP$5))&gt;0.5,1,0)),Assumptions!$B$10))</f>
        <v>0</v>
      </c>
      <c r="AQ131" s="30">
        <f>IF(AQ$5&gt;$B131,0,INDEX(Decrements!$G$6:$G$58,Census!$G131+AQ$5-18)/INDEX(Decrements!$G$6:$G$58,Census!$G131-17)*(INDEX(Decrements!$D$6:$D$58,Census!$G131+AQ$5-18)+IF(AQ$5=$B131,INDEX(Decrements!$F$6:$F$58,Census!$G131+AQ$5-18),0)+INDEX(Decrements!$E$6:$E$58,Census!$G131+AQ$5-18)*IF((Census!$F131+AQ$5)&gt;=Assumptions!$B$11,1,0))*MIN(15/26*Census!$D131*(1+Assumptions!$B$9)^AQ$5*(INT((Census!$F131+AQ$5))+IF((Census!$F131+AQ$5)-INT((Census!$F131+AQ$5))&gt;0.5,1,0)),Assumptions!$B$10))</f>
        <v>0</v>
      </c>
      <c r="AR131" s="30">
        <f>IF(AR$5&gt;$B131,0,INDEX(Decrements!$G$6:$G$58,Census!$G131+AR$5-18)/INDEX(Decrements!$G$6:$G$58,Census!$G131-17)*(INDEX(Decrements!$D$6:$D$58,Census!$G131+AR$5-18)+IF(AR$5=$B131,INDEX(Decrements!$F$6:$F$58,Census!$G131+AR$5-18),0)+INDEX(Decrements!$E$6:$E$58,Census!$G131+AR$5-18)*IF((Census!$F131+AR$5)&gt;=Assumptions!$B$11,1,0))*MIN(15/26*Census!$D131*(1+Assumptions!$B$9)^AR$5*(INT((Census!$F131+AR$5))+IF((Census!$F131+AR$5)-INT((Census!$F131+AR$5))&gt;0.5,1,0)),Assumptions!$B$10))</f>
        <v>0</v>
      </c>
      <c r="AS131" s="30">
        <f>IF(AS$5&gt;$B131,0,INDEX(Decrements!$G$6:$G$58,Census!$G131+AS$5-18)/INDEX(Decrements!$G$6:$G$58,Census!$G131-17)*(INDEX(Decrements!$D$6:$D$58,Census!$G131+AS$5-18)+IF(AS$5=$B131,INDEX(Decrements!$F$6:$F$58,Census!$G131+AS$5-18),0)+INDEX(Decrements!$E$6:$E$58,Census!$G131+AS$5-18)*IF((Census!$F131+AS$5)&gt;=Assumptions!$B$11,1,0))*MIN(15/26*Census!$D131*(1+Assumptions!$B$9)^AS$5*(INT((Census!$F131+AS$5))+IF((Census!$F131+AS$5)-INT((Census!$F131+AS$5))&gt;0.5,1,0)),Assumptions!$B$10))</f>
        <v>0</v>
      </c>
      <c r="AT131" s="30">
        <f>IF(AT$5&gt;$B131,0,INDEX(Decrements!$G$6:$G$58,Census!$G131+AT$5-18)/INDEX(Decrements!$G$6:$G$58,Census!$G131-17)*(INDEX(Decrements!$D$6:$D$58,Census!$G131+AT$5-18)+IF(AT$5=$B131,INDEX(Decrements!$F$6:$F$58,Census!$G131+AT$5-18),0)+INDEX(Decrements!$E$6:$E$58,Census!$G131+AT$5-18)*IF((Census!$F131+AT$5)&gt;=Assumptions!$B$11,1,0))*MIN(15/26*Census!$D131*(1+Assumptions!$B$9)^AT$5*(INT((Census!$F131+AT$5))+IF((Census!$F131+AT$5)-INT((Census!$F131+AT$5))&gt;0.5,1,0)),Assumptions!$B$10))</f>
        <v>0</v>
      </c>
      <c r="AU131" s="30">
        <f>IF(AU$5&gt;$B131,0,INDEX(Decrements!$G$6:$G$58,Census!$G131+AU$5-18)/INDEX(Decrements!$G$6:$G$58,Census!$G131-17)*(INDEX(Decrements!$D$6:$D$58,Census!$G131+AU$5-18)+IF(AU$5=$B131,INDEX(Decrements!$F$6:$F$58,Census!$G131+AU$5-18),0)+INDEX(Decrements!$E$6:$E$58,Census!$G131+AU$5-18)*IF((Census!$F131+AU$5)&gt;=Assumptions!$B$11,1,0))*MIN(15/26*Census!$D131*(1+Assumptions!$B$9)^AU$5*(INT((Census!$F131+AU$5))+IF((Census!$F131+AU$5)-INT((Census!$F131+AU$5))&gt;0.5,1,0)),Assumptions!$B$10))</f>
        <v>0</v>
      </c>
    </row>
    <row r="132" spans="1:47" x14ac:dyDescent="0.3">
      <c r="A132" s="10" t="str">
        <f>Census!A132</f>
        <v>E127</v>
      </c>
      <c r="B132" s="29">
        <f>Census!H132</f>
        <v>26</v>
      </c>
      <c r="C132" s="30">
        <f>IF(C$5&gt;$B132,0,INDEX(Decrements!$G$6:$G$58,Census!$G132+C$5-18)/INDEX(Decrements!$G$6:$G$58,Census!$G132-17)*(INDEX(Decrements!$D$6:$D$58,Census!$G132+C$5-18)+IF(C$5=$B132,INDEX(Decrements!$F$6:$F$58,Census!$G132+C$5-18),0)+INDEX(Decrements!$E$6:$E$58,Census!$G132+C$5-18)*IF((Census!$F132+C$5)&gt;=Assumptions!$B$11,1,0))*MIN(15/26*Census!$D132*(1+Assumptions!$B$9)^C$5*(INT((Census!$F132+C$5))+IF((Census!$F132+C$5)-INT((Census!$F132+C$5))&gt;0.5,1,0)),Assumptions!$B$10))</f>
        <v>19280.803604265107</v>
      </c>
      <c r="D132" s="30">
        <f>IF(D$5&gt;$B132,0,INDEX(Decrements!$G$6:$G$58,Census!$G132+D$5-18)/INDEX(Decrements!$G$6:$G$58,Census!$G132-17)*(INDEX(Decrements!$D$6:$D$58,Census!$G132+D$5-18)+IF(D$5=$B132,INDEX(Decrements!$F$6:$F$58,Census!$G132+D$5-18),0)+INDEX(Decrements!$E$6:$E$58,Census!$G132+D$5-18)*IF((Census!$F132+D$5)&gt;=Assumptions!$B$11,1,0))*MIN(15/26*Census!$D132*(1+Assumptions!$B$9)^D$5*(INT((Census!$F132+D$5))+IF((Census!$F132+D$5)-INT((Census!$F132+D$5))&gt;0.5,1,0)),Assumptions!$B$10))</f>
        <v>15206.156084718621</v>
      </c>
      <c r="E132" s="30">
        <f>IF(E$5&gt;$B132,0,INDEX(Decrements!$G$6:$G$58,Census!$G132+E$5-18)/INDEX(Decrements!$G$6:$G$58,Census!$G132-17)*(INDEX(Decrements!$D$6:$D$58,Census!$G132+E$5-18)+IF(E$5=$B132,INDEX(Decrements!$F$6:$F$58,Census!$G132+E$5-18),0)+INDEX(Decrements!$E$6:$E$58,Census!$G132+E$5-18)*IF((Census!$F132+E$5)&gt;=Assumptions!$B$11,1,0))*MIN(15/26*Census!$D132*(1+Assumptions!$B$9)^E$5*(INT((Census!$F132+E$5))+IF((Census!$F132+E$5)-INT((Census!$F132+E$5))&gt;0.5,1,0)),Assumptions!$B$10))</f>
        <v>16782.223811313052</v>
      </c>
      <c r="F132" s="30">
        <f>IF(F$5&gt;$B132,0,INDEX(Decrements!$G$6:$G$58,Census!$G132+F$5-18)/INDEX(Decrements!$G$6:$G$58,Census!$G132-17)*(INDEX(Decrements!$D$6:$D$58,Census!$G132+F$5-18)+IF(F$5=$B132,INDEX(Decrements!$F$6:$F$58,Census!$G132+F$5-18),0)+INDEX(Decrements!$E$6:$E$58,Census!$G132+F$5-18)*IF((Census!$F132+F$5)&gt;=Assumptions!$B$11,1,0))*MIN(15/26*Census!$D132*(1+Assumptions!$B$9)^F$5*(INT((Census!$F132+F$5))+IF((Census!$F132+F$5)-INT((Census!$F132+F$5))&gt;0.5,1,0)),Assumptions!$B$10))</f>
        <v>18336.56550266434</v>
      </c>
      <c r="G132" s="30">
        <f>IF(G$5&gt;$B132,0,INDEX(Decrements!$G$6:$G$58,Census!$G132+G$5-18)/INDEX(Decrements!$G$6:$G$58,Census!$G132-17)*(INDEX(Decrements!$D$6:$D$58,Census!$G132+G$5-18)+IF(G$5=$B132,INDEX(Decrements!$F$6:$F$58,Census!$G132+G$5-18),0)+INDEX(Decrements!$E$6:$E$58,Census!$G132+G$5-18)*IF((Census!$F132+G$5)&gt;=Assumptions!$B$11,1,0))*MIN(15/26*Census!$D132*(1+Assumptions!$B$9)^G$5*(INT((Census!$F132+G$5))+IF((Census!$F132+G$5)-INT((Census!$F132+G$5))&gt;0.5,1,0)),Assumptions!$B$10))</f>
        <v>19869.450361021416</v>
      </c>
      <c r="H132" s="30">
        <f>IF(H$5&gt;$B132,0,INDEX(Decrements!$G$6:$G$58,Census!$G132+H$5-18)/INDEX(Decrements!$G$6:$G$58,Census!$G132-17)*(INDEX(Decrements!$D$6:$D$58,Census!$G132+H$5-18)+IF(H$5=$B132,INDEX(Decrements!$F$6:$F$58,Census!$G132+H$5-18),0)+INDEX(Decrements!$E$6:$E$58,Census!$G132+H$5-18)*IF((Census!$F132+H$5)&gt;=Assumptions!$B$11,1,0))*MIN(15/26*Census!$D132*(1+Assumptions!$B$9)^H$5*(INT((Census!$F132+H$5))+IF((Census!$F132+H$5)-INT((Census!$F132+H$5))&gt;0.5,1,0)),Assumptions!$B$10))</f>
        <v>21381.149236471858</v>
      </c>
      <c r="I132" s="30">
        <f>IF(I$5&gt;$B132,0,INDEX(Decrements!$G$6:$G$58,Census!$G132+I$5-18)/INDEX(Decrements!$G$6:$G$58,Census!$G132-17)*(INDEX(Decrements!$D$6:$D$58,Census!$G132+I$5-18)+IF(I$5=$B132,INDEX(Decrements!$F$6:$F$58,Census!$G132+I$5-18),0)+INDEX(Decrements!$E$6:$E$58,Census!$G132+I$5-18)*IF((Census!$F132+I$5)&gt;=Assumptions!$B$11,1,0))*MIN(15/26*Census!$D132*(1+Assumptions!$B$9)^I$5*(INT((Census!$F132+I$5))+IF((Census!$F132+I$5)-INT((Census!$F132+I$5))&gt;0.5,1,0)),Assumptions!$B$10))</f>
        <v>14437.359837051757</v>
      </c>
      <c r="J132" s="30">
        <f>IF(J$5&gt;$B132,0,INDEX(Decrements!$G$6:$G$58,Census!$G132+J$5-18)/INDEX(Decrements!$G$6:$G$58,Census!$G132-17)*(INDEX(Decrements!$D$6:$D$58,Census!$G132+J$5-18)+IF(J$5=$B132,INDEX(Decrements!$F$6:$F$58,Census!$G132+J$5-18),0)+INDEX(Decrements!$E$6:$E$58,Census!$G132+J$5-18)*IF((Census!$F132+J$5)&gt;=Assumptions!$B$11,1,0))*MIN(15/26*Census!$D132*(1+Assumptions!$B$9)^J$5*(INT((Census!$F132+J$5))+IF((Census!$F132+J$5)-INT((Census!$F132+J$5))&gt;0.5,1,0)),Assumptions!$B$10))</f>
        <v>15877.222966008781</v>
      </c>
      <c r="K132" s="30">
        <f>IF(K$5&gt;$B132,0,INDEX(Decrements!$G$6:$G$58,Census!$G132+K$5-18)/INDEX(Decrements!$G$6:$G$58,Census!$G132-17)*(INDEX(Decrements!$D$6:$D$58,Census!$G132+K$5-18)+IF(K$5=$B132,INDEX(Decrements!$F$6:$F$58,Census!$G132+K$5-18),0)+INDEX(Decrements!$E$6:$E$58,Census!$G132+K$5-18)*IF((Census!$F132+K$5)&gt;=Assumptions!$B$11,1,0))*MIN(15/26*Census!$D132*(1+Assumptions!$B$9)^K$5*(INT((Census!$F132+K$5))+IF((Census!$F132+K$5)-INT((Census!$F132+K$5))&gt;0.5,1,0)),Assumptions!$B$10))</f>
        <v>17384.41857035437</v>
      </c>
      <c r="L132" s="30">
        <f>IF(L$5&gt;$B132,0,INDEX(Decrements!$G$6:$G$58,Census!$G132+L$5-18)/INDEX(Decrements!$G$6:$G$58,Census!$G132-17)*(INDEX(Decrements!$D$6:$D$58,Census!$G132+L$5-18)+IF(L$5=$B132,INDEX(Decrements!$F$6:$F$58,Census!$G132+L$5-18),0)+INDEX(Decrements!$E$6:$E$58,Census!$G132+L$5-18)*IF((Census!$F132+L$5)&gt;=Assumptions!$B$11,1,0))*MIN(15/26*Census!$D132*(1+Assumptions!$B$9)^L$5*(INT((Census!$F132+L$5))+IF((Census!$F132+L$5)-INT((Census!$F132+L$5))&gt;0.5,1,0)),Assumptions!$B$10))</f>
        <v>18961.922959351166</v>
      </c>
      <c r="M132" s="30">
        <f>IF(M$5&gt;$B132,0,INDEX(Decrements!$G$6:$G$58,Census!$G132+M$5-18)/INDEX(Decrements!$G$6:$G$58,Census!$G132-17)*(INDEX(Decrements!$D$6:$D$58,Census!$G132+M$5-18)+IF(M$5=$B132,INDEX(Decrements!$F$6:$F$58,Census!$G132+M$5-18),0)+INDEX(Decrements!$E$6:$E$58,Census!$G132+M$5-18)*IF((Census!$F132+M$5)&gt;=Assumptions!$B$11,1,0))*MIN(15/26*Census!$D132*(1+Assumptions!$B$9)^M$5*(INT((Census!$F132+M$5))+IF((Census!$F132+M$5)-INT((Census!$F132+M$5))&gt;0.5,1,0)),Assumptions!$B$10))</f>
        <v>20612.887447006069</v>
      </c>
      <c r="N132" s="30">
        <f>IF(N$5&gt;$B132,0,INDEX(Decrements!$G$6:$G$58,Census!$G132+N$5-18)/INDEX(Decrements!$G$6:$G$58,Census!$G132-17)*(INDEX(Decrements!$D$6:$D$58,Census!$G132+N$5-18)+IF(N$5=$B132,INDEX(Decrements!$F$6:$F$58,Census!$G132+N$5-18),0)+INDEX(Decrements!$E$6:$E$58,Census!$G132+N$5-18)*IF((Census!$F132+N$5)&gt;=Assumptions!$B$11,1,0))*MIN(15/26*Census!$D132*(1+Assumptions!$B$9)^N$5*(INT((Census!$F132+N$5))+IF((Census!$F132+N$5)-INT((Census!$F132+N$5))&gt;0.5,1,0)),Assumptions!$B$10))</f>
        <v>13736.744937307381</v>
      </c>
      <c r="O132" s="30">
        <f>IF(O$5&gt;$B132,0,INDEX(Decrements!$G$6:$G$58,Census!$G132+O$5-18)/INDEX(Decrements!$G$6:$G$58,Census!$G132-17)*(INDEX(Decrements!$D$6:$D$58,Census!$G132+O$5-18)+IF(O$5=$B132,INDEX(Decrements!$F$6:$F$58,Census!$G132+O$5-18),0)+INDEX(Decrements!$E$6:$E$58,Census!$G132+O$5-18)*IF((Census!$F132+O$5)&gt;=Assumptions!$B$11,1,0))*MIN(15/26*Census!$D132*(1+Assumptions!$B$9)^O$5*(INT((Census!$F132+O$5))+IF((Census!$F132+O$5)-INT((Census!$F132+O$5))&gt;0.5,1,0)),Assumptions!$B$10))</f>
        <v>15189.056643493928</v>
      </c>
      <c r="P132" s="30">
        <f>IF(P$5&gt;$B132,0,INDEX(Decrements!$G$6:$G$58,Census!$G132+P$5-18)/INDEX(Decrements!$G$6:$G$58,Census!$G132-17)*(INDEX(Decrements!$D$6:$D$58,Census!$G132+P$5-18)+IF(P$5=$B132,INDEX(Decrements!$F$6:$F$58,Census!$G132+P$5-18),0)+INDEX(Decrements!$E$6:$E$58,Census!$G132+P$5-18)*IF((Census!$F132+P$5)&gt;=Assumptions!$B$11,1,0))*MIN(15/26*Census!$D132*(1+Assumptions!$B$9)^P$5*(INT((Census!$F132+P$5))+IF((Census!$F132+P$5)-INT((Census!$F132+P$5))&gt;0.5,1,0)),Assumptions!$B$10))</f>
        <v>16757.702495142621</v>
      </c>
      <c r="Q132" s="30">
        <f>IF(Q$5&gt;$B132,0,INDEX(Decrements!$G$6:$G$58,Census!$G132+Q$5-18)/INDEX(Decrements!$G$6:$G$58,Census!$G132-17)*(INDEX(Decrements!$D$6:$D$58,Census!$G132+Q$5-18)+IF(Q$5=$B132,INDEX(Decrements!$F$6:$F$58,Census!$G132+Q$5-18),0)+INDEX(Decrements!$E$6:$E$58,Census!$G132+Q$5-18)*IF((Census!$F132+Q$5)&gt;=Assumptions!$B$11,1,0))*MIN(15/26*Census!$D132*(1+Assumptions!$B$9)^Q$5*(INT((Census!$F132+Q$5))+IF((Census!$F132+Q$5)-INT((Census!$F132+Q$5))&gt;0.5,1,0)),Assumptions!$B$10))</f>
        <v>18452.118364847709</v>
      </c>
      <c r="R132" s="30">
        <f>IF(R$5&gt;$B132,0,INDEX(Decrements!$G$6:$G$58,Census!$G132+R$5-18)/INDEX(Decrements!$G$6:$G$58,Census!$G132-17)*(INDEX(Decrements!$D$6:$D$58,Census!$G132+R$5-18)+IF(R$5=$B132,INDEX(Decrements!$F$6:$F$58,Census!$G132+R$5-18),0)+INDEX(Decrements!$E$6:$E$58,Census!$G132+R$5-18)*IF((Census!$F132+R$5)&gt;=Assumptions!$B$11,1,0))*MIN(15/26*Census!$D132*(1+Assumptions!$B$9)^R$5*(INT((Census!$F132+R$5))+IF((Census!$F132+R$5)-INT((Census!$F132+R$5))&gt;0.5,1,0)),Assumptions!$B$10))</f>
        <v>20282.642948955468</v>
      </c>
      <c r="S132" s="30">
        <f>IF(S$5&gt;$B132,0,INDEX(Decrements!$G$6:$G$58,Census!$G132+S$5-18)/INDEX(Decrements!$G$6:$G$58,Census!$G132-17)*(INDEX(Decrements!$D$6:$D$58,Census!$G132+S$5-18)+IF(S$5=$B132,INDEX(Decrements!$F$6:$F$58,Census!$G132+S$5-18),0)+INDEX(Decrements!$E$6:$E$58,Census!$G132+S$5-18)*IF((Census!$F132+S$5)&gt;=Assumptions!$B$11,1,0))*MIN(15/26*Census!$D132*(1+Assumptions!$B$9)^S$5*(INT((Census!$F132+S$5))+IF((Census!$F132+S$5)-INT((Census!$F132+S$5))&gt;0.5,1,0)),Assumptions!$B$10))</f>
        <v>15487.773503744356</v>
      </c>
      <c r="T132" s="30">
        <f>IF(T$5&gt;$B132,0,INDEX(Decrements!$G$6:$G$58,Census!$G132+T$5-18)/INDEX(Decrements!$G$6:$G$58,Census!$G132-17)*(INDEX(Decrements!$D$6:$D$58,Census!$G132+T$5-18)+IF(T$5=$B132,INDEX(Decrements!$F$6:$F$58,Census!$G132+T$5-18),0)+INDEX(Decrements!$E$6:$E$58,Census!$G132+T$5-18)*IF((Census!$F132+T$5)&gt;=Assumptions!$B$11,1,0))*MIN(15/26*Census!$D132*(1+Assumptions!$B$9)^T$5*(INT((Census!$F132+T$5))+IF((Census!$F132+T$5)-INT((Census!$F132+T$5))&gt;0.5,1,0)),Assumptions!$B$10))</f>
        <v>17108.159245155817</v>
      </c>
      <c r="U132" s="30">
        <f>IF(U$5&gt;$B132,0,INDEX(Decrements!$G$6:$G$58,Census!$G132+U$5-18)/INDEX(Decrements!$G$6:$G$58,Census!$G132-17)*(INDEX(Decrements!$D$6:$D$58,Census!$G132+U$5-18)+IF(U$5=$B132,INDEX(Decrements!$F$6:$F$58,Census!$G132+U$5-18),0)+INDEX(Decrements!$E$6:$E$58,Census!$G132+U$5-18)*IF((Census!$F132+U$5)&gt;=Assumptions!$B$11,1,0))*MIN(15/26*Census!$D132*(1+Assumptions!$B$9)^U$5*(INT((Census!$F132+U$5))+IF((Census!$F132+U$5)-INT((Census!$F132+U$5))&gt;0.5,1,0)),Assumptions!$B$10))</f>
        <v>16905.930320644027</v>
      </c>
      <c r="V132" s="30">
        <f>IF(V$5&gt;$B132,0,INDEX(Decrements!$G$6:$G$58,Census!$G132+V$5-18)/INDEX(Decrements!$G$6:$G$58,Census!$G132-17)*(INDEX(Decrements!$D$6:$D$58,Census!$G132+V$5-18)+IF(V$5=$B132,INDEX(Decrements!$F$6:$F$58,Census!$G132+V$5-18),0)+INDEX(Decrements!$E$6:$E$58,Census!$G132+V$5-18)*IF((Census!$F132+V$5)&gt;=Assumptions!$B$11,1,0))*MIN(15/26*Census!$D132*(1+Assumptions!$B$9)^V$5*(INT((Census!$F132+V$5))+IF((Census!$F132+V$5)-INT((Census!$F132+V$5))&gt;0.5,1,0)),Assumptions!$B$10))</f>
        <v>16718.104565574115</v>
      </c>
      <c r="W132" s="30">
        <f>IF(W$5&gt;$B132,0,INDEX(Decrements!$G$6:$G$58,Census!$G132+W$5-18)/INDEX(Decrements!$G$6:$G$58,Census!$G132-17)*(INDEX(Decrements!$D$6:$D$58,Census!$G132+W$5-18)+IF(W$5=$B132,INDEX(Decrements!$F$6:$F$58,Census!$G132+W$5-18),0)+INDEX(Decrements!$E$6:$E$58,Census!$G132+W$5-18)*IF((Census!$F132+W$5)&gt;=Assumptions!$B$11,1,0))*MIN(15/26*Census!$D132*(1+Assumptions!$B$9)^W$5*(INT((Census!$F132+W$5))+IF((Census!$F132+W$5)-INT((Census!$F132+W$5))&gt;0.5,1,0)),Assumptions!$B$10))</f>
        <v>16544.989028592052</v>
      </c>
      <c r="X132" s="30">
        <f>IF(X$5&gt;$B132,0,INDEX(Decrements!$G$6:$G$58,Census!$G132+X$5-18)/INDEX(Decrements!$G$6:$G$58,Census!$G132-17)*(INDEX(Decrements!$D$6:$D$58,Census!$G132+X$5-18)+IF(X$5=$B132,INDEX(Decrements!$F$6:$F$58,Census!$G132+X$5-18),0)+INDEX(Decrements!$E$6:$E$58,Census!$G132+X$5-18)*IF((Census!$F132+X$5)&gt;=Assumptions!$B$11,1,0))*MIN(15/26*Census!$D132*(1+Assumptions!$B$9)^X$5*(INT((Census!$F132+X$5))+IF((Census!$F132+X$5)-INT((Census!$F132+X$5))&gt;0.5,1,0)),Assumptions!$B$10))</f>
        <v>9664.5607352137376</v>
      </c>
      <c r="Y132" s="30">
        <f>IF(Y$5&gt;$B132,0,INDEX(Decrements!$G$6:$G$58,Census!$G132+Y$5-18)/INDEX(Decrements!$G$6:$G$58,Census!$G132-17)*(INDEX(Decrements!$D$6:$D$58,Census!$G132+Y$5-18)+IF(Y$5=$B132,INDEX(Decrements!$F$6:$F$58,Census!$G132+Y$5-18),0)+INDEX(Decrements!$E$6:$E$58,Census!$G132+Y$5-18)*IF((Census!$F132+Y$5)&gt;=Assumptions!$B$11,1,0))*MIN(15/26*Census!$D132*(1+Assumptions!$B$9)^Y$5*(INT((Census!$F132+Y$5))+IF((Census!$F132+Y$5)-INT((Census!$F132+Y$5))&gt;0.5,1,0)),Assumptions!$B$10))</f>
        <v>9786.4142018456332</v>
      </c>
      <c r="Z132" s="30">
        <f>IF(Z$5&gt;$B132,0,INDEX(Decrements!$G$6:$G$58,Census!$G132+Z$5-18)/INDEX(Decrements!$G$6:$G$58,Census!$G132-17)*(INDEX(Decrements!$D$6:$D$58,Census!$G132+Z$5-18)+IF(Z$5=$B132,INDEX(Decrements!$F$6:$F$58,Census!$G132+Z$5-18),0)+INDEX(Decrements!$E$6:$E$58,Census!$G132+Z$5-18)*IF((Census!$F132+Z$5)&gt;=Assumptions!$B$11,1,0))*MIN(15/26*Census!$D132*(1+Assumptions!$B$9)^Z$5*(INT((Census!$F132+Z$5))+IF((Census!$F132+Z$5)-INT((Census!$F132+Z$5))&gt;0.5,1,0)),Assumptions!$B$10))</f>
        <v>9924.3903690865664</v>
      </c>
      <c r="AA132" s="30">
        <f>IF(AA$5&gt;$B132,0,INDEX(Decrements!$G$6:$G$58,Census!$G132+AA$5-18)/INDEX(Decrements!$G$6:$G$58,Census!$G132-17)*(INDEX(Decrements!$D$6:$D$58,Census!$G132+AA$5-18)+IF(AA$5=$B132,INDEX(Decrements!$F$6:$F$58,Census!$G132+AA$5-18),0)+INDEX(Decrements!$E$6:$E$58,Census!$G132+AA$5-18)*IF((Census!$F132+AA$5)&gt;=Assumptions!$B$11,1,0))*MIN(15/26*Census!$D132*(1+Assumptions!$B$9)^AA$5*(INT((Census!$F132+AA$5))+IF((Census!$F132+AA$5)-INT((Census!$F132+AA$5))&gt;0.5,1,0)),Assumptions!$B$10))</f>
        <v>10079.42699416902</v>
      </c>
      <c r="AB132" s="30">
        <f>IF(AB$5&gt;$B132,0,INDEX(Decrements!$G$6:$G$58,Census!$G132+AB$5-18)/INDEX(Decrements!$G$6:$G$58,Census!$G132-17)*(INDEX(Decrements!$D$6:$D$58,Census!$G132+AB$5-18)+IF(AB$5=$B132,INDEX(Decrements!$F$6:$F$58,Census!$G132+AB$5-18),0)+INDEX(Decrements!$E$6:$E$58,Census!$G132+AB$5-18)*IF((Census!$F132+AB$5)&gt;=Assumptions!$B$11,1,0))*MIN(15/26*Census!$D132*(1+Assumptions!$B$9)^AB$5*(INT((Census!$F132+AB$5))+IF((Census!$F132+AB$5)-INT((Census!$F132+AB$5))&gt;0.5,1,0)),Assumptions!$B$10))</f>
        <v>635721.01573537174</v>
      </c>
      <c r="AC132" s="30">
        <f>IF(AC$5&gt;$B132,0,INDEX(Decrements!$G$6:$G$58,Census!$G132+AC$5-18)/INDEX(Decrements!$G$6:$G$58,Census!$G132-17)*(INDEX(Decrements!$D$6:$D$58,Census!$G132+AC$5-18)+IF(AC$5=$B132,INDEX(Decrements!$F$6:$F$58,Census!$G132+AC$5-18),0)+INDEX(Decrements!$E$6:$E$58,Census!$G132+AC$5-18)*IF((Census!$F132+AC$5)&gt;=Assumptions!$B$11,1,0))*MIN(15/26*Census!$D132*(1+Assumptions!$B$9)^AC$5*(INT((Census!$F132+AC$5))+IF((Census!$F132+AC$5)-INT((Census!$F132+AC$5))&gt;0.5,1,0)),Assumptions!$B$10))</f>
        <v>0</v>
      </c>
      <c r="AD132" s="30">
        <f>IF(AD$5&gt;$B132,0,INDEX(Decrements!$G$6:$G$58,Census!$G132+AD$5-18)/INDEX(Decrements!$G$6:$G$58,Census!$G132-17)*(INDEX(Decrements!$D$6:$D$58,Census!$G132+AD$5-18)+IF(AD$5=$B132,INDEX(Decrements!$F$6:$F$58,Census!$G132+AD$5-18),0)+INDEX(Decrements!$E$6:$E$58,Census!$G132+AD$5-18)*IF((Census!$F132+AD$5)&gt;=Assumptions!$B$11,1,0))*MIN(15/26*Census!$D132*(1+Assumptions!$B$9)^AD$5*(INT((Census!$F132+AD$5))+IF((Census!$F132+AD$5)-INT((Census!$F132+AD$5))&gt;0.5,1,0)),Assumptions!$B$10))</f>
        <v>0</v>
      </c>
      <c r="AE132" s="30">
        <f>IF(AE$5&gt;$B132,0,INDEX(Decrements!$G$6:$G$58,Census!$G132+AE$5-18)/INDEX(Decrements!$G$6:$G$58,Census!$G132-17)*(INDEX(Decrements!$D$6:$D$58,Census!$G132+AE$5-18)+IF(AE$5=$B132,INDEX(Decrements!$F$6:$F$58,Census!$G132+AE$5-18),0)+INDEX(Decrements!$E$6:$E$58,Census!$G132+AE$5-18)*IF((Census!$F132+AE$5)&gt;=Assumptions!$B$11,1,0))*MIN(15/26*Census!$D132*(1+Assumptions!$B$9)^AE$5*(INT((Census!$F132+AE$5))+IF((Census!$F132+AE$5)-INT((Census!$F132+AE$5))&gt;0.5,1,0)),Assumptions!$B$10))</f>
        <v>0</v>
      </c>
      <c r="AF132" s="30">
        <f>IF(AF$5&gt;$B132,0,INDEX(Decrements!$G$6:$G$58,Census!$G132+AF$5-18)/INDEX(Decrements!$G$6:$G$58,Census!$G132-17)*(INDEX(Decrements!$D$6:$D$58,Census!$G132+AF$5-18)+IF(AF$5=$B132,INDEX(Decrements!$F$6:$F$58,Census!$G132+AF$5-18),0)+INDEX(Decrements!$E$6:$E$58,Census!$G132+AF$5-18)*IF((Census!$F132+AF$5)&gt;=Assumptions!$B$11,1,0))*MIN(15/26*Census!$D132*(1+Assumptions!$B$9)^AF$5*(INT((Census!$F132+AF$5))+IF((Census!$F132+AF$5)-INT((Census!$F132+AF$5))&gt;0.5,1,0)),Assumptions!$B$10))</f>
        <v>0</v>
      </c>
      <c r="AG132" s="30">
        <f>IF(AG$5&gt;$B132,0,INDEX(Decrements!$G$6:$G$58,Census!$G132+AG$5-18)/INDEX(Decrements!$G$6:$G$58,Census!$G132-17)*(INDEX(Decrements!$D$6:$D$58,Census!$G132+AG$5-18)+IF(AG$5=$B132,INDEX(Decrements!$F$6:$F$58,Census!$G132+AG$5-18),0)+INDEX(Decrements!$E$6:$E$58,Census!$G132+AG$5-18)*IF((Census!$F132+AG$5)&gt;=Assumptions!$B$11,1,0))*MIN(15/26*Census!$D132*(1+Assumptions!$B$9)^AG$5*(INT((Census!$F132+AG$5))+IF((Census!$F132+AG$5)-INT((Census!$F132+AG$5))&gt;0.5,1,0)),Assumptions!$B$10))</f>
        <v>0</v>
      </c>
      <c r="AH132" s="30">
        <f>IF(AH$5&gt;$B132,0,INDEX(Decrements!$G$6:$G$58,Census!$G132+AH$5-18)/INDEX(Decrements!$G$6:$G$58,Census!$G132-17)*(INDEX(Decrements!$D$6:$D$58,Census!$G132+AH$5-18)+IF(AH$5=$B132,INDEX(Decrements!$F$6:$F$58,Census!$G132+AH$5-18),0)+INDEX(Decrements!$E$6:$E$58,Census!$G132+AH$5-18)*IF((Census!$F132+AH$5)&gt;=Assumptions!$B$11,1,0))*MIN(15/26*Census!$D132*(1+Assumptions!$B$9)^AH$5*(INT((Census!$F132+AH$5))+IF((Census!$F132+AH$5)-INT((Census!$F132+AH$5))&gt;0.5,1,0)),Assumptions!$B$10))</f>
        <v>0</v>
      </c>
      <c r="AI132" s="30">
        <f>IF(AI$5&gt;$B132,0,INDEX(Decrements!$G$6:$G$58,Census!$G132+AI$5-18)/INDEX(Decrements!$G$6:$G$58,Census!$G132-17)*(INDEX(Decrements!$D$6:$D$58,Census!$G132+AI$5-18)+IF(AI$5=$B132,INDEX(Decrements!$F$6:$F$58,Census!$G132+AI$5-18),0)+INDEX(Decrements!$E$6:$E$58,Census!$G132+AI$5-18)*IF((Census!$F132+AI$5)&gt;=Assumptions!$B$11,1,0))*MIN(15/26*Census!$D132*(1+Assumptions!$B$9)^AI$5*(INT((Census!$F132+AI$5))+IF((Census!$F132+AI$5)-INT((Census!$F132+AI$5))&gt;0.5,1,0)),Assumptions!$B$10))</f>
        <v>0</v>
      </c>
      <c r="AJ132" s="30">
        <f>IF(AJ$5&gt;$B132,0,INDEX(Decrements!$G$6:$G$58,Census!$G132+AJ$5-18)/INDEX(Decrements!$G$6:$G$58,Census!$G132-17)*(INDEX(Decrements!$D$6:$D$58,Census!$G132+AJ$5-18)+IF(AJ$5=$B132,INDEX(Decrements!$F$6:$F$58,Census!$G132+AJ$5-18),0)+INDEX(Decrements!$E$6:$E$58,Census!$G132+AJ$5-18)*IF((Census!$F132+AJ$5)&gt;=Assumptions!$B$11,1,0))*MIN(15/26*Census!$D132*(1+Assumptions!$B$9)^AJ$5*(INT((Census!$F132+AJ$5))+IF((Census!$F132+AJ$5)-INT((Census!$F132+AJ$5))&gt;0.5,1,0)),Assumptions!$B$10))</f>
        <v>0</v>
      </c>
      <c r="AK132" s="30">
        <f>IF(AK$5&gt;$B132,0,INDEX(Decrements!$G$6:$G$58,Census!$G132+AK$5-18)/INDEX(Decrements!$G$6:$G$58,Census!$G132-17)*(INDEX(Decrements!$D$6:$D$58,Census!$G132+AK$5-18)+IF(AK$5=$B132,INDEX(Decrements!$F$6:$F$58,Census!$G132+AK$5-18),0)+INDEX(Decrements!$E$6:$E$58,Census!$G132+AK$5-18)*IF((Census!$F132+AK$5)&gt;=Assumptions!$B$11,1,0))*MIN(15/26*Census!$D132*(1+Assumptions!$B$9)^AK$5*(INT((Census!$F132+AK$5))+IF((Census!$F132+AK$5)-INT((Census!$F132+AK$5))&gt;0.5,1,0)),Assumptions!$B$10))</f>
        <v>0</v>
      </c>
      <c r="AL132" s="30">
        <f>IF(AL$5&gt;$B132,0,INDEX(Decrements!$G$6:$G$58,Census!$G132+AL$5-18)/INDEX(Decrements!$G$6:$G$58,Census!$G132-17)*(INDEX(Decrements!$D$6:$D$58,Census!$G132+AL$5-18)+IF(AL$5=$B132,INDEX(Decrements!$F$6:$F$58,Census!$G132+AL$5-18),0)+INDEX(Decrements!$E$6:$E$58,Census!$G132+AL$5-18)*IF((Census!$F132+AL$5)&gt;=Assumptions!$B$11,1,0))*MIN(15/26*Census!$D132*(1+Assumptions!$B$9)^AL$5*(INT((Census!$F132+AL$5))+IF((Census!$F132+AL$5)-INT((Census!$F132+AL$5))&gt;0.5,1,0)),Assumptions!$B$10))</f>
        <v>0</v>
      </c>
      <c r="AM132" s="30">
        <f>IF(AM$5&gt;$B132,0,INDEX(Decrements!$G$6:$G$58,Census!$G132+AM$5-18)/INDEX(Decrements!$G$6:$G$58,Census!$G132-17)*(INDEX(Decrements!$D$6:$D$58,Census!$G132+AM$5-18)+IF(AM$5=$B132,INDEX(Decrements!$F$6:$F$58,Census!$G132+AM$5-18),0)+INDEX(Decrements!$E$6:$E$58,Census!$G132+AM$5-18)*IF((Census!$F132+AM$5)&gt;=Assumptions!$B$11,1,0))*MIN(15/26*Census!$D132*(1+Assumptions!$B$9)^AM$5*(INT((Census!$F132+AM$5))+IF((Census!$F132+AM$5)-INT((Census!$F132+AM$5))&gt;0.5,1,0)),Assumptions!$B$10))</f>
        <v>0</v>
      </c>
      <c r="AN132" s="30">
        <f>IF(AN$5&gt;$B132,0,INDEX(Decrements!$G$6:$G$58,Census!$G132+AN$5-18)/INDEX(Decrements!$G$6:$G$58,Census!$G132-17)*(INDEX(Decrements!$D$6:$D$58,Census!$G132+AN$5-18)+IF(AN$5=$B132,INDEX(Decrements!$F$6:$F$58,Census!$G132+AN$5-18),0)+INDEX(Decrements!$E$6:$E$58,Census!$G132+AN$5-18)*IF((Census!$F132+AN$5)&gt;=Assumptions!$B$11,1,0))*MIN(15/26*Census!$D132*(1+Assumptions!$B$9)^AN$5*(INT((Census!$F132+AN$5))+IF((Census!$F132+AN$5)-INT((Census!$F132+AN$5))&gt;0.5,1,0)),Assumptions!$B$10))</f>
        <v>0</v>
      </c>
      <c r="AO132" s="30">
        <f>IF(AO$5&gt;$B132,0,INDEX(Decrements!$G$6:$G$58,Census!$G132+AO$5-18)/INDEX(Decrements!$G$6:$G$58,Census!$G132-17)*(INDEX(Decrements!$D$6:$D$58,Census!$G132+AO$5-18)+IF(AO$5=$B132,INDEX(Decrements!$F$6:$F$58,Census!$G132+AO$5-18),0)+INDEX(Decrements!$E$6:$E$58,Census!$G132+AO$5-18)*IF((Census!$F132+AO$5)&gt;=Assumptions!$B$11,1,0))*MIN(15/26*Census!$D132*(1+Assumptions!$B$9)^AO$5*(INT((Census!$F132+AO$5))+IF((Census!$F132+AO$5)-INT((Census!$F132+AO$5))&gt;0.5,1,0)),Assumptions!$B$10))</f>
        <v>0</v>
      </c>
      <c r="AP132" s="30">
        <f>IF(AP$5&gt;$B132,0,INDEX(Decrements!$G$6:$G$58,Census!$G132+AP$5-18)/INDEX(Decrements!$G$6:$G$58,Census!$G132-17)*(INDEX(Decrements!$D$6:$D$58,Census!$G132+AP$5-18)+IF(AP$5=$B132,INDEX(Decrements!$F$6:$F$58,Census!$G132+AP$5-18),0)+INDEX(Decrements!$E$6:$E$58,Census!$G132+AP$5-18)*IF((Census!$F132+AP$5)&gt;=Assumptions!$B$11,1,0))*MIN(15/26*Census!$D132*(1+Assumptions!$B$9)^AP$5*(INT((Census!$F132+AP$5))+IF((Census!$F132+AP$5)-INT((Census!$F132+AP$5))&gt;0.5,1,0)),Assumptions!$B$10))</f>
        <v>0</v>
      </c>
      <c r="AQ132" s="30">
        <f>IF(AQ$5&gt;$B132,0,INDEX(Decrements!$G$6:$G$58,Census!$G132+AQ$5-18)/INDEX(Decrements!$G$6:$G$58,Census!$G132-17)*(INDEX(Decrements!$D$6:$D$58,Census!$G132+AQ$5-18)+IF(AQ$5=$B132,INDEX(Decrements!$F$6:$F$58,Census!$G132+AQ$5-18),0)+INDEX(Decrements!$E$6:$E$58,Census!$G132+AQ$5-18)*IF((Census!$F132+AQ$5)&gt;=Assumptions!$B$11,1,0))*MIN(15/26*Census!$D132*(1+Assumptions!$B$9)^AQ$5*(INT((Census!$F132+AQ$5))+IF((Census!$F132+AQ$5)-INT((Census!$F132+AQ$5))&gt;0.5,1,0)),Assumptions!$B$10))</f>
        <v>0</v>
      </c>
      <c r="AR132" s="30">
        <f>IF(AR$5&gt;$B132,0,INDEX(Decrements!$G$6:$G$58,Census!$G132+AR$5-18)/INDEX(Decrements!$G$6:$G$58,Census!$G132-17)*(INDEX(Decrements!$D$6:$D$58,Census!$G132+AR$5-18)+IF(AR$5=$B132,INDEX(Decrements!$F$6:$F$58,Census!$G132+AR$5-18),0)+INDEX(Decrements!$E$6:$E$58,Census!$G132+AR$5-18)*IF((Census!$F132+AR$5)&gt;=Assumptions!$B$11,1,0))*MIN(15/26*Census!$D132*(1+Assumptions!$B$9)^AR$5*(INT((Census!$F132+AR$5))+IF((Census!$F132+AR$5)-INT((Census!$F132+AR$5))&gt;0.5,1,0)),Assumptions!$B$10))</f>
        <v>0</v>
      </c>
      <c r="AS132" s="30">
        <f>IF(AS$5&gt;$B132,0,INDEX(Decrements!$G$6:$G$58,Census!$G132+AS$5-18)/INDEX(Decrements!$G$6:$G$58,Census!$G132-17)*(INDEX(Decrements!$D$6:$D$58,Census!$G132+AS$5-18)+IF(AS$5=$B132,INDEX(Decrements!$F$6:$F$58,Census!$G132+AS$5-18),0)+INDEX(Decrements!$E$6:$E$58,Census!$G132+AS$5-18)*IF((Census!$F132+AS$5)&gt;=Assumptions!$B$11,1,0))*MIN(15/26*Census!$D132*(1+Assumptions!$B$9)^AS$5*(INT((Census!$F132+AS$5))+IF((Census!$F132+AS$5)-INT((Census!$F132+AS$5))&gt;0.5,1,0)),Assumptions!$B$10))</f>
        <v>0</v>
      </c>
      <c r="AT132" s="30">
        <f>IF(AT$5&gt;$B132,0,INDEX(Decrements!$G$6:$G$58,Census!$G132+AT$5-18)/INDEX(Decrements!$G$6:$G$58,Census!$G132-17)*(INDEX(Decrements!$D$6:$D$58,Census!$G132+AT$5-18)+IF(AT$5=$B132,INDEX(Decrements!$F$6:$F$58,Census!$G132+AT$5-18),0)+INDEX(Decrements!$E$6:$E$58,Census!$G132+AT$5-18)*IF((Census!$F132+AT$5)&gt;=Assumptions!$B$11,1,0))*MIN(15/26*Census!$D132*(1+Assumptions!$B$9)^AT$5*(INT((Census!$F132+AT$5))+IF((Census!$F132+AT$5)-INT((Census!$F132+AT$5))&gt;0.5,1,0)),Assumptions!$B$10))</f>
        <v>0</v>
      </c>
      <c r="AU132" s="30">
        <f>IF(AU$5&gt;$B132,0,INDEX(Decrements!$G$6:$G$58,Census!$G132+AU$5-18)/INDEX(Decrements!$G$6:$G$58,Census!$G132-17)*(INDEX(Decrements!$D$6:$D$58,Census!$G132+AU$5-18)+IF(AU$5=$B132,INDEX(Decrements!$F$6:$F$58,Census!$G132+AU$5-18),0)+INDEX(Decrements!$E$6:$E$58,Census!$G132+AU$5-18)*IF((Census!$F132+AU$5)&gt;=Assumptions!$B$11,1,0))*MIN(15/26*Census!$D132*(1+Assumptions!$B$9)^AU$5*(INT((Census!$F132+AU$5))+IF((Census!$F132+AU$5)-INT((Census!$F132+AU$5))&gt;0.5,1,0)),Assumptions!$B$10))</f>
        <v>0</v>
      </c>
    </row>
    <row r="133" spans="1:47" x14ac:dyDescent="0.3">
      <c r="A133" s="10" t="str">
        <f>Census!A133</f>
        <v>E128</v>
      </c>
      <c r="B133" s="29">
        <f>Census!H133</f>
        <v>23</v>
      </c>
      <c r="C133" s="30">
        <f>IF(C$5&gt;$B133,0,INDEX(Decrements!$G$6:$G$58,Census!$G133+C$5-18)/INDEX(Decrements!$G$6:$G$58,Census!$G133-17)*(INDEX(Decrements!$D$6:$D$58,Census!$G133+C$5-18)+IF(C$5=$B133,INDEX(Decrements!$F$6:$F$58,Census!$G133+C$5-18),0)+INDEX(Decrements!$E$6:$E$58,Census!$G133+C$5-18)*IF((Census!$F133+C$5)&gt;=Assumptions!$B$11,1,0))*MIN(15/26*Census!$D133*(1+Assumptions!$B$9)^C$5*(INT((Census!$F133+C$5))+IF((Census!$F133+C$5)-INT((Census!$F133+C$5))&gt;0.5,1,0)),Assumptions!$B$10))</f>
        <v>14.112823601608238</v>
      </c>
      <c r="D133" s="30">
        <f>IF(D$5&gt;$B133,0,INDEX(Decrements!$G$6:$G$58,Census!$G133+D$5-18)/INDEX(Decrements!$G$6:$G$58,Census!$G133-17)*(INDEX(Decrements!$D$6:$D$58,Census!$G133+D$5-18)+IF(D$5=$B133,INDEX(Decrements!$F$6:$F$58,Census!$G133+D$5-18),0)+INDEX(Decrements!$E$6:$E$58,Census!$G133+D$5-18)*IF((Census!$F133+D$5)&gt;=Assumptions!$B$11,1,0))*MIN(15/26*Census!$D133*(1+Assumptions!$B$9)^D$5*(INT((Census!$F133+D$5))+IF((Census!$F133+D$5)-INT((Census!$F133+D$5))&gt;0.5,1,0)),Assumptions!$B$10))</f>
        <v>29.807812827730796</v>
      </c>
      <c r="E133" s="30">
        <f>IF(E$5&gt;$B133,0,INDEX(Decrements!$G$6:$G$58,Census!$G133+E$5-18)/INDEX(Decrements!$G$6:$G$58,Census!$G133-17)*(INDEX(Decrements!$D$6:$D$58,Census!$G133+E$5-18)+IF(E$5=$B133,INDEX(Decrements!$F$6:$F$58,Census!$G133+E$5-18),0)+INDEX(Decrements!$E$6:$E$58,Census!$G133+E$5-18)*IF((Census!$F133+E$5)&gt;=Assumptions!$B$11,1,0))*MIN(15/26*Census!$D133*(1+Assumptions!$B$9)^E$5*(INT((Census!$F133+E$5))+IF((Census!$F133+E$5)-INT((Census!$F133+E$5))&gt;0.5,1,0)),Assumptions!$B$10))</f>
        <v>47.310443586027496</v>
      </c>
      <c r="F133" s="30">
        <f>IF(F$5&gt;$B133,0,INDEX(Decrements!$G$6:$G$58,Census!$G133+F$5-18)/INDEX(Decrements!$G$6:$G$58,Census!$G133-17)*(INDEX(Decrements!$D$6:$D$58,Census!$G133+F$5-18)+IF(F$5=$B133,INDEX(Decrements!$F$6:$F$58,Census!$G133+F$5-18),0)+INDEX(Decrements!$E$6:$E$58,Census!$G133+F$5-18)*IF((Census!$F133+F$5)&gt;=Assumptions!$B$11,1,0))*MIN(15/26*Census!$D133*(1+Assumptions!$B$9)^F$5*(INT((Census!$F133+F$5))+IF((Census!$F133+F$5)-INT((Census!$F133+F$5))&gt;0.5,1,0)),Assumptions!$B$10))</f>
        <v>67.91761207220479</v>
      </c>
      <c r="G133" s="30">
        <f>IF(G$5&gt;$B133,0,INDEX(Decrements!$G$6:$G$58,Census!$G133+G$5-18)/INDEX(Decrements!$G$6:$G$58,Census!$G133-17)*(INDEX(Decrements!$D$6:$D$58,Census!$G133+G$5-18)+IF(G$5=$B133,INDEX(Decrements!$F$6:$F$58,Census!$G133+G$5-18),0)+INDEX(Decrements!$E$6:$E$58,Census!$G133+G$5-18)*IF((Census!$F133+G$5)&gt;=Assumptions!$B$11,1,0))*MIN(15/26*Census!$D133*(1+Assumptions!$B$9)^G$5*(INT((Census!$F133+G$5))+IF((Census!$F133+G$5)-INT((Census!$F133+G$5))&gt;0.5,1,0)),Assumptions!$B$10))</f>
        <v>3397.9625918307397</v>
      </c>
      <c r="H133" s="30">
        <f>IF(H$5&gt;$B133,0,INDEX(Decrements!$G$6:$G$58,Census!$G133+H$5-18)/INDEX(Decrements!$G$6:$G$58,Census!$G133-17)*(INDEX(Decrements!$D$6:$D$58,Census!$G133+H$5-18)+IF(H$5=$B133,INDEX(Decrements!$F$6:$F$58,Census!$G133+H$5-18),0)+INDEX(Decrements!$E$6:$E$58,Census!$G133+H$5-18)*IF((Census!$F133+H$5)&gt;=Assumptions!$B$11,1,0))*MIN(15/26*Census!$D133*(1+Assumptions!$B$9)^H$5*(INT((Census!$F133+H$5))+IF((Census!$F133+H$5)-INT((Census!$F133+H$5))&gt;0.5,1,0)),Assumptions!$B$10))</f>
        <v>4185.5905546526665</v>
      </c>
      <c r="I133" s="30">
        <f>IF(I$5&gt;$B133,0,INDEX(Decrements!$G$6:$G$58,Census!$G133+I$5-18)/INDEX(Decrements!$G$6:$G$58,Census!$G133-17)*(INDEX(Decrements!$D$6:$D$58,Census!$G133+I$5-18)+IF(I$5=$B133,INDEX(Decrements!$F$6:$F$58,Census!$G133+I$5-18),0)+INDEX(Decrements!$E$6:$E$58,Census!$G133+I$5-18)*IF((Census!$F133+I$5)&gt;=Assumptions!$B$11,1,0))*MIN(15/26*Census!$D133*(1+Assumptions!$B$9)^I$5*(INT((Census!$F133+I$5))+IF((Census!$F133+I$5)-INT((Census!$F133+I$5))&gt;0.5,1,0)),Assumptions!$B$10))</f>
        <v>5012.9895677409586</v>
      </c>
      <c r="J133" s="30">
        <f>IF(J$5&gt;$B133,0,INDEX(Decrements!$G$6:$G$58,Census!$G133+J$5-18)/INDEX(Decrements!$G$6:$G$58,Census!$G133-17)*(INDEX(Decrements!$D$6:$D$58,Census!$G133+J$5-18)+IF(J$5=$B133,INDEX(Decrements!$F$6:$F$58,Census!$G133+J$5-18),0)+INDEX(Decrements!$E$6:$E$58,Census!$G133+J$5-18)*IF((Census!$F133+J$5)&gt;=Assumptions!$B$11,1,0))*MIN(15/26*Census!$D133*(1+Assumptions!$B$9)^J$5*(INT((Census!$F133+J$5))+IF((Census!$F133+J$5)-INT((Census!$F133+J$5))&gt;0.5,1,0)),Assumptions!$B$10))</f>
        <v>5881.9539247717876</v>
      </c>
      <c r="K133" s="30">
        <f>IF(K$5&gt;$B133,0,INDEX(Decrements!$G$6:$G$58,Census!$G133+K$5-18)/INDEX(Decrements!$G$6:$G$58,Census!$G133-17)*(INDEX(Decrements!$D$6:$D$58,Census!$G133+K$5-18)+IF(K$5=$B133,INDEX(Decrements!$F$6:$F$58,Census!$G133+K$5-18),0)+INDEX(Decrements!$E$6:$E$58,Census!$G133+K$5-18)*IF((Census!$F133+K$5)&gt;=Assumptions!$B$11,1,0))*MIN(15/26*Census!$D133*(1+Assumptions!$B$9)^K$5*(INT((Census!$F133+K$5))+IF((Census!$F133+K$5)-INT((Census!$F133+K$5))&gt;0.5,1,0)),Assumptions!$B$10))</f>
        <v>4177.7076684046842</v>
      </c>
      <c r="L133" s="30">
        <f>IF(L$5&gt;$B133,0,INDEX(Decrements!$G$6:$G$58,Census!$G133+L$5-18)/INDEX(Decrements!$G$6:$G$58,Census!$G133-17)*(INDEX(Decrements!$D$6:$D$58,Census!$G133+L$5-18)+IF(L$5=$B133,INDEX(Decrements!$F$6:$F$58,Census!$G133+L$5-18),0)+INDEX(Decrements!$E$6:$E$58,Census!$G133+L$5-18)*IF((Census!$F133+L$5)&gt;=Assumptions!$B$11,1,0))*MIN(15/26*Census!$D133*(1+Assumptions!$B$9)^L$5*(INT((Census!$F133+L$5))+IF((Census!$F133+L$5)-INT((Census!$F133+L$5))&gt;0.5,1,0)),Assumptions!$B$10))</f>
        <v>4876.0270977757209</v>
      </c>
      <c r="M133" s="30">
        <f>IF(M$5&gt;$B133,0,INDEX(Decrements!$G$6:$G$58,Census!$G133+M$5-18)/INDEX(Decrements!$G$6:$G$58,Census!$G133-17)*(INDEX(Decrements!$D$6:$D$58,Census!$G133+M$5-18)+IF(M$5=$B133,INDEX(Decrements!$F$6:$F$58,Census!$G133+M$5-18),0)+INDEX(Decrements!$E$6:$E$58,Census!$G133+M$5-18)*IF((Census!$F133+M$5)&gt;=Assumptions!$B$11,1,0))*MIN(15/26*Census!$D133*(1+Assumptions!$B$9)^M$5*(INT((Census!$F133+M$5))+IF((Census!$F133+M$5)-INT((Census!$F133+M$5))&gt;0.5,1,0)),Assumptions!$B$10))</f>
        <v>5635.7688313245299</v>
      </c>
      <c r="N133" s="30">
        <f>IF(N$5&gt;$B133,0,INDEX(Decrements!$G$6:$G$58,Census!$G133+N$5-18)/INDEX(Decrements!$G$6:$G$58,Census!$G133-17)*(INDEX(Decrements!$D$6:$D$58,Census!$G133+N$5-18)+IF(N$5=$B133,INDEX(Decrements!$F$6:$F$58,Census!$G133+N$5-18),0)+INDEX(Decrements!$E$6:$E$58,Census!$G133+N$5-18)*IF((Census!$F133+N$5)&gt;=Assumptions!$B$11,1,0))*MIN(15/26*Census!$D133*(1+Assumptions!$B$9)^N$5*(INT((Census!$F133+N$5))+IF((Census!$F133+N$5)-INT((Census!$F133+N$5))&gt;0.5,1,0)),Assumptions!$B$10))</f>
        <v>6462.046837354369</v>
      </c>
      <c r="O133" s="30">
        <f>IF(O$5&gt;$B133,0,INDEX(Decrements!$G$6:$G$58,Census!$G133+O$5-18)/INDEX(Decrements!$G$6:$G$58,Census!$G133-17)*(INDEX(Decrements!$D$6:$D$58,Census!$G133+O$5-18)+IF(O$5=$B133,INDEX(Decrements!$F$6:$F$58,Census!$G133+O$5-18),0)+INDEX(Decrements!$E$6:$E$58,Census!$G133+O$5-18)*IF((Census!$F133+O$5)&gt;=Assumptions!$B$11,1,0))*MIN(15/26*Census!$D133*(1+Assumptions!$B$9)^O$5*(INT((Census!$F133+O$5))+IF((Census!$F133+O$5)-INT((Census!$F133+O$5))&gt;0.5,1,0)),Assumptions!$B$10))</f>
        <v>7360.4669376151815</v>
      </c>
      <c r="P133" s="30">
        <f>IF(P$5&gt;$B133,0,INDEX(Decrements!$G$6:$G$58,Census!$G133+P$5-18)/INDEX(Decrements!$G$6:$G$58,Census!$G133-17)*(INDEX(Decrements!$D$6:$D$58,Census!$G133+P$5-18)+IF(P$5=$B133,INDEX(Decrements!$F$6:$F$58,Census!$G133+P$5-18),0)+INDEX(Decrements!$E$6:$E$58,Census!$G133+P$5-18)*IF((Census!$F133+P$5)&gt;=Assumptions!$B$11,1,0))*MIN(15/26*Census!$D133*(1+Assumptions!$B$9)^P$5*(INT((Census!$F133+P$5))+IF((Census!$F133+P$5)-INT((Census!$F133+P$5))&gt;0.5,1,0)),Assumptions!$B$10))</f>
        <v>5800.5755440351422</v>
      </c>
      <c r="Q133" s="30">
        <f>IF(Q$5&gt;$B133,0,INDEX(Decrements!$G$6:$G$58,Census!$G133+Q$5-18)/INDEX(Decrements!$G$6:$G$58,Census!$G133-17)*(INDEX(Decrements!$D$6:$D$58,Census!$G133+Q$5-18)+IF(Q$5=$B133,INDEX(Decrements!$F$6:$F$58,Census!$G133+Q$5-18),0)+INDEX(Decrements!$E$6:$E$58,Census!$G133+Q$5-18)*IF((Census!$F133+Q$5)&gt;=Assumptions!$B$11,1,0))*MIN(15/26*Census!$D133*(1+Assumptions!$B$9)^Q$5*(INT((Census!$F133+Q$5))+IF((Census!$F133+Q$5)-INT((Census!$F133+Q$5))&gt;0.5,1,0)),Assumptions!$B$10))</f>
        <v>6628.2791237646679</v>
      </c>
      <c r="R133" s="30">
        <f>IF(R$5&gt;$B133,0,INDEX(Decrements!$G$6:$G$58,Census!$G133+R$5-18)/INDEX(Decrements!$G$6:$G$58,Census!$G133-17)*(INDEX(Decrements!$D$6:$D$58,Census!$G133+R$5-18)+IF(R$5=$B133,INDEX(Decrements!$F$6:$F$58,Census!$G133+R$5-18),0)+INDEX(Decrements!$E$6:$E$58,Census!$G133+R$5-18)*IF((Census!$F133+R$5)&gt;=Assumptions!$B$11,1,0))*MIN(15/26*Census!$D133*(1+Assumptions!$B$9)^R$5*(INT((Census!$F133+R$5))+IF((Census!$F133+R$5)-INT((Census!$F133+R$5))&gt;0.5,1,0)),Assumptions!$B$10))</f>
        <v>7545.5179814592148</v>
      </c>
      <c r="S133" s="30">
        <f>IF(S$5&gt;$B133,0,INDEX(Decrements!$G$6:$G$58,Census!$G133+S$5-18)/INDEX(Decrements!$G$6:$G$58,Census!$G133-17)*(INDEX(Decrements!$D$6:$D$58,Census!$G133+S$5-18)+IF(S$5=$B133,INDEX(Decrements!$F$6:$F$58,Census!$G133+S$5-18),0)+INDEX(Decrements!$E$6:$E$58,Census!$G133+S$5-18)*IF((Census!$F133+S$5)&gt;=Assumptions!$B$11,1,0))*MIN(15/26*Census!$D133*(1+Assumptions!$B$9)^S$5*(INT((Census!$F133+S$5))+IF((Census!$F133+S$5)-INT((Census!$F133+S$5))&gt;0.5,1,0)),Assumptions!$B$10))</f>
        <v>8562.2857048259812</v>
      </c>
      <c r="T133" s="30">
        <f>IF(T$5&gt;$B133,0,INDEX(Decrements!$G$6:$G$58,Census!$G133+T$5-18)/INDEX(Decrements!$G$6:$G$58,Census!$G133-17)*(INDEX(Decrements!$D$6:$D$58,Census!$G133+T$5-18)+IF(T$5=$B133,INDEX(Decrements!$F$6:$F$58,Census!$G133+T$5-18),0)+INDEX(Decrements!$E$6:$E$58,Census!$G133+T$5-18)*IF((Census!$F133+T$5)&gt;=Assumptions!$B$11,1,0))*MIN(15/26*Census!$D133*(1+Assumptions!$B$9)^T$5*(INT((Census!$F133+T$5))+IF((Census!$F133+T$5)-INT((Census!$F133+T$5))&gt;0.5,1,0)),Assumptions!$B$10))</f>
        <v>9689.8376502119318</v>
      </c>
      <c r="U133" s="30">
        <f>IF(U$5&gt;$B133,0,INDEX(Decrements!$G$6:$G$58,Census!$G133+U$5-18)/INDEX(Decrements!$G$6:$G$58,Census!$G133-17)*(INDEX(Decrements!$D$6:$D$58,Census!$G133+U$5-18)+IF(U$5=$B133,INDEX(Decrements!$F$6:$F$58,Census!$G133+U$5-18),0)+INDEX(Decrements!$E$6:$E$58,Census!$G133+U$5-18)*IF((Census!$F133+U$5)&gt;=Assumptions!$B$11,1,0))*MIN(15/26*Census!$D133*(1+Assumptions!$B$9)^U$5*(INT((Census!$F133+U$5))+IF((Census!$F133+U$5)-INT((Census!$F133+U$5))&gt;0.5,1,0)),Assumptions!$B$10))</f>
        <v>6452.6333458557574</v>
      </c>
      <c r="V133" s="30">
        <f>IF(V$5&gt;$B133,0,INDEX(Decrements!$G$6:$G$58,Census!$G133+V$5-18)/INDEX(Decrements!$G$6:$G$58,Census!$G133-17)*(INDEX(Decrements!$D$6:$D$58,Census!$G133+V$5-18)+IF(V$5=$B133,INDEX(Decrements!$F$6:$F$58,Census!$G133+V$5-18),0)+INDEX(Decrements!$E$6:$E$58,Census!$G133+V$5-18)*IF((Census!$F133+V$5)&gt;=Assumptions!$B$11,1,0))*MIN(15/26*Census!$D133*(1+Assumptions!$B$9)^V$5*(INT((Census!$F133+V$5))+IF((Census!$F133+V$5)-INT((Census!$F133+V$5))&gt;0.5,1,0)),Assumptions!$B$10))</f>
        <v>7428.1148787791171</v>
      </c>
      <c r="W133" s="30">
        <f>IF(W$5&gt;$B133,0,INDEX(Decrements!$G$6:$G$58,Census!$G133+W$5-18)/INDEX(Decrements!$G$6:$G$58,Census!$G133-17)*(INDEX(Decrements!$D$6:$D$58,Census!$G133+W$5-18)+IF(W$5=$B133,INDEX(Decrements!$F$6:$F$58,Census!$G133+W$5-18),0)+INDEX(Decrements!$E$6:$E$58,Census!$G133+W$5-18)*IF((Census!$F133+W$5)&gt;=Assumptions!$B$11,1,0))*MIN(15/26*Census!$D133*(1+Assumptions!$B$9)^W$5*(INT((Census!$F133+W$5))+IF((Census!$F133+W$5)-INT((Census!$F133+W$5))&gt;0.5,1,0)),Assumptions!$B$10))</f>
        <v>8542.2428088070374</v>
      </c>
      <c r="X133" s="30">
        <f>IF(X$5&gt;$B133,0,INDEX(Decrements!$G$6:$G$58,Census!$G133+X$5-18)/INDEX(Decrements!$G$6:$G$58,Census!$G133-17)*(INDEX(Decrements!$D$6:$D$58,Census!$G133+X$5-18)+IF(X$5=$B133,INDEX(Decrements!$F$6:$F$58,Census!$G133+X$5-18),0)+INDEX(Decrements!$E$6:$E$58,Census!$G133+X$5-18)*IF((Census!$F133+X$5)&gt;=Assumptions!$B$11,1,0))*MIN(15/26*Census!$D133*(1+Assumptions!$B$9)^X$5*(INT((Census!$F133+X$5))+IF((Census!$F133+X$5)-INT((Census!$F133+X$5))&gt;0.5,1,0)),Assumptions!$B$10))</f>
        <v>9815.9210890915892</v>
      </c>
      <c r="Y133" s="30">
        <f>IF(Y$5&gt;$B133,0,INDEX(Decrements!$G$6:$G$58,Census!$G133+Y$5-18)/INDEX(Decrements!$G$6:$G$58,Census!$G133-17)*(INDEX(Decrements!$D$6:$D$58,Census!$G133+Y$5-18)+IF(Y$5=$B133,INDEX(Decrements!$F$6:$F$58,Census!$G133+Y$5-18),0)+INDEX(Decrements!$E$6:$E$58,Census!$G133+Y$5-18)*IF((Census!$F133+Y$5)&gt;=Assumptions!$B$11,1,0))*MIN(15/26*Census!$D133*(1+Assumptions!$B$9)^Y$5*(INT((Census!$F133+Y$5))+IF((Census!$F133+Y$5)-INT((Census!$F133+Y$5))&gt;0.5,1,0)),Assumptions!$B$10))</f>
        <v>699021.75827166194</v>
      </c>
      <c r="Z133" s="30">
        <f>IF(Z$5&gt;$B133,0,INDEX(Decrements!$G$6:$G$58,Census!$G133+Z$5-18)/INDEX(Decrements!$G$6:$G$58,Census!$G133-17)*(INDEX(Decrements!$D$6:$D$58,Census!$G133+Z$5-18)+IF(Z$5=$B133,INDEX(Decrements!$F$6:$F$58,Census!$G133+Z$5-18),0)+INDEX(Decrements!$E$6:$E$58,Census!$G133+Z$5-18)*IF((Census!$F133+Z$5)&gt;=Assumptions!$B$11,1,0))*MIN(15/26*Census!$D133*(1+Assumptions!$B$9)^Z$5*(INT((Census!$F133+Z$5))+IF((Census!$F133+Z$5)-INT((Census!$F133+Z$5))&gt;0.5,1,0)),Assumptions!$B$10))</f>
        <v>0</v>
      </c>
      <c r="AA133" s="30">
        <f>IF(AA$5&gt;$B133,0,INDEX(Decrements!$G$6:$G$58,Census!$G133+AA$5-18)/INDEX(Decrements!$G$6:$G$58,Census!$G133-17)*(INDEX(Decrements!$D$6:$D$58,Census!$G133+AA$5-18)+IF(AA$5=$B133,INDEX(Decrements!$F$6:$F$58,Census!$G133+AA$5-18),0)+INDEX(Decrements!$E$6:$E$58,Census!$G133+AA$5-18)*IF((Census!$F133+AA$5)&gt;=Assumptions!$B$11,1,0))*MIN(15/26*Census!$D133*(1+Assumptions!$B$9)^AA$5*(INT((Census!$F133+AA$5))+IF((Census!$F133+AA$5)-INT((Census!$F133+AA$5))&gt;0.5,1,0)),Assumptions!$B$10))</f>
        <v>0</v>
      </c>
      <c r="AB133" s="30">
        <f>IF(AB$5&gt;$B133,0,INDEX(Decrements!$G$6:$G$58,Census!$G133+AB$5-18)/INDEX(Decrements!$G$6:$G$58,Census!$G133-17)*(INDEX(Decrements!$D$6:$D$58,Census!$G133+AB$5-18)+IF(AB$5=$B133,INDEX(Decrements!$F$6:$F$58,Census!$G133+AB$5-18),0)+INDEX(Decrements!$E$6:$E$58,Census!$G133+AB$5-18)*IF((Census!$F133+AB$5)&gt;=Assumptions!$B$11,1,0))*MIN(15/26*Census!$D133*(1+Assumptions!$B$9)^AB$5*(INT((Census!$F133+AB$5))+IF((Census!$F133+AB$5)-INT((Census!$F133+AB$5))&gt;0.5,1,0)),Assumptions!$B$10))</f>
        <v>0</v>
      </c>
      <c r="AC133" s="30">
        <f>IF(AC$5&gt;$B133,0,INDEX(Decrements!$G$6:$G$58,Census!$G133+AC$5-18)/INDEX(Decrements!$G$6:$G$58,Census!$G133-17)*(INDEX(Decrements!$D$6:$D$58,Census!$G133+AC$5-18)+IF(AC$5=$B133,INDEX(Decrements!$F$6:$F$58,Census!$G133+AC$5-18),0)+INDEX(Decrements!$E$6:$E$58,Census!$G133+AC$5-18)*IF((Census!$F133+AC$5)&gt;=Assumptions!$B$11,1,0))*MIN(15/26*Census!$D133*(1+Assumptions!$B$9)^AC$5*(INT((Census!$F133+AC$5))+IF((Census!$F133+AC$5)-INT((Census!$F133+AC$5))&gt;0.5,1,0)),Assumptions!$B$10))</f>
        <v>0</v>
      </c>
      <c r="AD133" s="30">
        <f>IF(AD$5&gt;$B133,0,INDEX(Decrements!$G$6:$G$58,Census!$G133+AD$5-18)/INDEX(Decrements!$G$6:$G$58,Census!$G133-17)*(INDEX(Decrements!$D$6:$D$58,Census!$G133+AD$5-18)+IF(AD$5=$B133,INDEX(Decrements!$F$6:$F$58,Census!$G133+AD$5-18),0)+INDEX(Decrements!$E$6:$E$58,Census!$G133+AD$5-18)*IF((Census!$F133+AD$5)&gt;=Assumptions!$B$11,1,0))*MIN(15/26*Census!$D133*(1+Assumptions!$B$9)^AD$5*(INT((Census!$F133+AD$5))+IF((Census!$F133+AD$5)-INT((Census!$F133+AD$5))&gt;0.5,1,0)),Assumptions!$B$10))</f>
        <v>0</v>
      </c>
      <c r="AE133" s="30">
        <f>IF(AE$5&gt;$B133,0,INDEX(Decrements!$G$6:$G$58,Census!$G133+AE$5-18)/INDEX(Decrements!$G$6:$G$58,Census!$G133-17)*(INDEX(Decrements!$D$6:$D$58,Census!$G133+AE$5-18)+IF(AE$5=$B133,INDEX(Decrements!$F$6:$F$58,Census!$G133+AE$5-18),0)+INDEX(Decrements!$E$6:$E$58,Census!$G133+AE$5-18)*IF((Census!$F133+AE$5)&gt;=Assumptions!$B$11,1,0))*MIN(15/26*Census!$D133*(1+Assumptions!$B$9)^AE$5*(INT((Census!$F133+AE$5))+IF((Census!$F133+AE$5)-INT((Census!$F133+AE$5))&gt;0.5,1,0)),Assumptions!$B$10))</f>
        <v>0</v>
      </c>
      <c r="AF133" s="30">
        <f>IF(AF$5&gt;$B133,0,INDEX(Decrements!$G$6:$G$58,Census!$G133+AF$5-18)/INDEX(Decrements!$G$6:$G$58,Census!$G133-17)*(INDEX(Decrements!$D$6:$D$58,Census!$G133+AF$5-18)+IF(AF$5=$B133,INDEX(Decrements!$F$6:$F$58,Census!$G133+AF$5-18),0)+INDEX(Decrements!$E$6:$E$58,Census!$G133+AF$5-18)*IF((Census!$F133+AF$5)&gt;=Assumptions!$B$11,1,0))*MIN(15/26*Census!$D133*(1+Assumptions!$B$9)^AF$5*(INT((Census!$F133+AF$5))+IF((Census!$F133+AF$5)-INT((Census!$F133+AF$5))&gt;0.5,1,0)),Assumptions!$B$10))</f>
        <v>0</v>
      </c>
      <c r="AG133" s="30">
        <f>IF(AG$5&gt;$B133,0,INDEX(Decrements!$G$6:$G$58,Census!$G133+AG$5-18)/INDEX(Decrements!$G$6:$G$58,Census!$G133-17)*(INDEX(Decrements!$D$6:$D$58,Census!$G133+AG$5-18)+IF(AG$5=$B133,INDEX(Decrements!$F$6:$F$58,Census!$G133+AG$5-18),0)+INDEX(Decrements!$E$6:$E$58,Census!$G133+AG$5-18)*IF((Census!$F133+AG$5)&gt;=Assumptions!$B$11,1,0))*MIN(15/26*Census!$D133*(1+Assumptions!$B$9)^AG$5*(INT((Census!$F133+AG$5))+IF((Census!$F133+AG$5)-INT((Census!$F133+AG$5))&gt;0.5,1,0)),Assumptions!$B$10))</f>
        <v>0</v>
      </c>
      <c r="AH133" s="30">
        <f>IF(AH$5&gt;$B133,0,INDEX(Decrements!$G$6:$G$58,Census!$G133+AH$5-18)/INDEX(Decrements!$G$6:$G$58,Census!$G133-17)*(INDEX(Decrements!$D$6:$D$58,Census!$G133+AH$5-18)+IF(AH$5=$B133,INDEX(Decrements!$F$6:$F$58,Census!$G133+AH$5-18),0)+INDEX(Decrements!$E$6:$E$58,Census!$G133+AH$5-18)*IF((Census!$F133+AH$5)&gt;=Assumptions!$B$11,1,0))*MIN(15/26*Census!$D133*(1+Assumptions!$B$9)^AH$5*(INT((Census!$F133+AH$5))+IF((Census!$F133+AH$5)-INT((Census!$F133+AH$5))&gt;0.5,1,0)),Assumptions!$B$10))</f>
        <v>0</v>
      </c>
      <c r="AI133" s="30">
        <f>IF(AI$5&gt;$B133,0,INDEX(Decrements!$G$6:$G$58,Census!$G133+AI$5-18)/INDEX(Decrements!$G$6:$G$58,Census!$G133-17)*(INDEX(Decrements!$D$6:$D$58,Census!$G133+AI$5-18)+IF(AI$5=$B133,INDEX(Decrements!$F$6:$F$58,Census!$G133+AI$5-18),0)+INDEX(Decrements!$E$6:$E$58,Census!$G133+AI$5-18)*IF((Census!$F133+AI$5)&gt;=Assumptions!$B$11,1,0))*MIN(15/26*Census!$D133*(1+Assumptions!$B$9)^AI$5*(INT((Census!$F133+AI$5))+IF((Census!$F133+AI$5)-INT((Census!$F133+AI$5))&gt;0.5,1,0)),Assumptions!$B$10))</f>
        <v>0</v>
      </c>
      <c r="AJ133" s="30">
        <f>IF(AJ$5&gt;$B133,0,INDEX(Decrements!$G$6:$G$58,Census!$G133+AJ$5-18)/INDEX(Decrements!$G$6:$G$58,Census!$G133-17)*(INDEX(Decrements!$D$6:$D$58,Census!$G133+AJ$5-18)+IF(AJ$5=$B133,INDEX(Decrements!$F$6:$F$58,Census!$G133+AJ$5-18),0)+INDEX(Decrements!$E$6:$E$58,Census!$G133+AJ$5-18)*IF((Census!$F133+AJ$5)&gt;=Assumptions!$B$11,1,0))*MIN(15/26*Census!$D133*(1+Assumptions!$B$9)^AJ$5*(INT((Census!$F133+AJ$5))+IF((Census!$F133+AJ$5)-INT((Census!$F133+AJ$5))&gt;0.5,1,0)),Assumptions!$B$10))</f>
        <v>0</v>
      </c>
      <c r="AK133" s="30">
        <f>IF(AK$5&gt;$B133,0,INDEX(Decrements!$G$6:$G$58,Census!$G133+AK$5-18)/INDEX(Decrements!$G$6:$G$58,Census!$G133-17)*(INDEX(Decrements!$D$6:$D$58,Census!$G133+AK$5-18)+IF(AK$5=$B133,INDEX(Decrements!$F$6:$F$58,Census!$G133+AK$5-18),0)+INDEX(Decrements!$E$6:$E$58,Census!$G133+AK$5-18)*IF((Census!$F133+AK$5)&gt;=Assumptions!$B$11,1,0))*MIN(15/26*Census!$D133*(1+Assumptions!$B$9)^AK$5*(INT((Census!$F133+AK$5))+IF((Census!$F133+AK$5)-INT((Census!$F133+AK$5))&gt;0.5,1,0)),Assumptions!$B$10))</f>
        <v>0</v>
      </c>
      <c r="AL133" s="30">
        <f>IF(AL$5&gt;$B133,0,INDEX(Decrements!$G$6:$G$58,Census!$G133+AL$5-18)/INDEX(Decrements!$G$6:$G$58,Census!$G133-17)*(INDEX(Decrements!$D$6:$D$58,Census!$G133+AL$5-18)+IF(AL$5=$B133,INDEX(Decrements!$F$6:$F$58,Census!$G133+AL$5-18),0)+INDEX(Decrements!$E$6:$E$58,Census!$G133+AL$5-18)*IF((Census!$F133+AL$5)&gt;=Assumptions!$B$11,1,0))*MIN(15/26*Census!$D133*(1+Assumptions!$B$9)^AL$5*(INT((Census!$F133+AL$5))+IF((Census!$F133+AL$5)-INT((Census!$F133+AL$5))&gt;0.5,1,0)),Assumptions!$B$10))</f>
        <v>0</v>
      </c>
      <c r="AM133" s="30">
        <f>IF(AM$5&gt;$B133,0,INDEX(Decrements!$G$6:$G$58,Census!$G133+AM$5-18)/INDEX(Decrements!$G$6:$G$58,Census!$G133-17)*(INDEX(Decrements!$D$6:$D$58,Census!$G133+AM$5-18)+IF(AM$5=$B133,INDEX(Decrements!$F$6:$F$58,Census!$G133+AM$5-18),0)+INDEX(Decrements!$E$6:$E$58,Census!$G133+AM$5-18)*IF((Census!$F133+AM$5)&gt;=Assumptions!$B$11,1,0))*MIN(15/26*Census!$D133*(1+Assumptions!$B$9)^AM$5*(INT((Census!$F133+AM$5))+IF((Census!$F133+AM$5)-INT((Census!$F133+AM$5))&gt;0.5,1,0)),Assumptions!$B$10))</f>
        <v>0</v>
      </c>
      <c r="AN133" s="30">
        <f>IF(AN$5&gt;$B133,0,INDEX(Decrements!$G$6:$G$58,Census!$G133+AN$5-18)/INDEX(Decrements!$G$6:$G$58,Census!$G133-17)*(INDEX(Decrements!$D$6:$D$58,Census!$G133+AN$5-18)+IF(AN$5=$B133,INDEX(Decrements!$F$6:$F$58,Census!$G133+AN$5-18),0)+INDEX(Decrements!$E$6:$E$58,Census!$G133+AN$5-18)*IF((Census!$F133+AN$5)&gt;=Assumptions!$B$11,1,0))*MIN(15/26*Census!$D133*(1+Assumptions!$B$9)^AN$5*(INT((Census!$F133+AN$5))+IF((Census!$F133+AN$5)-INT((Census!$F133+AN$5))&gt;0.5,1,0)),Assumptions!$B$10))</f>
        <v>0</v>
      </c>
      <c r="AO133" s="30">
        <f>IF(AO$5&gt;$B133,0,INDEX(Decrements!$G$6:$G$58,Census!$G133+AO$5-18)/INDEX(Decrements!$G$6:$G$58,Census!$G133-17)*(INDEX(Decrements!$D$6:$D$58,Census!$G133+AO$5-18)+IF(AO$5=$B133,INDEX(Decrements!$F$6:$F$58,Census!$G133+AO$5-18),0)+INDEX(Decrements!$E$6:$E$58,Census!$G133+AO$5-18)*IF((Census!$F133+AO$5)&gt;=Assumptions!$B$11,1,0))*MIN(15/26*Census!$D133*(1+Assumptions!$B$9)^AO$5*(INT((Census!$F133+AO$5))+IF((Census!$F133+AO$5)-INT((Census!$F133+AO$5))&gt;0.5,1,0)),Assumptions!$B$10))</f>
        <v>0</v>
      </c>
      <c r="AP133" s="30">
        <f>IF(AP$5&gt;$B133,0,INDEX(Decrements!$G$6:$G$58,Census!$G133+AP$5-18)/INDEX(Decrements!$G$6:$G$58,Census!$G133-17)*(INDEX(Decrements!$D$6:$D$58,Census!$G133+AP$5-18)+IF(AP$5=$B133,INDEX(Decrements!$F$6:$F$58,Census!$G133+AP$5-18),0)+INDEX(Decrements!$E$6:$E$58,Census!$G133+AP$5-18)*IF((Census!$F133+AP$5)&gt;=Assumptions!$B$11,1,0))*MIN(15/26*Census!$D133*(1+Assumptions!$B$9)^AP$5*(INT((Census!$F133+AP$5))+IF((Census!$F133+AP$5)-INT((Census!$F133+AP$5))&gt;0.5,1,0)),Assumptions!$B$10))</f>
        <v>0</v>
      </c>
      <c r="AQ133" s="30">
        <f>IF(AQ$5&gt;$B133,0,INDEX(Decrements!$G$6:$G$58,Census!$G133+AQ$5-18)/INDEX(Decrements!$G$6:$G$58,Census!$G133-17)*(INDEX(Decrements!$D$6:$D$58,Census!$G133+AQ$5-18)+IF(AQ$5=$B133,INDEX(Decrements!$F$6:$F$58,Census!$G133+AQ$5-18),0)+INDEX(Decrements!$E$6:$E$58,Census!$G133+AQ$5-18)*IF((Census!$F133+AQ$5)&gt;=Assumptions!$B$11,1,0))*MIN(15/26*Census!$D133*(1+Assumptions!$B$9)^AQ$5*(INT((Census!$F133+AQ$5))+IF((Census!$F133+AQ$5)-INT((Census!$F133+AQ$5))&gt;0.5,1,0)),Assumptions!$B$10))</f>
        <v>0</v>
      </c>
      <c r="AR133" s="30">
        <f>IF(AR$5&gt;$B133,0,INDEX(Decrements!$G$6:$G$58,Census!$G133+AR$5-18)/INDEX(Decrements!$G$6:$G$58,Census!$G133-17)*(INDEX(Decrements!$D$6:$D$58,Census!$G133+AR$5-18)+IF(AR$5=$B133,INDEX(Decrements!$F$6:$F$58,Census!$G133+AR$5-18),0)+INDEX(Decrements!$E$6:$E$58,Census!$G133+AR$5-18)*IF((Census!$F133+AR$5)&gt;=Assumptions!$B$11,1,0))*MIN(15/26*Census!$D133*(1+Assumptions!$B$9)^AR$5*(INT((Census!$F133+AR$5))+IF((Census!$F133+AR$5)-INT((Census!$F133+AR$5))&gt;0.5,1,0)),Assumptions!$B$10))</f>
        <v>0</v>
      </c>
      <c r="AS133" s="30">
        <f>IF(AS$5&gt;$B133,0,INDEX(Decrements!$G$6:$G$58,Census!$G133+AS$5-18)/INDEX(Decrements!$G$6:$G$58,Census!$G133-17)*(INDEX(Decrements!$D$6:$D$58,Census!$G133+AS$5-18)+IF(AS$5=$B133,INDEX(Decrements!$F$6:$F$58,Census!$G133+AS$5-18),0)+INDEX(Decrements!$E$6:$E$58,Census!$G133+AS$5-18)*IF((Census!$F133+AS$5)&gt;=Assumptions!$B$11,1,0))*MIN(15/26*Census!$D133*(1+Assumptions!$B$9)^AS$5*(INT((Census!$F133+AS$5))+IF((Census!$F133+AS$5)-INT((Census!$F133+AS$5))&gt;0.5,1,0)),Assumptions!$B$10))</f>
        <v>0</v>
      </c>
      <c r="AT133" s="30">
        <f>IF(AT$5&gt;$B133,0,INDEX(Decrements!$G$6:$G$58,Census!$G133+AT$5-18)/INDEX(Decrements!$G$6:$G$58,Census!$G133-17)*(INDEX(Decrements!$D$6:$D$58,Census!$G133+AT$5-18)+IF(AT$5=$B133,INDEX(Decrements!$F$6:$F$58,Census!$G133+AT$5-18),0)+INDEX(Decrements!$E$6:$E$58,Census!$G133+AT$5-18)*IF((Census!$F133+AT$5)&gt;=Assumptions!$B$11,1,0))*MIN(15/26*Census!$D133*(1+Assumptions!$B$9)^AT$5*(INT((Census!$F133+AT$5))+IF((Census!$F133+AT$5)-INT((Census!$F133+AT$5))&gt;0.5,1,0)),Assumptions!$B$10))</f>
        <v>0</v>
      </c>
      <c r="AU133" s="30">
        <f>IF(AU$5&gt;$B133,0,INDEX(Decrements!$G$6:$G$58,Census!$G133+AU$5-18)/INDEX(Decrements!$G$6:$G$58,Census!$G133-17)*(INDEX(Decrements!$D$6:$D$58,Census!$G133+AU$5-18)+IF(AU$5=$B133,INDEX(Decrements!$F$6:$F$58,Census!$G133+AU$5-18),0)+INDEX(Decrements!$E$6:$E$58,Census!$G133+AU$5-18)*IF((Census!$F133+AU$5)&gt;=Assumptions!$B$11,1,0))*MIN(15/26*Census!$D133*(1+Assumptions!$B$9)^AU$5*(INT((Census!$F133+AU$5))+IF((Census!$F133+AU$5)-INT((Census!$F133+AU$5))&gt;0.5,1,0)),Assumptions!$B$10))</f>
        <v>0</v>
      </c>
    </row>
    <row r="134" spans="1:47" x14ac:dyDescent="0.3">
      <c r="A134" s="10" t="str">
        <f>Census!A134</f>
        <v>E129</v>
      </c>
      <c r="B134" s="29">
        <f>Census!H134</f>
        <v>23</v>
      </c>
      <c r="C134" s="30">
        <f>IF(C$5&gt;$B134,0,INDEX(Decrements!$G$6:$G$58,Census!$G134+C$5-18)/INDEX(Decrements!$G$6:$G$58,Census!$G134-17)*(INDEX(Decrements!$D$6:$D$58,Census!$G134+C$5-18)+IF(C$5=$B134,INDEX(Decrements!$F$6:$F$58,Census!$G134+C$5-18),0)+INDEX(Decrements!$E$6:$E$58,Census!$G134+C$5-18)*IF((Census!$F134+C$5)&gt;=Assumptions!$B$11,1,0))*MIN(15/26*Census!$D134*(1+Assumptions!$B$9)^C$5*(INT((Census!$F134+C$5))+IF((Census!$F134+C$5)-INT((Census!$F134+C$5))&gt;0.5,1,0)),Assumptions!$B$10))</f>
        <v>126977.64756937994</v>
      </c>
      <c r="D134" s="30">
        <f>IF(D$5&gt;$B134,0,INDEX(Decrements!$G$6:$G$58,Census!$G134+D$5-18)/INDEX(Decrements!$G$6:$G$58,Census!$G134-17)*(INDEX(Decrements!$D$6:$D$58,Census!$G134+D$5-18)+IF(D$5=$B134,INDEX(Decrements!$F$6:$F$58,Census!$G134+D$5-18),0)+INDEX(Decrements!$E$6:$E$58,Census!$G134+D$5-18)*IF((Census!$F134+D$5)&gt;=Assumptions!$B$11,1,0))*MIN(15/26*Census!$D134*(1+Assumptions!$B$9)^D$5*(INT((Census!$F134+D$5))+IF((Census!$F134+D$5)-INT((Census!$F134+D$5))&gt;0.5,1,0)),Assumptions!$B$10))</f>
        <v>134009.47758076517</v>
      </c>
      <c r="E134" s="30">
        <f>IF(E$5&gt;$B134,0,INDEX(Decrements!$G$6:$G$58,Census!$G134+E$5-18)/INDEX(Decrements!$G$6:$G$58,Census!$G134-17)*(INDEX(Decrements!$D$6:$D$58,Census!$G134+E$5-18)+IF(E$5=$B134,INDEX(Decrements!$F$6:$F$58,Census!$G134+E$5-18),0)+INDEX(Decrements!$E$6:$E$58,Census!$G134+E$5-18)*IF((Census!$F134+E$5)&gt;=Assumptions!$B$11,1,0))*MIN(15/26*Census!$D134*(1+Assumptions!$B$9)^E$5*(INT((Census!$F134+E$5))+IF((Census!$F134+E$5)-INT((Census!$F134+E$5))&gt;0.5,1,0)),Assumptions!$B$10))</f>
        <v>137074.90518513136</v>
      </c>
      <c r="F134" s="30">
        <f>IF(F$5&gt;$B134,0,INDEX(Decrements!$G$6:$G$58,Census!$G134+F$5-18)/INDEX(Decrements!$G$6:$G$58,Census!$G134-17)*(INDEX(Decrements!$D$6:$D$58,Census!$G134+F$5-18)+IF(F$5=$B134,INDEX(Decrements!$F$6:$F$58,Census!$G134+F$5-18),0)+INDEX(Decrements!$E$6:$E$58,Census!$G134+F$5-18)*IF((Census!$F134+F$5)&gt;=Assumptions!$B$11,1,0))*MIN(15/26*Census!$D134*(1+Assumptions!$B$9)^F$5*(INT((Census!$F134+F$5))+IF((Census!$F134+F$5)-INT((Census!$F134+F$5))&gt;0.5,1,0)),Assumptions!$B$10))</f>
        <v>79580.424500893423</v>
      </c>
      <c r="G134" s="30">
        <f>IF(G$5&gt;$B134,0,INDEX(Decrements!$G$6:$G$58,Census!$G134+G$5-18)/INDEX(Decrements!$G$6:$G$58,Census!$G134-17)*(INDEX(Decrements!$D$6:$D$58,Census!$G134+G$5-18)+IF(G$5=$B134,INDEX(Decrements!$F$6:$F$58,Census!$G134+G$5-18),0)+INDEX(Decrements!$E$6:$E$58,Census!$G134+G$5-18)*IF((Census!$F134+G$5)&gt;=Assumptions!$B$11,1,0))*MIN(15/26*Census!$D134*(1+Assumptions!$B$9)^G$5*(INT((Census!$F134+G$5))+IF((Census!$F134+G$5)-INT((Census!$F134+G$5))&gt;0.5,1,0)),Assumptions!$B$10))</f>
        <v>75632.078425007319</v>
      </c>
      <c r="H134" s="30">
        <f>IF(H$5&gt;$B134,0,INDEX(Decrements!$G$6:$G$58,Census!$G134+H$5-18)/INDEX(Decrements!$G$6:$G$58,Census!$G134-17)*(INDEX(Decrements!$D$6:$D$58,Census!$G134+H$5-18)+IF(H$5=$B134,INDEX(Decrements!$F$6:$F$58,Census!$G134+H$5-18),0)+INDEX(Decrements!$E$6:$E$58,Census!$G134+H$5-18)*IF((Census!$F134+H$5)&gt;=Assumptions!$B$11,1,0))*MIN(15/26*Census!$D134*(1+Assumptions!$B$9)^H$5*(INT((Census!$F134+H$5))+IF((Census!$F134+H$5)-INT((Census!$F134+H$5))&gt;0.5,1,0)),Assumptions!$B$10))</f>
        <v>71885.149885622493</v>
      </c>
      <c r="I134" s="30">
        <f>IF(I$5&gt;$B134,0,INDEX(Decrements!$G$6:$G$58,Census!$G134+I$5-18)/INDEX(Decrements!$G$6:$G$58,Census!$G134-17)*(INDEX(Decrements!$D$6:$D$58,Census!$G134+I$5-18)+IF(I$5=$B134,INDEX(Decrements!$F$6:$F$58,Census!$G134+I$5-18),0)+INDEX(Decrements!$E$6:$E$58,Census!$G134+I$5-18)*IF((Census!$F134+I$5)&gt;=Assumptions!$B$11,1,0))*MIN(15/26*Census!$D134*(1+Assumptions!$B$9)^I$5*(INT((Census!$F134+I$5))+IF((Census!$F134+I$5)-INT((Census!$F134+I$5))&gt;0.5,1,0)),Assumptions!$B$10))</f>
        <v>68329.571313997541</v>
      </c>
      <c r="J134" s="30">
        <f>IF(J$5&gt;$B134,0,INDEX(Decrements!$G$6:$G$58,Census!$G134+J$5-18)/INDEX(Decrements!$G$6:$G$58,Census!$G134-17)*(INDEX(Decrements!$D$6:$D$58,Census!$G134+J$5-18)+IF(J$5=$B134,INDEX(Decrements!$F$6:$F$58,Census!$G134+J$5-18),0)+INDEX(Decrements!$E$6:$E$58,Census!$G134+J$5-18)*IF((Census!$F134+J$5)&gt;=Assumptions!$B$11,1,0))*MIN(15/26*Census!$D134*(1+Assumptions!$B$9)^J$5*(INT((Census!$F134+J$5))+IF((Census!$F134+J$5)-INT((Census!$F134+J$5))&gt;0.5,1,0)),Assumptions!$B$10))</f>
        <v>64955.781310015933</v>
      </c>
      <c r="K134" s="30">
        <f>IF(K$5&gt;$B134,0,INDEX(Decrements!$G$6:$G$58,Census!$G134+K$5-18)/INDEX(Decrements!$G$6:$G$58,Census!$G134-17)*(INDEX(Decrements!$D$6:$D$58,Census!$G134+K$5-18)+IF(K$5=$B134,INDEX(Decrements!$F$6:$F$58,Census!$G134+K$5-18),0)+INDEX(Decrements!$E$6:$E$58,Census!$G134+K$5-18)*IF((Census!$F134+K$5)&gt;=Assumptions!$B$11,1,0))*MIN(15/26*Census!$D134*(1+Assumptions!$B$9)^K$5*(INT((Census!$F134+K$5))+IF((Census!$F134+K$5)-INT((Census!$F134+K$5))&gt;0.5,1,0)),Assumptions!$B$10))</f>
        <v>37971.518237953947</v>
      </c>
      <c r="L134" s="30">
        <f>IF(L$5&gt;$B134,0,INDEX(Decrements!$G$6:$G$58,Census!$G134+L$5-18)/INDEX(Decrements!$G$6:$G$58,Census!$G134-17)*(INDEX(Decrements!$D$6:$D$58,Census!$G134+L$5-18)+IF(L$5=$B134,INDEX(Decrements!$F$6:$F$58,Census!$G134+L$5-18),0)+INDEX(Decrements!$E$6:$E$58,Census!$G134+L$5-18)*IF((Census!$F134+L$5)&gt;=Assumptions!$B$11,1,0))*MIN(15/26*Census!$D134*(1+Assumptions!$B$9)^L$5*(INT((Census!$F134+L$5))+IF((Census!$F134+L$5)-INT((Census!$F134+L$5))&gt;0.5,1,0)),Assumptions!$B$10))</f>
        <v>36932.166028156338</v>
      </c>
      <c r="M134" s="30">
        <f>IF(M$5&gt;$B134,0,INDEX(Decrements!$G$6:$G$58,Census!$G134+M$5-18)/INDEX(Decrements!$G$6:$G$58,Census!$G134-17)*(INDEX(Decrements!$D$6:$D$58,Census!$G134+M$5-18)+IF(M$5=$B134,INDEX(Decrements!$F$6:$F$58,Census!$G134+M$5-18),0)+INDEX(Decrements!$E$6:$E$58,Census!$G134+M$5-18)*IF((Census!$F134+M$5)&gt;=Assumptions!$B$11,1,0))*MIN(15/26*Census!$D134*(1+Assumptions!$B$9)^M$5*(INT((Census!$F134+M$5))+IF((Census!$F134+M$5)-INT((Census!$F134+M$5))&gt;0.5,1,0)),Assumptions!$B$10))</f>
        <v>35931.504245031021</v>
      </c>
      <c r="N134" s="30">
        <f>IF(N$5&gt;$B134,0,INDEX(Decrements!$G$6:$G$58,Census!$G134+N$5-18)/INDEX(Decrements!$G$6:$G$58,Census!$G134-17)*(INDEX(Decrements!$D$6:$D$58,Census!$G134+N$5-18)+IF(N$5=$B134,INDEX(Decrements!$F$6:$F$58,Census!$G134+N$5-18),0)+INDEX(Decrements!$E$6:$E$58,Census!$G134+N$5-18)*IF((Census!$F134+N$5)&gt;=Assumptions!$B$11,1,0))*MIN(15/26*Census!$D134*(1+Assumptions!$B$9)^N$5*(INT((Census!$F134+N$5))+IF((Census!$F134+N$5)-INT((Census!$F134+N$5))&gt;0.5,1,0)),Assumptions!$B$10))</f>
        <v>34968.742353948677</v>
      </c>
      <c r="O134" s="30">
        <f>IF(O$5&gt;$B134,0,INDEX(Decrements!$G$6:$G$58,Census!$G134+O$5-18)/INDEX(Decrements!$G$6:$G$58,Census!$G134-17)*(INDEX(Decrements!$D$6:$D$58,Census!$G134+O$5-18)+IF(O$5=$B134,INDEX(Decrements!$F$6:$F$58,Census!$G134+O$5-18),0)+INDEX(Decrements!$E$6:$E$58,Census!$G134+O$5-18)*IF((Census!$F134+O$5)&gt;=Assumptions!$B$11,1,0))*MIN(15/26*Census!$D134*(1+Assumptions!$B$9)^O$5*(INT((Census!$F134+O$5))+IF((Census!$F134+O$5)-INT((Census!$F134+O$5))&gt;0.5,1,0)),Assumptions!$B$10))</f>
        <v>34043.124749428302</v>
      </c>
      <c r="P134" s="30">
        <f>IF(P$5&gt;$B134,0,INDEX(Decrements!$G$6:$G$58,Census!$G134+P$5-18)/INDEX(Decrements!$G$6:$G$58,Census!$G134-17)*(INDEX(Decrements!$D$6:$D$58,Census!$G134+P$5-18)+IF(P$5=$B134,INDEX(Decrements!$F$6:$F$58,Census!$G134+P$5-18),0)+INDEX(Decrements!$E$6:$E$58,Census!$G134+P$5-18)*IF((Census!$F134+P$5)&gt;=Assumptions!$B$11,1,0))*MIN(15/26*Census!$D134*(1+Assumptions!$B$9)^P$5*(INT((Census!$F134+P$5))+IF((Census!$F134+P$5)-INT((Census!$F134+P$5))&gt;0.5,1,0)),Assumptions!$B$10))</f>
        <v>23066.765384512637</v>
      </c>
      <c r="Q134" s="30">
        <f>IF(Q$5&gt;$B134,0,INDEX(Decrements!$G$6:$G$58,Census!$G134+Q$5-18)/INDEX(Decrements!$G$6:$G$58,Census!$G134-17)*(INDEX(Decrements!$D$6:$D$58,Census!$G134+Q$5-18)+IF(Q$5=$B134,INDEX(Decrements!$F$6:$F$58,Census!$G134+Q$5-18),0)+INDEX(Decrements!$E$6:$E$58,Census!$G134+Q$5-18)*IF((Census!$F134+Q$5)&gt;=Assumptions!$B$11,1,0))*MIN(15/26*Census!$D134*(1+Assumptions!$B$9)^Q$5*(INT((Census!$F134+Q$5))+IF((Census!$F134+Q$5)-INT((Census!$F134+Q$5))&gt;0.5,1,0)),Assumptions!$B$10))</f>
        <v>22778.725497316609</v>
      </c>
      <c r="R134" s="30">
        <f>IF(R$5&gt;$B134,0,INDEX(Decrements!$G$6:$G$58,Census!$G134+R$5-18)/INDEX(Decrements!$G$6:$G$58,Census!$G134-17)*(INDEX(Decrements!$D$6:$D$58,Census!$G134+R$5-18)+IF(R$5=$B134,INDEX(Decrements!$F$6:$F$58,Census!$G134+R$5-18),0)+INDEX(Decrements!$E$6:$E$58,Census!$G134+R$5-18)*IF((Census!$F134+R$5)&gt;=Assumptions!$B$11,1,0))*MIN(15/26*Census!$D134*(1+Assumptions!$B$9)^R$5*(INT((Census!$F134+R$5))+IF((Census!$F134+R$5)-INT((Census!$F134+R$5))&gt;0.5,1,0)),Assumptions!$B$10))</f>
        <v>22509.467005326831</v>
      </c>
      <c r="S134" s="30">
        <f>IF(S$5&gt;$B134,0,INDEX(Decrements!$G$6:$G$58,Census!$G134+S$5-18)/INDEX(Decrements!$G$6:$G$58,Census!$G134-17)*(INDEX(Decrements!$D$6:$D$58,Census!$G134+S$5-18)+IF(S$5=$B134,INDEX(Decrements!$F$6:$F$58,Census!$G134+S$5-18),0)+INDEX(Decrements!$E$6:$E$58,Census!$G134+S$5-18)*IF((Census!$F134+S$5)&gt;=Assumptions!$B$11,1,0))*MIN(15/26*Census!$D134*(1+Assumptions!$B$9)^S$5*(INT((Census!$F134+S$5))+IF((Census!$F134+S$5)-INT((Census!$F134+S$5))&gt;0.5,1,0)),Assumptions!$B$10))</f>
        <v>22259.385669587849</v>
      </c>
      <c r="T134" s="30">
        <f>IF(T$5&gt;$B134,0,INDEX(Decrements!$G$6:$G$58,Census!$G134+T$5-18)/INDEX(Decrements!$G$6:$G$58,Census!$G134-17)*(INDEX(Decrements!$D$6:$D$58,Census!$G134+T$5-18)+IF(T$5=$B134,INDEX(Decrements!$F$6:$F$58,Census!$G134+T$5-18),0)+INDEX(Decrements!$E$6:$E$58,Census!$G134+T$5-18)*IF((Census!$F134+T$5)&gt;=Assumptions!$B$11,1,0))*MIN(15/26*Census!$D134*(1+Assumptions!$B$9)^T$5*(INT((Census!$F134+T$5))+IF((Census!$F134+T$5)-INT((Census!$F134+T$5))&gt;0.5,1,0)),Assumptions!$B$10))</f>
        <v>22028.890311219508</v>
      </c>
      <c r="U134" s="30">
        <f>IF(U$5&gt;$B134,0,INDEX(Decrements!$G$6:$G$58,Census!$G134+U$5-18)/INDEX(Decrements!$G$6:$G$58,Census!$G134-17)*(INDEX(Decrements!$D$6:$D$58,Census!$G134+U$5-18)+IF(U$5=$B134,INDEX(Decrements!$F$6:$F$58,Census!$G134+U$5-18),0)+INDEX(Decrements!$E$6:$E$58,Census!$G134+U$5-18)*IF((Census!$F134+U$5)&gt;=Assumptions!$B$11,1,0))*MIN(15/26*Census!$D134*(1+Assumptions!$B$9)^U$5*(INT((Census!$F134+U$5))+IF((Census!$F134+U$5)-INT((Census!$F134+U$5))&gt;0.5,1,0)),Assumptions!$B$10))</f>
        <v>12867.917166594803</v>
      </c>
      <c r="V134" s="30">
        <f>IF(V$5&gt;$B134,0,INDEX(Decrements!$G$6:$G$58,Census!$G134+V$5-18)/INDEX(Decrements!$G$6:$G$58,Census!$G134-17)*(INDEX(Decrements!$D$6:$D$58,Census!$G134+V$5-18)+IF(V$5=$B134,INDEX(Decrements!$F$6:$F$58,Census!$G134+V$5-18),0)+INDEX(Decrements!$E$6:$E$58,Census!$G134+V$5-18)*IF((Census!$F134+V$5)&gt;=Assumptions!$B$11,1,0))*MIN(15/26*Census!$D134*(1+Assumptions!$B$9)^V$5*(INT((Census!$F134+V$5))+IF((Census!$F134+V$5)-INT((Census!$F134+V$5))&gt;0.5,1,0)),Assumptions!$B$10))</f>
        <v>13030.159441028292</v>
      </c>
      <c r="W134" s="30">
        <f>IF(W$5&gt;$B134,0,INDEX(Decrements!$G$6:$G$58,Census!$G134+W$5-18)/INDEX(Decrements!$G$6:$G$58,Census!$G134-17)*(INDEX(Decrements!$D$6:$D$58,Census!$G134+W$5-18)+IF(W$5=$B134,INDEX(Decrements!$F$6:$F$58,Census!$G134+W$5-18),0)+INDEX(Decrements!$E$6:$E$58,Census!$G134+W$5-18)*IF((Census!$F134+W$5)&gt;=Assumptions!$B$11,1,0))*MIN(15/26*Census!$D134*(1+Assumptions!$B$9)^W$5*(INT((Census!$F134+W$5))+IF((Census!$F134+W$5)-INT((Census!$F134+W$5))&gt;0.5,1,0)),Assumptions!$B$10))</f>
        <v>13213.868348206193</v>
      </c>
      <c r="X134" s="30">
        <f>IF(X$5&gt;$B134,0,INDEX(Decrements!$G$6:$G$58,Census!$G134+X$5-18)/INDEX(Decrements!$G$6:$G$58,Census!$G134-17)*(INDEX(Decrements!$D$6:$D$58,Census!$G134+X$5-18)+IF(X$5=$B134,INDEX(Decrements!$F$6:$F$58,Census!$G134+X$5-18),0)+INDEX(Decrements!$E$6:$E$58,Census!$G134+X$5-18)*IF((Census!$F134+X$5)&gt;=Assumptions!$B$11,1,0))*MIN(15/26*Census!$D134*(1+Assumptions!$B$9)^X$5*(INT((Census!$F134+X$5))+IF((Census!$F134+X$5)-INT((Census!$F134+X$5))&gt;0.5,1,0)),Assumptions!$B$10))</f>
        <v>13420.29246866109</v>
      </c>
      <c r="Y134" s="30">
        <f>IF(Y$5&gt;$B134,0,INDEX(Decrements!$G$6:$G$58,Census!$G134+Y$5-18)/INDEX(Decrements!$G$6:$G$58,Census!$G134-17)*(INDEX(Decrements!$D$6:$D$58,Census!$G134+Y$5-18)+IF(Y$5=$B134,INDEX(Decrements!$F$6:$F$58,Census!$G134+Y$5-18),0)+INDEX(Decrements!$E$6:$E$58,Census!$G134+Y$5-18)*IF((Census!$F134+Y$5)&gt;=Assumptions!$B$11,1,0))*MIN(15/26*Census!$D134*(1+Assumptions!$B$9)^Y$5*(INT((Census!$F134+Y$5))+IF((Census!$F134+Y$5)-INT((Census!$F134+Y$5))&gt;0.5,1,0)),Assumptions!$B$10))</f>
        <v>846433.23123214475</v>
      </c>
      <c r="Z134" s="30">
        <f>IF(Z$5&gt;$B134,0,INDEX(Decrements!$G$6:$G$58,Census!$G134+Z$5-18)/INDEX(Decrements!$G$6:$G$58,Census!$G134-17)*(INDEX(Decrements!$D$6:$D$58,Census!$G134+Z$5-18)+IF(Z$5=$B134,INDEX(Decrements!$F$6:$F$58,Census!$G134+Z$5-18),0)+INDEX(Decrements!$E$6:$E$58,Census!$G134+Z$5-18)*IF((Census!$F134+Z$5)&gt;=Assumptions!$B$11,1,0))*MIN(15/26*Census!$D134*(1+Assumptions!$B$9)^Z$5*(INT((Census!$F134+Z$5))+IF((Census!$F134+Z$5)-INT((Census!$F134+Z$5))&gt;0.5,1,0)),Assumptions!$B$10))</f>
        <v>0</v>
      </c>
      <c r="AA134" s="30">
        <f>IF(AA$5&gt;$B134,0,INDEX(Decrements!$G$6:$G$58,Census!$G134+AA$5-18)/INDEX(Decrements!$G$6:$G$58,Census!$G134-17)*(INDEX(Decrements!$D$6:$D$58,Census!$G134+AA$5-18)+IF(AA$5=$B134,INDEX(Decrements!$F$6:$F$58,Census!$G134+AA$5-18),0)+INDEX(Decrements!$E$6:$E$58,Census!$G134+AA$5-18)*IF((Census!$F134+AA$5)&gt;=Assumptions!$B$11,1,0))*MIN(15/26*Census!$D134*(1+Assumptions!$B$9)^AA$5*(INT((Census!$F134+AA$5))+IF((Census!$F134+AA$5)-INT((Census!$F134+AA$5))&gt;0.5,1,0)),Assumptions!$B$10))</f>
        <v>0</v>
      </c>
      <c r="AB134" s="30">
        <f>IF(AB$5&gt;$B134,0,INDEX(Decrements!$G$6:$G$58,Census!$G134+AB$5-18)/INDEX(Decrements!$G$6:$G$58,Census!$G134-17)*(INDEX(Decrements!$D$6:$D$58,Census!$G134+AB$5-18)+IF(AB$5=$B134,INDEX(Decrements!$F$6:$F$58,Census!$G134+AB$5-18),0)+INDEX(Decrements!$E$6:$E$58,Census!$G134+AB$5-18)*IF((Census!$F134+AB$5)&gt;=Assumptions!$B$11,1,0))*MIN(15/26*Census!$D134*(1+Assumptions!$B$9)^AB$5*(INT((Census!$F134+AB$5))+IF((Census!$F134+AB$5)-INT((Census!$F134+AB$5))&gt;0.5,1,0)),Assumptions!$B$10))</f>
        <v>0</v>
      </c>
      <c r="AC134" s="30">
        <f>IF(AC$5&gt;$B134,0,INDEX(Decrements!$G$6:$G$58,Census!$G134+AC$5-18)/INDEX(Decrements!$G$6:$G$58,Census!$G134-17)*(INDEX(Decrements!$D$6:$D$58,Census!$G134+AC$5-18)+IF(AC$5=$B134,INDEX(Decrements!$F$6:$F$58,Census!$G134+AC$5-18),0)+INDEX(Decrements!$E$6:$E$58,Census!$G134+AC$5-18)*IF((Census!$F134+AC$5)&gt;=Assumptions!$B$11,1,0))*MIN(15/26*Census!$D134*(1+Assumptions!$B$9)^AC$5*(INT((Census!$F134+AC$5))+IF((Census!$F134+AC$5)-INT((Census!$F134+AC$5))&gt;0.5,1,0)),Assumptions!$B$10))</f>
        <v>0</v>
      </c>
      <c r="AD134" s="30">
        <f>IF(AD$5&gt;$B134,0,INDEX(Decrements!$G$6:$G$58,Census!$G134+AD$5-18)/INDEX(Decrements!$G$6:$G$58,Census!$G134-17)*(INDEX(Decrements!$D$6:$D$58,Census!$G134+AD$5-18)+IF(AD$5=$B134,INDEX(Decrements!$F$6:$F$58,Census!$G134+AD$5-18),0)+INDEX(Decrements!$E$6:$E$58,Census!$G134+AD$5-18)*IF((Census!$F134+AD$5)&gt;=Assumptions!$B$11,1,0))*MIN(15/26*Census!$D134*(1+Assumptions!$B$9)^AD$5*(INT((Census!$F134+AD$5))+IF((Census!$F134+AD$5)-INT((Census!$F134+AD$5))&gt;0.5,1,0)),Assumptions!$B$10))</f>
        <v>0</v>
      </c>
      <c r="AE134" s="30">
        <f>IF(AE$5&gt;$B134,0,INDEX(Decrements!$G$6:$G$58,Census!$G134+AE$5-18)/INDEX(Decrements!$G$6:$G$58,Census!$G134-17)*(INDEX(Decrements!$D$6:$D$58,Census!$G134+AE$5-18)+IF(AE$5=$B134,INDEX(Decrements!$F$6:$F$58,Census!$G134+AE$5-18),0)+INDEX(Decrements!$E$6:$E$58,Census!$G134+AE$5-18)*IF((Census!$F134+AE$5)&gt;=Assumptions!$B$11,1,0))*MIN(15/26*Census!$D134*(1+Assumptions!$B$9)^AE$5*(INT((Census!$F134+AE$5))+IF((Census!$F134+AE$5)-INT((Census!$F134+AE$5))&gt;0.5,1,0)),Assumptions!$B$10))</f>
        <v>0</v>
      </c>
      <c r="AF134" s="30">
        <f>IF(AF$5&gt;$B134,0,INDEX(Decrements!$G$6:$G$58,Census!$G134+AF$5-18)/INDEX(Decrements!$G$6:$G$58,Census!$G134-17)*(INDEX(Decrements!$D$6:$D$58,Census!$G134+AF$5-18)+IF(AF$5=$B134,INDEX(Decrements!$F$6:$F$58,Census!$G134+AF$5-18),0)+INDEX(Decrements!$E$6:$E$58,Census!$G134+AF$5-18)*IF((Census!$F134+AF$5)&gt;=Assumptions!$B$11,1,0))*MIN(15/26*Census!$D134*(1+Assumptions!$B$9)^AF$5*(INT((Census!$F134+AF$5))+IF((Census!$F134+AF$5)-INT((Census!$F134+AF$5))&gt;0.5,1,0)),Assumptions!$B$10))</f>
        <v>0</v>
      </c>
      <c r="AG134" s="30">
        <f>IF(AG$5&gt;$B134,0,INDEX(Decrements!$G$6:$G$58,Census!$G134+AG$5-18)/INDEX(Decrements!$G$6:$G$58,Census!$G134-17)*(INDEX(Decrements!$D$6:$D$58,Census!$G134+AG$5-18)+IF(AG$5=$B134,INDEX(Decrements!$F$6:$F$58,Census!$G134+AG$5-18),0)+INDEX(Decrements!$E$6:$E$58,Census!$G134+AG$5-18)*IF((Census!$F134+AG$5)&gt;=Assumptions!$B$11,1,0))*MIN(15/26*Census!$D134*(1+Assumptions!$B$9)^AG$5*(INT((Census!$F134+AG$5))+IF((Census!$F134+AG$5)-INT((Census!$F134+AG$5))&gt;0.5,1,0)),Assumptions!$B$10))</f>
        <v>0</v>
      </c>
      <c r="AH134" s="30">
        <f>IF(AH$5&gt;$B134,0,INDEX(Decrements!$G$6:$G$58,Census!$G134+AH$5-18)/INDEX(Decrements!$G$6:$G$58,Census!$G134-17)*(INDEX(Decrements!$D$6:$D$58,Census!$G134+AH$5-18)+IF(AH$5=$B134,INDEX(Decrements!$F$6:$F$58,Census!$G134+AH$5-18),0)+INDEX(Decrements!$E$6:$E$58,Census!$G134+AH$5-18)*IF((Census!$F134+AH$5)&gt;=Assumptions!$B$11,1,0))*MIN(15/26*Census!$D134*(1+Assumptions!$B$9)^AH$5*(INT((Census!$F134+AH$5))+IF((Census!$F134+AH$5)-INT((Census!$F134+AH$5))&gt;0.5,1,0)),Assumptions!$B$10))</f>
        <v>0</v>
      </c>
      <c r="AI134" s="30">
        <f>IF(AI$5&gt;$B134,0,INDEX(Decrements!$G$6:$G$58,Census!$G134+AI$5-18)/INDEX(Decrements!$G$6:$G$58,Census!$G134-17)*(INDEX(Decrements!$D$6:$D$58,Census!$G134+AI$5-18)+IF(AI$5=$B134,INDEX(Decrements!$F$6:$F$58,Census!$G134+AI$5-18),0)+INDEX(Decrements!$E$6:$E$58,Census!$G134+AI$5-18)*IF((Census!$F134+AI$5)&gt;=Assumptions!$B$11,1,0))*MIN(15/26*Census!$D134*(1+Assumptions!$B$9)^AI$5*(INT((Census!$F134+AI$5))+IF((Census!$F134+AI$5)-INT((Census!$F134+AI$5))&gt;0.5,1,0)),Assumptions!$B$10))</f>
        <v>0</v>
      </c>
      <c r="AJ134" s="30">
        <f>IF(AJ$5&gt;$B134,0,INDEX(Decrements!$G$6:$G$58,Census!$G134+AJ$5-18)/INDEX(Decrements!$G$6:$G$58,Census!$G134-17)*(INDEX(Decrements!$D$6:$D$58,Census!$G134+AJ$5-18)+IF(AJ$5=$B134,INDEX(Decrements!$F$6:$F$58,Census!$G134+AJ$5-18),0)+INDEX(Decrements!$E$6:$E$58,Census!$G134+AJ$5-18)*IF((Census!$F134+AJ$5)&gt;=Assumptions!$B$11,1,0))*MIN(15/26*Census!$D134*(1+Assumptions!$B$9)^AJ$5*(INT((Census!$F134+AJ$5))+IF((Census!$F134+AJ$5)-INT((Census!$F134+AJ$5))&gt;0.5,1,0)),Assumptions!$B$10))</f>
        <v>0</v>
      </c>
      <c r="AK134" s="30">
        <f>IF(AK$5&gt;$B134,0,INDEX(Decrements!$G$6:$G$58,Census!$G134+AK$5-18)/INDEX(Decrements!$G$6:$G$58,Census!$G134-17)*(INDEX(Decrements!$D$6:$D$58,Census!$G134+AK$5-18)+IF(AK$5=$B134,INDEX(Decrements!$F$6:$F$58,Census!$G134+AK$5-18),0)+INDEX(Decrements!$E$6:$E$58,Census!$G134+AK$5-18)*IF((Census!$F134+AK$5)&gt;=Assumptions!$B$11,1,0))*MIN(15/26*Census!$D134*(1+Assumptions!$B$9)^AK$5*(INT((Census!$F134+AK$5))+IF((Census!$F134+AK$5)-INT((Census!$F134+AK$5))&gt;0.5,1,0)),Assumptions!$B$10))</f>
        <v>0</v>
      </c>
      <c r="AL134" s="30">
        <f>IF(AL$5&gt;$B134,0,INDEX(Decrements!$G$6:$G$58,Census!$G134+AL$5-18)/INDEX(Decrements!$G$6:$G$58,Census!$G134-17)*(INDEX(Decrements!$D$6:$D$58,Census!$G134+AL$5-18)+IF(AL$5=$B134,INDEX(Decrements!$F$6:$F$58,Census!$G134+AL$5-18),0)+INDEX(Decrements!$E$6:$E$58,Census!$G134+AL$5-18)*IF((Census!$F134+AL$5)&gt;=Assumptions!$B$11,1,0))*MIN(15/26*Census!$D134*(1+Assumptions!$B$9)^AL$5*(INT((Census!$F134+AL$5))+IF((Census!$F134+AL$5)-INT((Census!$F134+AL$5))&gt;0.5,1,0)),Assumptions!$B$10))</f>
        <v>0</v>
      </c>
      <c r="AM134" s="30">
        <f>IF(AM$5&gt;$B134,0,INDEX(Decrements!$G$6:$G$58,Census!$G134+AM$5-18)/INDEX(Decrements!$G$6:$G$58,Census!$G134-17)*(INDEX(Decrements!$D$6:$D$58,Census!$G134+AM$5-18)+IF(AM$5=$B134,INDEX(Decrements!$F$6:$F$58,Census!$G134+AM$5-18),0)+INDEX(Decrements!$E$6:$E$58,Census!$G134+AM$5-18)*IF((Census!$F134+AM$5)&gt;=Assumptions!$B$11,1,0))*MIN(15/26*Census!$D134*(1+Assumptions!$B$9)^AM$5*(INT((Census!$F134+AM$5))+IF((Census!$F134+AM$5)-INT((Census!$F134+AM$5))&gt;0.5,1,0)),Assumptions!$B$10))</f>
        <v>0</v>
      </c>
      <c r="AN134" s="30">
        <f>IF(AN$5&gt;$B134,0,INDEX(Decrements!$G$6:$G$58,Census!$G134+AN$5-18)/INDEX(Decrements!$G$6:$G$58,Census!$G134-17)*(INDEX(Decrements!$D$6:$D$58,Census!$G134+AN$5-18)+IF(AN$5=$B134,INDEX(Decrements!$F$6:$F$58,Census!$G134+AN$5-18),0)+INDEX(Decrements!$E$6:$E$58,Census!$G134+AN$5-18)*IF((Census!$F134+AN$5)&gt;=Assumptions!$B$11,1,0))*MIN(15/26*Census!$D134*(1+Assumptions!$B$9)^AN$5*(INT((Census!$F134+AN$5))+IF((Census!$F134+AN$5)-INT((Census!$F134+AN$5))&gt;0.5,1,0)),Assumptions!$B$10))</f>
        <v>0</v>
      </c>
      <c r="AO134" s="30">
        <f>IF(AO$5&gt;$B134,0,INDEX(Decrements!$G$6:$G$58,Census!$G134+AO$5-18)/INDEX(Decrements!$G$6:$G$58,Census!$G134-17)*(INDEX(Decrements!$D$6:$D$58,Census!$G134+AO$5-18)+IF(AO$5=$B134,INDEX(Decrements!$F$6:$F$58,Census!$G134+AO$5-18),0)+INDEX(Decrements!$E$6:$E$58,Census!$G134+AO$5-18)*IF((Census!$F134+AO$5)&gt;=Assumptions!$B$11,1,0))*MIN(15/26*Census!$D134*(1+Assumptions!$B$9)^AO$5*(INT((Census!$F134+AO$5))+IF((Census!$F134+AO$5)-INT((Census!$F134+AO$5))&gt;0.5,1,0)),Assumptions!$B$10))</f>
        <v>0</v>
      </c>
      <c r="AP134" s="30">
        <f>IF(AP$5&gt;$B134,0,INDEX(Decrements!$G$6:$G$58,Census!$G134+AP$5-18)/INDEX(Decrements!$G$6:$G$58,Census!$G134-17)*(INDEX(Decrements!$D$6:$D$58,Census!$G134+AP$5-18)+IF(AP$5=$B134,INDEX(Decrements!$F$6:$F$58,Census!$G134+AP$5-18),0)+INDEX(Decrements!$E$6:$E$58,Census!$G134+AP$5-18)*IF((Census!$F134+AP$5)&gt;=Assumptions!$B$11,1,0))*MIN(15/26*Census!$D134*(1+Assumptions!$B$9)^AP$5*(INT((Census!$F134+AP$5))+IF((Census!$F134+AP$5)-INT((Census!$F134+AP$5))&gt;0.5,1,0)),Assumptions!$B$10))</f>
        <v>0</v>
      </c>
      <c r="AQ134" s="30">
        <f>IF(AQ$5&gt;$B134,0,INDEX(Decrements!$G$6:$G$58,Census!$G134+AQ$5-18)/INDEX(Decrements!$G$6:$G$58,Census!$G134-17)*(INDEX(Decrements!$D$6:$D$58,Census!$G134+AQ$5-18)+IF(AQ$5=$B134,INDEX(Decrements!$F$6:$F$58,Census!$G134+AQ$5-18),0)+INDEX(Decrements!$E$6:$E$58,Census!$G134+AQ$5-18)*IF((Census!$F134+AQ$5)&gt;=Assumptions!$B$11,1,0))*MIN(15/26*Census!$D134*(1+Assumptions!$B$9)^AQ$5*(INT((Census!$F134+AQ$5))+IF((Census!$F134+AQ$5)-INT((Census!$F134+AQ$5))&gt;0.5,1,0)),Assumptions!$B$10))</f>
        <v>0</v>
      </c>
      <c r="AR134" s="30">
        <f>IF(AR$5&gt;$B134,0,INDEX(Decrements!$G$6:$G$58,Census!$G134+AR$5-18)/INDEX(Decrements!$G$6:$G$58,Census!$G134-17)*(INDEX(Decrements!$D$6:$D$58,Census!$G134+AR$5-18)+IF(AR$5=$B134,INDEX(Decrements!$F$6:$F$58,Census!$G134+AR$5-18),0)+INDEX(Decrements!$E$6:$E$58,Census!$G134+AR$5-18)*IF((Census!$F134+AR$5)&gt;=Assumptions!$B$11,1,0))*MIN(15/26*Census!$D134*(1+Assumptions!$B$9)^AR$5*(INT((Census!$F134+AR$5))+IF((Census!$F134+AR$5)-INT((Census!$F134+AR$5))&gt;0.5,1,0)),Assumptions!$B$10))</f>
        <v>0</v>
      </c>
      <c r="AS134" s="30">
        <f>IF(AS$5&gt;$B134,0,INDEX(Decrements!$G$6:$G$58,Census!$G134+AS$5-18)/INDEX(Decrements!$G$6:$G$58,Census!$G134-17)*(INDEX(Decrements!$D$6:$D$58,Census!$G134+AS$5-18)+IF(AS$5=$B134,INDEX(Decrements!$F$6:$F$58,Census!$G134+AS$5-18),0)+INDEX(Decrements!$E$6:$E$58,Census!$G134+AS$5-18)*IF((Census!$F134+AS$5)&gt;=Assumptions!$B$11,1,0))*MIN(15/26*Census!$D134*(1+Assumptions!$B$9)^AS$5*(INT((Census!$F134+AS$5))+IF((Census!$F134+AS$5)-INT((Census!$F134+AS$5))&gt;0.5,1,0)),Assumptions!$B$10))</f>
        <v>0</v>
      </c>
      <c r="AT134" s="30">
        <f>IF(AT$5&gt;$B134,0,INDEX(Decrements!$G$6:$G$58,Census!$G134+AT$5-18)/INDEX(Decrements!$G$6:$G$58,Census!$G134-17)*(INDEX(Decrements!$D$6:$D$58,Census!$G134+AT$5-18)+IF(AT$5=$B134,INDEX(Decrements!$F$6:$F$58,Census!$G134+AT$5-18),0)+INDEX(Decrements!$E$6:$E$58,Census!$G134+AT$5-18)*IF((Census!$F134+AT$5)&gt;=Assumptions!$B$11,1,0))*MIN(15/26*Census!$D134*(1+Assumptions!$B$9)^AT$5*(INT((Census!$F134+AT$5))+IF((Census!$F134+AT$5)-INT((Census!$F134+AT$5))&gt;0.5,1,0)),Assumptions!$B$10))</f>
        <v>0</v>
      </c>
      <c r="AU134" s="30">
        <f>IF(AU$5&gt;$B134,0,INDEX(Decrements!$G$6:$G$58,Census!$G134+AU$5-18)/INDEX(Decrements!$G$6:$G$58,Census!$G134-17)*(INDEX(Decrements!$D$6:$D$58,Census!$G134+AU$5-18)+IF(AU$5=$B134,INDEX(Decrements!$F$6:$F$58,Census!$G134+AU$5-18),0)+INDEX(Decrements!$E$6:$E$58,Census!$G134+AU$5-18)*IF((Census!$F134+AU$5)&gt;=Assumptions!$B$11,1,0))*MIN(15/26*Census!$D134*(1+Assumptions!$B$9)^AU$5*(INT((Census!$F134+AU$5))+IF((Census!$F134+AU$5)-INT((Census!$F134+AU$5))&gt;0.5,1,0)),Assumptions!$B$10))</f>
        <v>0</v>
      </c>
    </row>
    <row r="135" spans="1:47" x14ac:dyDescent="0.3">
      <c r="A135" s="10" t="str">
        <f>Census!A135</f>
        <v>E130</v>
      </c>
      <c r="B135" s="29">
        <f>Census!H135</f>
        <v>11</v>
      </c>
      <c r="C135" s="30">
        <f>IF(C$5&gt;$B135,0,INDEX(Decrements!$G$6:$G$58,Census!$G135+C$5-18)/INDEX(Decrements!$G$6:$G$58,Census!$G135-17)*(INDEX(Decrements!$D$6:$D$58,Census!$G135+C$5-18)+IF(C$5=$B135,INDEX(Decrements!$F$6:$F$58,Census!$G135+C$5-18),0)+INDEX(Decrements!$E$6:$E$58,Census!$G135+C$5-18)*IF((Census!$F135+C$5)&gt;=Assumptions!$B$11,1,0))*MIN(15/26*Census!$D135*(1+Assumptions!$B$9)^C$5*(INT((Census!$F135+C$5))+IF((Census!$F135+C$5)-INT((Census!$F135+C$5))&gt;0.5,1,0)),Assumptions!$B$10))</f>
        <v>33795.508016444146</v>
      </c>
      <c r="D135" s="30">
        <f>IF(D$5&gt;$B135,0,INDEX(Decrements!$G$6:$G$58,Census!$G135+D$5-18)/INDEX(Decrements!$G$6:$G$58,Census!$G135-17)*(INDEX(Decrements!$D$6:$D$58,Census!$G135+D$5-18)+IF(D$5=$B135,INDEX(Decrements!$F$6:$F$58,Census!$G135+D$5-18),0)+INDEX(Decrements!$E$6:$E$58,Census!$G135+D$5-18)*IF((Census!$F135+D$5)&gt;=Assumptions!$B$11,1,0))*MIN(15/26*Census!$D135*(1+Assumptions!$B$9)^D$5*(INT((Census!$F135+D$5))+IF((Census!$F135+D$5)-INT((Census!$F135+D$5))&gt;0.5,1,0)),Assumptions!$B$10))</f>
        <v>25967.450704682658</v>
      </c>
      <c r="E135" s="30">
        <f>IF(E$5&gt;$B135,0,INDEX(Decrements!$G$6:$G$58,Census!$G135+E$5-18)/INDEX(Decrements!$G$6:$G$58,Census!$G135-17)*(INDEX(Decrements!$D$6:$D$58,Census!$G135+E$5-18)+IF(E$5=$B135,INDEX(Decrements!$F$6:$F$58,Census!$G135+E$5-18),0)+INDEX(Decrements!$E$6:$E$58,Census!$G135+E$5-18)*IF((Census!$F135+E$5)&gt;=Assumptions!$B$11,1,0))*MIN(15/26*Census!$D135*(1+Assumptions!$B$9)^E$5*(INT((Census!$F135+E$5))+IF((Census!$F135+E$5)-INT((Census!$F135+E$5))&gt;0.5,1,0)),Assumptions!$B$10))</f>
        <v>29013.437045072915</v>
      </c>
      <c r="F135" s="30">
        <f>IF(F$5&gt;$B135,0,INDEX(Decrements!$G$6:$G$58,Census!$G135+F$5-18)/INDEX(Decrements!$G$6:$G$58,Census!$G135-17)*(INDEX(Decrements!$D$6:$D$58,Census!$G135+F$5-18)+IF(F$5=$B135,INDEX(Decrements!$F$6:$F$58,Census!$G135+F$5-18),0)+INDEX(Decrements!$E$6:$E$58,Census!$G135+F$5-18)*IF((Census!$F135+F$5)&gt;=Assumptions!$B$11,1,0))*MIN(15/26*Census!$D135*(1+Assumptions!$B$9)^F$5*(INT((Census!$F135+F$5))+IF((Census!$F135+F$5)-INT((Census!$F135+F$5))&gt;0.5,1,0)),Assumptions!$B$10))</f>
        <v>32371.578826960093</v>
      </c>
      <c r="G135" s="30">
        <f>IF(G$5&gt;$B135,0,INDEX(Decrements!$G$6:$G$58,Census!$G135+G$5-18)/INDEX(Decrements!$G$6:$G$58,Census!$G135-17)*(INDEX(Decrements!$D$6:$D$58,Census!$G135+G$5-18)+IF(G$5=$B135,INDEX(Decrements!$F$6:$F$58,Census!$G135+G$5-18),0)+INDEX(Decrements!$E$6:$E$58,Census!$G135+G$5-18)*IF((Census!$F135+G$5)&gt;=Assumptions!$B$11,1,0))*MIN(15/26*Census!$D135*(1+Assumptions!$B$9)^G$5*(INT((Census!$F135+G$5))+IF((Census!$F135+G$5)-INT((Census!$F135+G$5))&gt;0.5,1,0)),Assumptions!$B$10))</f>
        <v>36076.052071904247</v>
      </c>
      <c r="H135" s="30">
        <f>IF(H$5&gt;$B135,0,INDEX(Decrements!$G$6:$G$58,Census!$G135+H$5-18)/INDEX(Decrements!$G$6:$G$58,Census!$G135-17)*(INDEX(Decrements!$D$6:$D$58,Census!$G135+H$5-18)+IF(H$5=$B135,INDEX(Decrements!$F$6:$F$58,Census!$G135+H$5-18),0)+INDEX(Decrements!$E$6:$E$58,Census!$G135+H$5-18)*IF((Census!$F135+H$5)&gt;=Assumptions!$B$11,1,0))*MIN(15/26*Census!$D135*(1+Assumptions!$B$9)^H$5*(INT((Census!$F135+H$5))+IF((Census!$F135+H$5)-INT((Census!$F135+H$5))&gt;0.5,1,0)),Assumptions!$B$10))</f>
        <v>40165.296179739715</v>
      </c>
      <c r="I135" s="30">
        <f>IF(I$5&gt;$B135,0,INDEX(Decrements!$G$6:$G$58,Census!$G135+I$5-18)/INDEX(Decrements!$G$6:$G$58,Census!$G135-17)*(INDEX(Decrements!$D$6:$D$58,Census!$G135+I$5-18)+IF(I$5=$B135,INDEX(Decrements!$F$6:$F$58,Census!$G135+I$5-18),0)+INDEX(Decrements!$E$6:$E$58,Census!$G135+I$5-18)*IF((Census!$F135+I$5)&gt;=Assumptions!$B$11,1,0))*MIN(15/26*Census!$D135*(1+Assumptions!$B$9)^I$5*(INT((Census!$F135+I$5))+IF((Census!$F135+I$5)-INT((Census!$F135+I$5))&gt;0.5,1,0)),Assumptions!$B$10))</f>
        <v>24612.240577517954</v>
      </c>
      <c r="J135" s="30">
        <f>IF(J$5&gt;$B135,0,INDEX(Decrements!$G$6:$G$58,Census!$G135+J$5-18)/INDEX(Decrements!$G$6:$G$58,Census!$G135-17)*(INDEX(Decrements!$D$6:$D$58,Census!$G135+J$5-18)+IF(J$5=$B135,INDEX(Decrements!$F$6:$F$58,Census!$G135+J$5-18),0)+INDEX(Decrements!$E$6:$E$58,Census!$G135+J$5-18)*IF((Census!$F135+J$5)&gt;=Assumptions!$B$11,1,0))*MIN(15/26*Census!$D135*(1+Assumptions!$B$9)^J$5*(INT((Census!$F135+J$5))+IF((Census!$F135+J$5)-INT((Census!$F135+J$5))&gt;0.5,1,0)),Assumptions!$B$10))</f>
        <v>24922.558544171246</v>
      </c>
      <c r="K135" s="30">
        <f>IF(K$5&gt;$B135,0,INDEX(Decrements!$G$6:$G$58,Census!$G135+K$5-18)/INDEX(Decrements!$G$6:$G$58,Census!$G135-17)*(INDEX(Decrements!$D$6:$D$58,Census!$G135+K$5-18)+IF(K$5=$B135,INDEX(Decrements!$F$6:$F$58,Census!$G135+K$5-18),0)+INDEX(Decrements!$E$6:$E$58,Census!$G135+K$5-18)*IF((Census!$F135+K$5)&gt;=Assumptions!$B$11,1,0))*MIN(15/26*Census!$D135*(1+Assumptions!$B$9)^K$5*(INT((Census!$F135+K$5))+IF((Census!$F135+K$5)-INT((Census!$F135+K$5))&gt;0.5,1,0)),Assumptions!$B$10))</f>
        <v>25273.935364612185</v>
      </c>
      <c r="L135" s="30">
        <f>IF(L$5&gt;$B135,0,INDEX(Decrements!$G$6:$G$58,Census!$G135+L$5-18)/INDEX(Decrements!$G$6:$G$58,Census!$G135-17)*(INDEX(Decrements!$D$6:$D$58,Census!$G135+L$5-18)+IF(L$5=$B135,INDEX(Decrements!$F$6:$F$58,Census!$G135+L$5-18),0)+INDEX(Decrements!$E$6:$E$58,Census!$G135+L$5-18)*IF((Census!$F135+L$5)&gt;=Assumptions!$B$11,1,0))*MIN(15/26*Census!$D135*(1+Assumptions!$B$9)^L$5*(INT((Census!$F135+L$5))+IF((Census!$F135+L$5)-INT((Census!$F135+L$5))&gt;0.5,1,0)),Assumptions!$B$10))</f>
        <v>25668.759177033644</v>
      </c>
      <c r="M135" s="30">
        <f>IF(M$5&gt;$B135,0,INDEX(Decrements!$G$6:$G$58,Census!$G135+M$5-18)/INDEX(Decrements!$G$6:$G$58,Census!$G135-17)*(INDEX(Decrements!$D$6:$D$58,Census!$G135+M$5-18)+IF(M$5=$B135,INDEX(Decrements!$F$6:$F$58,Census!$G135+M$5-18),0)+INDEX(Decrements!$E$6:$E$58,Census!$G135+M$5-18)*IF((Census!$F135+M$5)&gt;=Assumptions!$B$11,1,0))*MIN(15/26*Census!$D135*(1+Assumptions!$B$9)^M$5*(INT((Census!$F135+M$5))+IF((Census!$F135+M$5)-INT((Census!$F135+M$5))&gt;0.5,1,0)),Assumptions!$B$10))</f>
        <v>1618958.0683634679</v>
      </c>
      <c r="N135" s="30">
        <f>IF(N$5&gt;$B135,0,INDEX(Decrements!$G$6:$G$58,Census!$G135+N$5-18)/INDEX(Decrements!$G$6:$G$58,Census!$G135-17)*(INDEX(Decrements!$D$6:$D$58,Census!$G135+N$5-18)+IF(N$5=$B135,INDEX(Decrements!$F$6:$F$58,Census!$G135+N$5-18),0)+INDEX(Decrements!$E$6:$E$58,Census!$G135+N$5-18)*IF((Census!$F135+N$5)&gt;=Assumptions!$B$11,1,0))*MIN(15/26*Census!$D135*(1+Assumptions!$B$9)^N$5*(INT((Census!$F135+N$5))+IF((Census!$F135+N$5)-INT((Census!$F135+N$5))&gt;0.5,1,0)),Assumptions!$B$10))</f>
        <v>0</v>
      </c>
      <c r="O135" s="30">
        <f>IF(O$5&gt;$B135,0,INDEX(Decrements!$G$6:$G$58,Census!$G135+O$5-18)/INDEX(Decrements!$G$6:$G$58,Census!$G135-17)*(INDEX(Decrements!$D$6:$D$58,Census!$G135+O$5-18)+IF(O$5=$B135,INDEX(Decrements!$F$6:$F$58,Census!$G135+O$5-18),0)+INDEX(Decrements!$E$6:$E$58,Census!$G135+O$5-18)*IF((Census!$F135+O$5)&gt;=Assumptions!$B$11,1,0))*MIN(15/26*Census!$D135*(1+Assumptions!$B$9)^O$5*(INT((Census!$F135+O$5))+IF((Census!$F135+O$5)-INT((Census!$F135+O$5))&gt;0.5,1,0)),Assumptions!$B$10))</f>
        <v>0</v>
      </c>
      <c r="P135" s="30">
        <f>IF(P$5&gt;$B135,0,INDEX(Decrements!$G$6:$G$58,Census!$G135+P$5-18)/INDEX(Decrements!$G$6:$G$58,Census!$G135-17)*(INDEX(Decrements!$D$6:$D$58,Census!$G135+P$5-18)+IF(P$5=$B135,INDEX(Decrements!$F$6:$F$58,Census!$G135+P$5-18),0)+INDEX(Decrements!$E$6:$E$58,Census!$G135+P$5-18)*IF((Census!$F135+P$5)&gt;=Assumptions!$B$11,1,0))*MIN(15/26*Census!$D135*(1+Assumptions!$B$9)^P$5*(INT((Census!$F135+P$5))+IF((Census!$F135+P$5)-INT((Census!$F135+P$5))&gt;0.5,1,0)),Assumptions!$B$10))</f>
        <v>0</v>
      </c>
      <c r="Q135" s="30">
        <f>IF(Q$5&gt;$B135,0,INDEX(Decrements!$G$6:$G$58,Census!$G135+Q$5-18)/INDEX(Decrements!$G$6:$G$58,Census!$G135-17)*(INDEX(Decrements!$D$6:$D$58,Census!$G135+Q$5-18)+IF(Q$5=$B135,INDEX(Decrements!$F$6:$F$58,Census!$G135+Q$5-18),0)+INDEX(Decrements!$E$6:$E$58,Census!$G135+Q$5-18)*IF((Census!$F135+Q$5)&gt;=Assumptions!$B$11,1,0))*MIN(15/26*Census!$D135*(1+Assumptions!$B$9)^Q$5*(INT((Census!$F135+Q$5))+IF((Census!$F135+Q$5)-INT((Census!$F135+Q$5))&gt;0.5,1,0)),Assumptions!$B$10))</f>
        <v>0</v>
      </c>
      <c r="R135" s="30">
        <f>IF(R$5&gt;$B135,0,INDEX(Decrements!$G$6:$G$58,Census!$G135+R$5-18)/INDEX(Decrements!$G$6:$G$58,Census!$G135-17)*(INDEX(Decrements!$D$6:$D$58,Census!$G135+R$5-18)+IF(R$5=$B135,INDEX(Decrements!$F$6:$F$58,Census!$G135+R$5-18),0)+INDEX(Decrements!$E$6:$E$58,Census!$G135+R$5-18)*IF((Census!$F135+R$5)&gt;=Assumptions!$B$11,1,0))*MIN(15/26*Census!$D135*(1+Assumptions!$B$9)^R$5*(INT((Census!$F135+R$5))+IF((Census!$F135+R$5)-INT((Census!$F135+R$5))&gt;0.5,1,0)),Assumptions!$B$10))</f>
        <v>0</v>
      </c>
      <c r="S135" s="30">
        <f>IF(S$5&gt;$B135,0,INDEX(Decrements!$G$6:$G$58,Census!$G135+S$5-18)/INDEX(Decrements!$G$6:$G$58,Census!$G135-17)*(INDEX(Decrements!$D$6:$D$58,Census!$G135+S$5-18)+IF(S$5=$B135,INDEX(Decrements!$F$6:$F$58,Census!$G135+S$5-18),0)+INDEX(Decrements!$E$6:$E$58,Census!$G135+S$5-18)*IF((Census!$F135+S$5)&gt;=Assumptions!$B$11,1,0))*MIN(15/26*Census!$D135*(1+Assumptions!$B$9)^S$5*(INT((Census!$F135+S$5))+IF((Census!$F135+S$5)-INT((Census!$F135+S$5))&gt;0.5,1,0)),Assumptions!$B$10))</f>
        <v>0</v>
      </c>
      <c r="T135" s="30">
        <f>IF(T$5&gt;$B135,0,INDEX(Decrements!$G$6:$G$58,Census!$G135+T$5-18)/INDEX(Decrements!$G$6:$G$58,Census!$G135-17)*(INDEX(Decrements!$D$6:$D$58,Census!$G135+T$5-18)+IF(T$5=$B135,INDEX(Decrements!$F$6:$F$58,Census!$G135+T$5-18),0)+INDEX(Decrements!$E$6:$E$58,Census!$G135+T$5-18)*IF((Census!$F135+T$5)&gt;=Assumptions!$B$11,1,0))*MIN(15/26*Census!$D135*(1+Assumptions!$B$9)^T$5*(INT((Census!$F135+T$5))+IF((Census!$F135+T$5)-INT((Census!$F135+T$5))&gt;0.5,1,0)),Assumptions!$B$10))</f>
        <v>0</v>
      </c>
      <c r="U135" s="30">
        <f>IF(U$5&gt;$B135,0,INDEX(Decrements!$G$6:$G$58,Census!$G135+U$5-18)/INDEX(Decrements!$G$6:$G$58,Census!$G135-17)*(INDEX(Decrements!$D$6:$D$58,Census!$G135+U$5-18)+IF(U$5=$B135,INDEX(Decrements!$F$6:$F$58,Census!$G135+U$5-18),0)+INDEX(Decrements!$E$6:$E$58,Census!$G135+U$5-18)*IF((Census!$F135+U$5)&gt;=Assumptions!$B$11,1,0))*MIN(15/26*Census!$D135*(1+Assumptions!$B$9)^U$5*(INT((Census!$F135+U$5))+IF((Census!$F135+U$5)-INT((Census!$F135+U$5))&gt;0.5,1,0)),Assumptions!$B$10))</f>
        <v>0</v>
      </c>
      <c r="V135" s="30">
        <f>IF(V$5&gt;$B135,0,INDEX(Decrements!$G$6:$G$58,Census!$G135+V$5-18)/INDEX(Decrements!$G$6:$G$58,Census!$G135-17)*(INDEX(Decrements!$D$6:$D$58,Census!$G135+V$5-18)+IF(V$5=$B135,INDEX(Decrements!$F$6:$F$58,Census!$G135+V$5-18),0)+INDEX(Decrements!$E$6:$E$58,Census!$G135+V$5-18)*IF((Census!$F135+V$5)&gt;=Assumptions!$B$11,1,0))*MIN(15/26*Census!$D135*(1+Assumptions!$B$9)^V$5*(INT((Census!$F135+V$5))+IF((Census!$F135+V$5)-INT((Census!$F135+V$5))&gt;0.5,1,0)),Assumptions!$B$10))</f>
        <v>0</v>
      </c>
      <c r="W135" s="30">
        <f>IF(W$5&gt;$B135,0,INDEX(Decrements!$G$6:$G$58,Census!$G135+W$5-18)/INDEX(Decrements!$G$6:$G$58,Census!$G135-17)*(INDEX(Decrements!$D$6:$D$58,Census!$G135+W$5-18)+IF(W$5=$B135,INDEX(Decrements!$F$6:$F$58,Census!$G135+W$5-18),0)+INDEX(Decrements!$E$6:$E$58,Census!$G135+W$5-18)*IF((Census!$F135+W$5)&gt;=Assumptions!$B$11,1,0))*MIN(15/26*Census!$D135*(1+Assumptions!$B$9)^W$5*(INT((Census!$F135+W$5))+IF((Census!$F135+W$5)-INT((Census!$F135+W$5))&gt;0.5,1,0)),Assumptions!$B$10))</f>
        <v>0</v>
      </c>
      <c r="X135" s="30">
        <f>IF(X$5&gt;$B135,0,INDEX(Decrements!$G$6:$G$58,Census!$G135+X$5-18)/INDEX(Decrements!$G$6:$G$58,Census!$G135-17)*(INDEX(Decrements!$D$6:$D$58,Census!$G135+X$5-18)+IF(X$5=$B135,INDEX(Decrements!$F$6:$F$58,Census!$G135+X$5-18),0)+INDEX(Decrements!$E$6:$E$58,Census!$G135+X$5-18)*IF((Census!$F135+X$5)&gt;=Assumptions!$B$11,1,0))*MIN(15/26*Census!$D135*(1+Assumptions!$B$9)^X$5*(INT((Census!$F135+X$5))+IF((Census!$F135+X$5)-INT((Census!$F135+X$5))&gt;0.5,1,0)),Assumptions!$B$10))</f>
        <v>0</v>
      </c>
      <c r="Y135" s="30">
        <f>IF(Y$5&gt;$B135,0,INDEX(Decrements!$G$6:$G$58,Census!$G135+Y$5-18)/INDEX(Decrements!$G$6:$G$58,Census!$G135-17)*(INDEX(Decrements!$D$6:$D$58,Census!$G135+Y$5-18)+IF(Y$5=$B135,INDEX(Decrements!$F$6:$F$58,Census!$G135+Y$5-18),0)+INDEX(Decrements!$E$6:$E$58,Census!$G135+Y$5-18)*IF((Census!$F135+Y$5)&gt;=Assumptions!$B$11,1,0))*MIN(15/26*Census!$D135*(1+Assumptions!$B$9)^Y$5*(INT((Census!$F135+Y$5))+IF((Census!$F135+Y$5)-INT((Census!$F135+Y$5))&gt;0.5,1,0)),Assumptions!$B$10))</f>
        <v>0</v>
      </c>
      <c r="Z135" s="30">
        <f>IF(Z$5&gt;$B135,0,INDEX(Decrements!$G$6:$G$58,Census!$G135+Z$5-18)/INDEX(Decrements!$G$6:$G$58,Census!$G135-17)*(INDEX(Decrements!$D$6:$D$58,Census!$G135+Z$5-18)+IF(Z$5=$B135,INDEX(Decrements!$F$6:$F$58,Census!$G135+Z$5-18),0)+INDEX(Decrements!$E$6:$E$58,Census!$G135+Z$5-18)*IF((Census!$F135+Z$5)&gt;=Assumptions!$B$11,1,0))*MIN(15/26*Census!$D135*(1+Assumptions!$B$9)^Z$5*(INT((Census!$F135+Z$5))+IF((Census!$F135+Z$5)-INT((Census!$F135+Z$5))&gt;0.5,1,0)),Assumptions!$B$10))</f>
        <v>0</v>
      </c>
      <c r="AA135" s="30">
        <f>IF(AA$5&gt;$B135,0,INDEX(Decrements!$G$6:$G$58,Census!$G135+AA$5-18)/INDEX(Decrements!$G$6:$G$58,Census!$G135-17)*(INDEX(Decrements!$D$6:$D$58,Census!$G135+AA$5-18)+IF(AA$5=$B135,INDEX(Decrements!$F$6:$F$58,Census!$G135+AA$5-18),0)+INDEX(Decrements!$E$6:$E$58,Census!$G135+AA$5-18)*IF((Census!$F135+AA$5)&gt;=Assumptions!$B$11,1,0))*MIN(15/26*Census!$D135*(1+Assumptions!$B$9)^AA$5*(INT((Census!$F135+AA$5))+IF((Census!$F135+AA$5)-INT((Census!$F135+AA$5))&gt;0.5,1,0)),Assumptions!$B$10))</f>
        <v>0</v>
      </c>
      <c r="AB135" s="30">
        <f>IF(AB$5&gt;$B135,0,INDEX(Decrements!$G$6:$G$58,Census!$G135+AB$5-18)/INDEX(Decrements!$G$6:$G$58,Census!$G135-17)*(INDEX(Decrements!$D$6:$D$58,Census!$G135+AB$5-18)+IF(AB$5=$B135,INDEX(Decrements!$F$6:$F$58,Census!$G135+AB$5-18),0)+INDEX(Decrements!$E$6:$E$58,Census!$G135+AB$5-18)*IF((Census!$F135+AB$5)&gt;=Assumptions!$B$11,1,0))*MIN(15/26*Census!$D135*(1+Assumptions!$B$9)^AB$5*(INT((Census!$F135+AB$5))+IF((Census!$F135+AB$5)-INT((Census!$F135+AB$5))&gt;0.5,1,0)),Assumptions!$B$10))</f>
        <v>0</v>
      </c>
      <c r="AC135" s="30">
        <f>IF(AC$5&gt;$B135,0,INDEX(Decrements!$G$6:$G$58,Census!$G135+AC$5-18)/INDEX(Decrements!$G$6:$G$58,Census!$G135-17)*(INDEX(Decrements!$D$6:$D$58,Census!$G135+AC$5-18)+IF(AC$5=$B135,INDEX(Decrements!$F$6:$F$58,Census!$G135+AC$5-18),0)+INDEX(Decrements!$E$6:$E$58,Census!$G135+AC$5-18)*IF((Census!$F135+AC$5)&gt;=Assumptions!$B$11,1,0))*MIN(15/26*Census!$D135*(1+Assumptions!$B$9)^AC$5*(INT((Census!$F135+AC$5))+IF((Census!$F135+AC$5)-INT((Census!$F135+AC$5))&gt;0.5,1,0)),Assumptions!$B$10))</f>
        <v>0</v>
      </c>
      <c r="AD135" s="30">
        <f>IF(AD$5&gt;$B135,0,INDEX(Decrements!$G$6:$G$58,Census!$G135+AD$5-18)/INDEX(Decrements!$G$6:$G$58,Census!$G135-17)*(INDEX(Decrements!$D$6:$D$58,Census!$G135+AD$5-18)+IF(AD$5=$B135,INDEX(Decrements!$F$6:$F$58,Census!$G135+AD$5-18),0)+INDEX(Decrements!$E$6:$E$58,Census!$G135+AD$5-18)*IF((Census!$F135+AD$5)&gt;=Assumptions!$B$11,1,0))*MIN(15/26*Census!$D135*(1+Assumptions!$B$9)^AD$5*(INT((Census!$F135+AD$5))+IF((Census!$F135+AD$5)-INT((Census!$F135+AD$5))&gt;0.5,1,0)),Assumptions!$B$10))</f>
        <v>0</v>
      </c>
      <c r="AE135" s="30">
        <f>IF(AE$5&gt;$B135,0,INDEX(Decrements!$G$6:$G$58,Census!$G135+AE$5-18)/INDEX(Decrements!$G$6:$G$58,Census!$G135-17)*(INDEX(Decrements!$D$6:$D$58,Census!$G135+AE$5-18)+IF(AE$5=$B135,INDEX(Decrements!$F$6:$F$58,Census!$G135+AE$5-18),0)+INDEX(Decrements!$E$6:$E$58,Census!$G135+AE$5-18)*IF((Census!$F135+AE$5)&gt;=Assumptions!$B$11,1,0))*MIN(15/26*Census!$D135*(1+Assumptions!$B$9)^AE$5*(INT((Census!$F135+AE$5))+IF((Census!$F135+AE$5)-INT((Census!$F135+AE$5))&gt;0.5,1,0)),Assumptions!$B$10))</f>
        <v>0</v>
      </c>
      <c r="AF135" s="30">
        <f>IF(AF$5&gt;$B135,0,INDEX(Decrements!$G$6:$G$58,Census!$G135+AF$5-18)/INDEX(Decrements!$G$6:$G$58,Census!$G135-17)*(INDEX(Decrements!$D$6:$D$58,Census!$G135+AF$5-18)+IF(AF$5=$B135,INDEX(Decrements!$F$6:$F$58,Census!$G135+AF$5-18),0)+INDEX(Decrements!$E$6:$E$58,Census!$G135+AF$5-18)*IF((Census!$F135+AF$5)&gt;=Assumptions!$B$11,1,0))*MIN(15/26*Census!$D135*(1+Assumptions!$B$9)^AF$5*(INT((Census!$F135+AF$5))+IF((Census!$F135+AF$5)-INT((Census!$F135+AF$5))&gt;0.5,1,0)),Assumptions!$B$10))</f>
        <v>0</v>
      </c>
      <c r="AG135" s="30">
        <f>IF(AG$5&gt;$B135,0,INDEX(Decrements!$G$6:$G$58,Census!$G135+AG$5-18)/INDEX(Decrements!$G$6:$G$58,Census!$G135-17)*(INDEX(Decrements!$D$6:$D$58,Census!$G135+AG$5-18)+IF(AG$5=$B135,INDEX(Decrements!$F$6:$F$58,Census!$G135+AG$5-18),0)+INDEX(Decrements!$E$6:$E$58,Census!$G135+AG$5-18)*IF((Census!$F135+AG$5)&gt;=Assumptions!$B$11,1,0))*MIN(15/26*Census!$D135*(1+Assumptions!$B$9)^AG$5*(INT((Census!$F135+AG$5))+IF((Census!$F135+AG$5)-INT((Census!$F135+AG$5))&gt;0.5,1,0)),Assumptions!$B$10))</f>
        <v>0</v>
      </c>
      <c r="AH135" s="30">
        <f>IF(AH$5&gt;$B135,0,INDEX(Decrements!$G$6:$G$58,Census!$G135+AH$5-18)/INDEX(Decrements!$G$6:$G$58,Census!$G135-17)*(INDEX(Decrements!$D$6:$D$58,Census!$G135+AH$5-18)+IF(AH$5=$B135,INDEX(Decrements!$F$6:$F$58,Census!$G135+AH$5-18),0)+INDEX(Decrements!$E$6:$E$58,Census!$G135+AH$5-18)*IF((Census!$F135+AH$5)&gt;=Assumptions!$B$11,1,0))*MIN(15/26*Census!$D135*(1+Assumptions!$B$9)^AH$5*(INT((Census!$F135+AH$5))+IF((Census!$F135+AH$5)-INT((Census!$F135+AH$5))&gt;0.5,1,0)),Assumptions!$B$10))</f>
        <v>0</v>
      </c>
      <c r="AI135" s="30">
        <f>IF(AI$5&gt;$B135,0,INDEX(Decrements!$G$6:$G$58,Census!$G135+AI$5-18)/INDEX(Decrements!$G$6:$G$58,Census!$G135-17)*(INDEX(Decrements!$D$6:$D$58,Census!$G135+AI$5-18)+IF(AI$5=$B135,INDEX(Decrements!$F$6:$F$58,Census!$G135+AI$5-18),0)+INDEX(Decrements!$E$6:$E$58,Census!$G135+AI$5-18)*IF((Census!$F135+AI$5)&gt;=Assumptions!$B$11,1,0))*MIN(15/26*Census!$D135*(1+Assumptions!$B$9)^AI$5*(INT((Census!$F135+AI$5))+IF((Census!$F135+AI$5)-INT((Census!$F135+AI$5))&gt;0.5,1,0)),Assumptions!$B$10))</f>
        <v>0</v>
      </c>
      <c r="AJ135" s="30">
        <f>IF(AJ$5&gt;$B135,0,INDEX(Decrements!$G$6:$G$58,Census!$G135+AJ$5-18)/INDEX(Decrements!$G$6:$G$58,Census!$G135-17)*(INDEX(Decrements!$D$6:$D$58,Census!$G135+AJ$5-18)+IF(AJ$5=$B135,INDEX(Decrements!$F$6:$F$58,Census!$G135+AJ$5-18),0)+INDEX(Decrements!$E$6:$E$58,Census!$G135+AJ$5-18)*IF((Census!$F135+AJ$5)&gt;=Assumptions!$B$11,1,0))*MIN(15/26*Census!$D135*(1+Assumptions!$B$9)^AJ$5*(INT((Census!$F135+AJ$5))+IF((Census!$F135+AJ$5)-INT((Census!$F135+AJ$5))&gt;0.5,1,0)),Assumptions!$B$10))</f>
        <v>0</v>
      </c>
      <c r="AK135" s="30">
        <f>IF(AK$5&gt;$B135,0,INDEX(Decrements!$G$6:$G$58,Census!$G135+AK$5-18)/INDEX(Decrements!$G$6:$G$58,Census!$G135-17)*(INDEX(Decrements!$D$6:$D$58,Census!$G135+AK$5-18)+IF(AK$5=$B135,INDEX(Decrements!$F$6:$F$58,Census!$G135+AK$5-18),0)+INDEX(Decrements!$E$6:$E$58,Census!$G135+AK$5-18)*IF((Census!$F135+AK$5)&gt;=Assumptions!$B$11,1,0))*MIN(15/26*Census!$D135*(1+Assumptions!$B$9)^AK$5*(INT((Census!$F135+AK$5))+IF((Census!$F135+AK$5)-INT((Census!$F135+AK$5))&gt;0.5,1,0)),Assumptions!$B$10))</f>
        <v>0</v>
      </c>
      <c r="AL135" s="30">
        <f>IF(AL$5&gt;$B135,0,INDEX(Decrements!$G$6:$G$58,Census!$G135+AL$5-18)/INDEX(Decrements!$G$6:$G$58,Census!$G135-17)*(INDEX(Decrements!$D$6:$D$58,Census!$G135+AL$5-18)+IF(AL$5=$B135,INDEX(Decrements!$F$6:$F$58,Census!$G135+AL$5-18),0)+INDEX(Decrements!$E$6:$E$58,Census!$G135+AL$5-18)*IF((Census!$F135+AL$5)&gt;=Assumptions!$B$11,1,0))*MIN(15/26*Census!$D135*(1+Assumptions!$B$9)^AL$5*(INT((Census!$F135+AL$5))+IF((Census!$F135+AL$5)-INT((Census!$F135+AL$5))&gt;0.5,1,0)),Assumptions!$B$10))</f>
        <v>0</v>
      </c>
      <c r="AM135" s="30">
        <f>IF(AM$5&gt;$B135,0,INDEX(Decrements!$G$6:$G$58,Census!$G135+AM$5-18)/INDEX(Decrements!$G$6:$G$58,Census!$G135-17)*(INDEX(Decrements!$D$6:$D$58,Census!$G135+AM$5-18)+IF(AM$5=$B135,INDEX(Decrements!$F$6:$F$58,Census!$G135+AM$5-18),0)+INDEX(Decrements!$E$6:$E$58,Census!$G135+AM$5-18)*IF((Census!$F135+AM$5)&gt;=Assumptions!$B$11,1,0))*MIN(15/26*Census!$D135*(1+Assumptions!$B$9)^AM$5*(INT((Census!$F135+AM$5))+IF((Census!$F135+AM$5)-INT((Census!$F135+AM$5))&gt;0.5,1,0)),Assumptions!$B$10))</f>
        <v>0</v>
      </c>
      <c r="AN135" s="30">
        <f>IF(AN$5&gt;$B135,0,INDEX(Decrements!$G$6:$G$58,Census!$G135+AN$5-18)/INDEX(Decrements!$G$6:$G$58,Census!$G135-17)*(INDEX(Decrements!$D$6:$D$58,Census!$G135+AN$5-18)+IF(AN$5=$B135,INDEX(Decrements!$F$6:$F$58,Census!$G135+AN$5-18),0)+INDEX(Decrements!$E$6:$E$58,Census!$G135+AN$5-18)*IF((Census!$F135+AN$5)&gt;=Assumptions!$B$11,1,0))*MIN(15/26*Census!$D135*(1+Assumptions!$B$9)^AN$5*(INT((Census!$F135+AN$5))+IF((Census!$F135+AN$5)-INT((Census!$F135+AN$5))&gt;0.5,1,0)),Assumptions!$B$10))</f>
        <v>0</v>
      </c>
      <c r="AO135" s="30">
        <f>IF(AO$5&gt;$B135,0,INDEX(Decrements!$G$6:$G$58,Census!$G135+AO$5-18)/INDEX(Decrements!$G$6:$G$58,Census!$G135-17)*(INDEX(Decrements!$D$6:$D$58,Census!$G135+AO$5-18)+IF(AO$5=$B135,INDEX(Decrements!$F$6:$F$58,Census!$G135+AO$5-18),0)+INDEX(Decrements!$E$6:$E$58,Census!$G135+AO$5-18)*IF((Census!$F135+AO$5)&gt;=Assumptions!$B$11,1,0))*MIN(15/26*Census!$D135*(1+Assumptions!$B$9)^AO$5*(INT((Census!$F135+AO$5))+IF((Census!$F135+AO$5)-INT((Census!$F135+AO$5))&gt;0.5,1,0)),Assumptions!$B$10))</f>
        <v>0</v>
      </c>
      <c r="AP135" s="30">
        <f>IF(AP$5&gt;$B135,0,INDEX(Decrements!$G$6:$G$58,Census!$G135+AP$5-18)/INDEX(Decrements!$G$6:$G$58,Census!$G135-17)*(INDEX(Decrements!$D$6:$D$58,Census!$G135+AP$5-18)+IF(AP$5=$B135,INDEX(Decrements!$F$6:$F$58,Census!$G135+AP$5-18),0)+INDEX(Decrements!$E$6:$E$58,Census!$G135+AP$5-18)*IF((Census!$F135+AP$5)&gt;=Assumptions!$B$11,1,0))*MIN(15/26*Census!$D135*(1+Assumptions!$B$9)^AP$5*(INT((Census!$F135+AP$5))+IF((Census!$F135+AP$5)-INT((Census!$F135+AP$5))&gt;0.5,1,0)),Assumptions!$B$10))</f>
        <v>0</v>
      </c>
      <c r="AQ135" s="30">
        <f>IF(AQ$5&gt;$B135,0,INDEX(Decrements!$G$6:$G$58,Census!$G135+AQ$5-18)/INDEX(Decrements!$G$6:$G$58,Census!$G135-17)*(INDEX(Decrements!$D$6:$D$58,Census!$G135+AQ$5-18)+IF(AQ$5=$B135,INDEX(Decrements!$F$6:$F$58,Census!$G135+AQ$5-18),0)+INDEX(Decrements!$E$6:$E$58,Census!$G135+AQ$5-18)*IF((Census!$F135+AQ$5)&gt;=Assumptions!$B$11,1,0))*MIN(15/26*Census!$D135*(1+Assumptions!$B$9)^AQ$5*(INT((Census!$F135+AQ$5))+IF((Census!$F135+AQ$5)-INT((Census!$F135+AQ$5))&gt;0.5,1,0)),Assumptions!$B$10))</f>
        <v>0</v>
      </c>
      <c r="AR135" s="30">
        <f>IF(AR$5&gt;$B135,0,INDEX(Decrements!$G$6:$G$58,Census!$G135+AR$5-18)/INDEX(Decrements!$G$6:$G$58,Census!$G135-17)*(INDEX(Decrements!$D$6:$D$58,Census!$G135+AR$5-18)+IF(AR$5=$B135,INDEX(Decrements!$F$6:$F$58,Census!$G135+AR$5-18),0)+INDEX(Decrements!$E$6:$E$58,Census!$G135+AR$5-18)*IF((Census!$F135+AR$5)&gt;=Assumptions!$B$11,1,0))*MIN(15/26*Census!$D135*(1+Assumptions!$B$9)^AR$5*(INT((Census!$F135+AR$5))+IF((Census!$F135+AR$5)-INT((Census!$F135+AR$5))&gt;0.5,1,0)),Assumptions!$B$10))</f>
        <v>0</v>
      </c>
      <c r="AS135" s="30">
        <f>IF(AS$5&gt;$B135,0,INDEX(Decrements!$G$6:$G$58,Census!$G135+AS$5-18)/INDEX(Decrements!$G$6:$G$58,Census!$G135-17)*(INDEX(Decrements!$D$6:$D$58,Census!$G135+AS$5-18)+IF(AS$5=$B135,INDEX(Decrements!$F$6:$F$58,Census!$G135+AS$5-18),0)+INDEX(Decrements!$E$6:$E$58,Census!$G135+AS$5-18)*IF((Census!$F135+AS$5)&gt;=Assumptions!$B$11,1,0))*MIN(15/26*Census!$D135*(1+Assumptions!$B$9)^AS$5*(INT((Census!$F135+AS$5))+IF((Census!$F135+AS$5)-INT((Census!$F135+AS$5))&gt;0.5,1,0)),Assumptions!$B$10))</f>
        <v>0</v>
      </c>
      <c r="AT135" s="30">
        <f>IF(AT$5&gt;$B135,0,INDEX(Decrements!$G$6:$G$58,Census!$G135+AT$5-18)/INDEX(Decrements!$G$6:$G$58,Census!$G135-17)*(INDEX(Decrements!$D$6:$D$58,Census!$G135+AT$5-18)+IF(AT$5=$B135,INDEX(Decrements!$F$6:$F$58,Census!$G135+AT$5-18),0)+INDEX(Decrements!$E$6:$E$58,Census!$G135+AT$5-18)*IF((Census!$F135+AT$5)&gt;=Assumptions!$B$11,1,0))*MIN(15/26*Census!$D135*(1+Assumptions!$B$9)^AT$5*(INT((Census!$F135+AT$5))+IF((Census!$F135+AT$5)-INT((Census!$F135+AT$5))&gt;0.5,1,0)),Assumptions!$B$10))</f>
        <v>0</v>
      </c>
      <c r="AU135" s="30">
        <f>IF(AU$5&gt;$B135,0,INDEX(Decrements!$G$6:$G$58,Census!$G135+AU$5-18)/INDEX(Decrements!$G$6:$G$58,Census!$G135-17)*(INDEX(Decrements!$D$6:$D$58,Census!$G135+AU$5-18)+IF(AU$5=$B135,INDEX(Decrements!$F$6:$F$58,Census!$G135+AU$5-18),0)+INDEX(Decrements!$E$6:$E$58,Census!$G135+AU$5-18)*IF((Census!$F135+AU$5)&gt;=Assumptions!$B$11,1,0))*MIN(15/26*Census!$D135*(1+Assumptions!$B$9)^AU$5*(INT((Census!$F135+AU$5))+IF((Census!$F135+AU$5)-INT((Census!$F135+AU$5))&gt;0.5,1,0)),Assumptions!$B$10))</f>
        <v>0</v>
      </c>
    </row>
    <row r="136" spans="1:47" x14ac:dyDescent="0.3">
      <c r="A136" s="10" t="str">
        <f>Census!A136</f>
        <v>E131</v>
      </c>
      <c r="B136" s="29">
        <f>Census!H136</f>
        <v>10</v>
      </c>
      <c r="C136" s="30">
        <f>IF(C$5&gt;$B136,0,INDEX(Decrements!$G$6:$G$58,Census!$G136+C$5-18)/INDEX(Decrements!$G$6:$G$58,Census!$G136-17)*(INDEX(Decrements!$D$6:$D$58,Census!$G136+C$5-18)+IF(C$5=$B136,INDEX(Decrements!$F$6:$F$58,Census!$G136+C$5-18),0)+INDEX(Decrements!$E$6:$E$58,Census!$G136+C$5-18)*IF((Census!$F136+C$5)&gt;=Assumptions!$B$11,1,0))*MIN(15/26*Census!$D136*(1+Assumptions!$B$9)^C$5*(INT((Census!$F136+C$5))+IF((Census!$F136+C$5)-INT((Census!$F136+C$5))&gt;0.5,1,0)),Assumptions!$B$10))</f>
        <v>18816.332562638949</v>
      </c>
      <c r="D136" s="30">
        <f>IF(D$5&gt;$B136,0,INDEX(Decrements!$G$6:$G$58,Census!$G136+D$5-18)/INDEX(Decrements!$G$6:$G$58,Census!$G136-17)*(INDEX(Decrements!$D$6:$D$58,Census!$G136+D$5-18)+IF(D$5=$B136,INDEX(Decrements!$F$6:$F$58,Census!$G136+D$5-18),0)+INDEX(Decrements!$E$6:$E$58,Census!$G136+D$5-18)*IF((Census!$F136+D$5)&gt;=Assumptions!$B$11,1,0))*MIN(15/26*Census!$D136*(1+Assumptions!$B$9)^D$5*(INT((Census!$F136+D$5))+IF((Census!$F136+D$5)-INT((Census!$F136+D$5))&gt;0.5,1,0)),Assumptions!$B$10))</f>
        <v>21501.298166697488</v>
      </c>
      <c r="E136" s="30">
        <f>IF(E$5&gt;$B136,0,INDEX(Decrements!$G$6:$G$58,Census!$G136+E$5-18)/INDEX(Decrements!$G$6:$G$58,Census!$G136-17)*(INDEX(Decrements!$D$6:$D$58,Census!$G136+E$5-18)+IF(E$5=$B136,INDEX(Decrements!$F$6:$F$58,Census!$G136+E$5-18),0)+INDEX(Decrements!$E$6:$E$58,Census!$G136+E$5-18)*IF((Census!$F136+E$5)&gt;=Assumptions!$B$11,1,0))*MIN(15/26*Census!$D136*(1+Assumptions!$B$9)^E$5*(INT((Census!$F136+E$5))+IF((Census!$F136+E$5)-INT((Census!$F136+E$5))&gt;0.5,1,0)),Assumptions!$B$10))</f>
        <v>24476.704875003114</v>
      </c>
      <c r="F136" s="30">
        <f>IF(F$5&gt;$B136,0,INDEX(Decrements!$G$6:$G$58,Census!$G136+F$5-18)/INDEX(Decrements!$G$6:$G$58,Census!$G136-17)*(INDEX(Decrements!$D$6:$D$58,Census!$G136+F$5-18)+IF(F$5=$B136,INDEX(Decrements!$F$6:$F$58,Census!$G136+F$5-18),0)+INDEX(Decrements!$E$6:$E$58,Census!$G136+F$5-18)*IF((Census!$F136+F$5)&gt;=Assumptions!$B$11,1,0))*MIN(15/26*Census!$D136*(1+Assumptions!$B$9)^F$5*(INT((Census!$F136+F$5))+IF((Census!$F136+F$5)-INT((Census!$F136+F$5))&gt;0.5,1,0)),Assumptions!$B$10))</f>
        <v>27774.970620632452</v>
      </c>
      <c r="G136" s="30">
        <f>IF(G$5&gt;$B136,0,INDEX(Decrements!$G$6:$G$58,Census!$G136+G$5-18)/INDEX(Decrements!$G$6:$G$58,Census!$G136-17)*(INDEX(Decrements!$D$6:$D$58,Census!$G136+G$5-18)+IF(G$5=$B136,INDEX(Decrements!$F$6:$F$58,Census!$G136+G$5-18),0)+INDEX(Decrements!$E$6:$E$58,Census!$G136+G$5-18)*IF((Census!$F136+G$5)&gt;=Assumptions!$B$11,1,0))*MIN(15/26*Census!$D136*(1+Assumptions!$B$9)^G$5*(INT((Census!$F136+G$5))+IF((Census!$F136+G$5)-INT((Census!$F136+G$5))&gt;0.5,1,0)),Assumptions!$B$10))</f>
        <v>31432.606354357147</v>
      </c>
      <c r="H136" s="30">
        <f>IF(H$5&gt;$B136,0,INDEX(Decrements!$G$6:$G$58,Census!$G136+H$5-18)/INDEX(Decrements!$G$6:$G$58,Census!$G136-17)*(INDEX(Decrements!$D$6:$D$58,Census!$G136+H$5-18)+IF(H$5=$B136,INDEX(Decrements!$F$6:$F$58,Census!$G136+H$5-18),0)+INDEX(Decrements!$E$6:$E$58,Census!$G136+H$5-18)*IF((Census!$F136+H$5)&gt;=Assumptions!$B$11,1,0))*MIN(15/26*Census!$D136*(1+Assumptions!$B$9)^H$5*(INT((Census!$F136+H$5))+IF((Census!$F136+H$5)-INT((Census!$F136+H$5))&gt;0.5,1,0)),Assumptions!$B$10))</f>
        <v>20931.525504438814</v>
      </c>
      <c r="I136" s="30">
        <f>IF(I$5&gt;$B136,0,INDEX(Decrements!$G$6:$G$58,Census!$G136+I$5-18)/INDEX(Decrements!$G$6:$G$58,Census!$G136-17)*(INDEX(Decrements!$D$6:$D$58,Census!$G136+I$5-18)+IF(I$5=$B136,INDEX(Decrements!$F$6:$F$58,Census!$G136+I$5-18),0)+INDEX(Decrements!$E$6:$E$58,Census!$G136+I$5-18)*IF((Census!$F136+I$5)&gt;=Assumptions!$B$11,1,0))*MIN(15/26*Census!$D136*(1+Assumptions!$B$9)^I$5*(INT((Census!$F136+I$5))+IF((Census!$F136+I$5)-INT((Census!$F136+I$5))&gt;0.5,1,0)),Assumptions!$B$10))</f>
        <v>24095.864076164446</v>
      </c>
      <c r="J136" s="30">
        <f>IF(J$5&gt;$B136,0,INDEX(Decrements!$G$6:$G$58,Census!$G136+J$5-18)/INDEX(Decrements!$G$6:$G$58,Census!$G136-17)*(INDEX(Decrements!$D$6:$D$58,Census!$G136+J$5-18)+IF(J$5=$B136,INDEX(Decrements!$F$6:$F$58,Census!$G136+J$5-18),0)+INDEX(Decrements!$E$6:$E$58,Census!$G136+J$5-18)*IF((Census!$F136+J$5)&gt;=Assumptions!$B$11,1,0))*MIN(15/26*Census!$D136*(1+Assumptions!$B$9)^J$5*(INT((Census!$F136+J$5))+IF((Census!$F136+J$5)-INT((Census!$F136+J$5))&gt;0.5,1,0)),Assumptions!$B$10))</f>
        <v>26124.465547260112</v>
      </c>
      <c r="K136" s="30">
        <f>IF(K$5&gt;$B136,0,INDEX(Decrements!$G$6:$G$58,Census!$G136+K$5-18)/INDEX(Decrements!$G$6:$G$58,Census!$G136-17)*(INDEX(Decrements!$D$6:$D$58,Census!$G136+K$5-18)+IF(K$5=$B136,INDEX(Decrements!$F$6:$F$58,Census!$G136+K$5-18),0)+INDEX(Decrements!$E$6:$E$58,Census!$G136+K$5-18)*IF((Census!$F136+K$5)&gt;=Assumptions!$B$11,1,0))*MIN(15/26*Census!$D136*(1+Assumptions!$B$9)^K$5*(INT((Census!$F136+K$5))+IF((Census!$F136+K$5)-INT((Census!$F136+K$5))&gt;0.5,1,0)),Assumptions!$B$10))</f>
        <v>26532.576153544418</v>
      </c>
      <c r="L136" s="30">
        <f>IF(L$5&gt;$B136,0,INDEX(Decrements!$G$6:$G$58,Census!$G136+L$5-18)/INDEX(Decrements!$G$6:$G$58,Census!$G136-17)*(INDEX(Decrements!$D$6:$D$58,Census!$G136+L$5-18)+IF(L$5=$B136,INDEX(Decrements!$F$6:$F$58,Census!$G136+L$5-18),0)+INDEX(Decrements!$E$6:$E$58,Census!$G136+L$5-18)*IF((Census!$F136+L$5)&gt;=Assumptions!$B$11,1,0))*MIN(15/26*Census!$D136*(1+Assumptions!$B$9)^L$5*(INT((Census!$F136+L$5))+IF((Census!$F136+L$5)-INT((Census!$F136+L$5))&gt;0.5,1,0)),Assumptions!$B$10))</f>
        <v>1673439.9953653275</v>
      </c>
      <c r="M136" s="30">
        <f>IF(M$5&gt;$B136,0,INDEX(Decrements!$G$6:$G$58,Census!$G136+M$5-18)/INDEX(Decrements!$G$6:$G$58,Census!$G136-17)*(INDEX(Decrements!$D$6:$D$58,Census!$G136+M$5-18)+IF(M$5=$B136,INDEX(Decrements!$F$6:$F$58,Census!$G136+M$5-18),0)+INDEX(Decrements!$E$6:$E$58,Census!$G136+M$5-18)*IF((Census!$F136+M$5)&gt;=Assumptions!$B$11,1,0))*MIN(15/26*Census!$D136*(1+Assumptions!$B$9)^M$5*(INT((Census!$F136+M$5))+IF((Census!$F136+M$5)-INT((Census!$F136+M$5))&gt;0.5,1,0)),Assumptions!$B$10))</f>
        <v>0</v>
      </c>
      <c r="N136" s="30">
        <f>IF(N$5&gt;$B136,0,INDEX(Decrements!$G$6:$G$58,Census!$G136+N$5-18)/INDEX(Decrements!$G$6:$G$58,Census!$G136-17)*(INDEX(Decrements!$D$6:$D$58,Census!$G136+N$5-18)+IF(N$5=$B136,INDEX(Decrements!$F$6:$F$58,Census!$G136+N$5-18),0)+INDEX(Decrements!$E$6:$E$58,Census!$G136+N$5-18)*IF((Census!$F136+N$5)&gt;=Assumptions!$B$11,1,0))*MIN(15/26*Census!$D136*(1+Assumptions!$B$9)^N$5*(INT((Census!$F136+N$5))+IF((Census!$F136+N$5)-INT((Census!$F136+N$5))&gt;0.5,1,0)),Assumptions!$B$10))</f>
        <v>0</v>
      </c>
      <c r="O136" s="30">
        <f>IF(O$5&gt;$B136,0,INDEX(Decrements!$G$6:$G$58,Census!$G136+O$5-18)/INDEX(Decrements!$G$6:$G$58,Census!$G136-17)*(INDEX(Decrements!$D$6:$D$58,Census!$G136+O$5-18)+IF(O$5=$B136,INDEX(Decrements!$F$6:$F$58,Census!$G136+O$5-18),0)+INDEX(Decrements!$E$6:$E$58,Census!$G136+O$5-18)*IF((Census!$F136+O$5)&gt;=Assumptions!$B$11,1,0))*MIN(15/26*Census!$D136*(1+Assumptions!$B$9)^O$5*(INT((Census!$F136+O$5))+IF((Census!$F136+O$5)-INT((Census!$F136+O$5))&gt;0.5,1,0)),Assumptions!$B$10))</f>
        <v>0</v>
      </c>
      <c r="P136" s="30">
        <f>IF(P$5&gt;$B136,0,INDEX(Decrements!$G$6:$G$58,Census!$G136+P$5-18)/INDEX(Decrements!$G$6:$G$58,Census!$G136-17)*(INDEX(Decrements!$D$6:$D$58,Census!$G136+P$5-18)+IF(P$5=$B136,INDEX(Decrements!$F$6:$F$58,Census!$G136+P$5-18),0)+INDEX(Decrements!$E$6:$E$58,Census!$G136+P$5-18)*IF((Census!$F136+P$5)&gt;=Assumptions!$B$11,1,0))*MIN(15/26*Census!$D136*(1+Assumptions!$B$9)^P$5*(INT((Census!$F136+P$5))+IF((Census!$F136+P$5)-INT((Census!$F136+P$5))&gt;0.5,1,0)),Assumptions!$B$10))</f>
        <v>0</v>
      </c>
      <c r="Q136" s="30">
        <f>IF(Q$5&gt;$B136,0,INDEX(Decrements!$G$6:$G$58,Census!$G136+Q$5-18)/INDEX(Decrements!$G$6:$G$58,Census!$G136-17)*(INDEX(Decrements!$D$6:$D$58,Census!$G136+Q$5-18)+IF(Q$5=$B136,INDEX(Decrements!$F$6:$F$58,Census!$G136+Q$5-18),0)+INDEX(Decrements!$E$6:$E$58,Census!$G136+Q$5-18)*IF((Census!$F136+Q$5)&gt;=Assumptions!$B$11,1,0))*MIN(15/26*Census!$D136*(1+Assumptions!$B$9)^Q$5*(INT((Census!$F136+Q$5))+IF((Census!$F136+Q$5)-INT((Census!$F136+Q$5))&gt;0.5,1,0)),Assumptions!$B$10))</f>
        <v>0</v>
      </c>
      <c r="R136" s="30">
        <f>IF(R$5&gt;$B136,0,INDEX(Decrements!$G$6:$G$58,Census!$G136+R$5-18)/INDEX(Decrements!$G$6:$G$58,Census!$G136-17)*(INDEX(Decrements!$D$6:$D$58,Census!$G136+R$5-18)+IF(R$5=$B136,INDEX(Decrements!$F$6:$F$58,Census!$G136+R$5-18),0)+INDEX(Decrements!$E$6:$E$58,Census!$G136+R$5-18)*IF((Census!$F136+R$5)&gt;=Assumptions!$B$11,1,0))*MIN(15/26*Census!$D136*(1+Assumptions!$B$9)^R$5*(INT((Census!$F136+R$5))+IF((Census!$F136+R$5)-INT((Census!$F136+R$5))&gt;0.5,1,0)),Assumptions!$B$10))</f>
        <v>0</v>
      </c>
      <c r="S136" s="30">
        <f>IF(S$5&gt;$B136,0,INDEX(Decrements!$G$6:$G$58,Census!$G136+S$5-18)/INDEX(Decrements!$G$6:$G$58,Census!$G136-17)*(INDEX(Decrements!$D$6:$D$58,Census!$G136+S$5-18)+IF(S$5=$B136,INDEX(Decrements!$F$6:$F$58,Census!$G136+S$5-18),0)+INDEX(Decrements!$E$6:$E$58,Census!$G136+S$5-18)*IF((Census!$F136+S$5)&gt;=Assumptions!$B$11,1,0))*MIN(15/26*Census!$D136*(1+Assumptions!$B$9)^S$5*(INT((Census!$F136+S$5))+IF((Census!$F136+S$5)-INT((Census!$F136+S$5))&gt;0.5,1,0)),Assumptions!$B$10))</f>
        <v>0</v>
      </c>
      <c r="T136" s="30">
        <f>IF(T$5&gt;$B136,0,INDEX(Decrements!$G$6:$G$58,Census!$G136+T$5-18)/INDEX(Decrements!$G$6:$G$58,Census!$G136-17)*(INDEX(Decrements!$D$6:$D$58,Census!$G136+T$5-18)+IF(T$5=$B136,INDEX(Decrements!$F$6:$F$58,Census!$G136+T$5-18),0)+INDEX(Decrements!$E$6:$E$58,Census!$G136+T$5-18)*IF((Census!$F136+T$5)&gt;=Assumptions!$B$11,1,0))*MIN(15/26*Census!$D136*(1+Assumptions!$B$9)^T$5*(INT((Census!$F136+T$5))+IF((Census!$F136+T$5)-INT((Census!$F136+T$5))&gt;0.5,1,0)),Assumptions!$B$10))</f>
        <v>0</v>
      </c>
      <c r="U136" s="30">
        <f>IF(U$5&gt;$B136,0,INDEX(Decrements!$G$6:$G$58,Census!$G136+U$5-18)/INDEX(Decrements!$G$6:$G$58,Census!$G136-17)*(INDEX(Decrements!$D$6:$D$58,Census!$G136+U$5-18)+IF(U$5=$B136,INDEX(Decrements!$F$6:$F$58,Census!$G136+U$5-18),0)+INDEX(Decrements!$E$6:$E$58,Census!$G136+U$5-18)*IF((Census!$F136+U$5)&gt;=Assumptions!$B$11,1,0))*MIN(15/26*Census!$D136*(1+Assumptions!$B$9)^U$5*(INT((Census!$F136+U$5))+IF((Census!$F136+U$5)-INT((Census!$F136+U$5))&gt;0.5,1,0)),Assumptions!$B$10))</f>
        <v>0</v>
      </c>
      <c r="V136" s="30">
        <f>IF(V$5&gt;$B136,0,INDEX(Decrements!$G$6:$G$58,Census!$G136+V$5-18)/INDEX(Decrements!$G$6:$G$58,Census!$G136-17)*(INDEX(Decrements!$D$6:$D$58,Census!$G136+V$5-18)+IF(V$5=$B136,INDEX(Decrements!$F$6:$F$58,Census!$G136+V$5-18),0)+INDEX(Decrements!$E$6:$E$58,Census!$G136+V$5-18)*IF((Census!$F136+V$5)&gt;=Assumptions!$B$11,1,0))*MIN(15/26*Census!$D136*(1+Assumptions!$B$9)^V$5*(INT((Census!$F136+V$5))+IF((Census!$F136+V$5)-INT((Census!$F136+V$5))&gt;0.5,1,0)),Assumptions!$B$10))</f>
        <v>0</v>
      </c>
      <c r="W136" s="30">
        <f>IF(W$5&gt;$B136,0,INDEX(Decrements!$G$6:$G$58,Census!$G136+W$5-18)/INDEX(Decrements!$G$6:$G$58,Census!$G136-17)*(INDEX(Decrements!$D$6:$D$58,Census!$G136+W$5-18)+IF(W$5=$B136,INDEX(Decrements!$F$6:$F$58,Census!$G136+W$5-18),0)+INDEX(Decrements!$E$6:$E$58,Census!$G136+W$5-18)*IF((Census!$F136+W$5)&gt;=Assumptions!$B$11,1,0))*MIN(15/26*Census!$D136*(1+Assumptions!$B$9)^W$5*(INT((Census!$F136+W$5))+IF((Census!$F136+W$5)-INT((Census!$F136+W$5))&gt;0.5,1,0)),Assumptions!$B$10))</f>
        <v>0</v>
      </c>
      <c r="X136" s="30">
        <f>IF(X$5&gt;$B136,0,INDEX(Decrements!$G$6:$G$58,Census!$G136+X$5-18)/INDEX(Decrements!$G$6:$G$58,Census!$G136-17)*(INDEX(Decrements!$D$6:$D$58,Census!$G136+X$5-18)+IF(X$5=$B136,INDEX(Decrements!$F$6:$F$58,Census!$G136+X$5-18),0)+INDEX(Decrements!$E$6:$E$58,Census!$G136+X$5-18)*IF((Census!$F136+X$5)&gt;=Assumptions!$B$11,1,0))*MIN(15/26*Census!$D136*(1+Assumptions!$B$9)^X$5*(INT((Census!$F136+X$5))+IF((Census!$F136+X$5)-INT((Census!$F136+X$5))&gt;0.5,1,0)),Assumptions!$B$10))</f>
        <v>0</v>
      </c>
      <c r="Y136" s="30">
        <f>IF(Y$5&gt;$B136,0,INDEX(Decrements!$G$6:$G$58,Census!$G136+Y$5-18)/INDEX(Decrements!$G$6:$G$58,Census!$G136-17)*(INDEX(Decrements!$D$6:$D$58,Census!$G136+Y$5-18)+IF(Y$5=$B136,INDEX(Decrements!$F$6:$F$58,Census!$G136+Y$5-18),0)+INDEX(Decrements!$E$6:$E$58,Census!$G136+Y$5-18)*IF((Census!$F136+Y$5)&gt;=Assumptions!$B$11,1,0))*MIN(15/26*Census!$D136*(1+Assumptions!$B$9)^Y$5*(INT((Census!$F136+Y$5))+IF((Census!$F136+Y$5)-INT((Census!$F136+Y$5))&gt;0.5,1,0)),Assumptions!$B$10))</f>
        <v>0</v>
      </c>
      <c r="Z136" s="30">
        <f>IF(Z$5&gt;$B136,0,INDEX(Decrements!$G$6:$G$58,Census!$G136+Z$5-18)/INDEX(Decrements!$G$6:$G$58,Census!$G136-17)*(INDEX(Decrements!$D$6:$D$58,Census!$G136+Z$5-18)+IF(Z$5=$B136,INDEX(Decrements!$F$6:$F$58,Census!$G136+Z$5-18),0)+INDEX(Decrements!$E$6:$E$58,Census!$G136+Z$5-18)*IF((Census!$F136+Z$5)&gt;=Assumptions!$B$11,1,0))*MIN(15/26*Census!$D136*(1+Assumptions!$B$9)^Z$5*(INT((Census!$F136+Z$5))+IF((Census!$F136+Z$5)-INT((Census!$F136+Z$5))&gt;0.5,1,0)),Assumptions!$B$10))</f>
        <v>0</v>
      </c>
      <c r="AA136" s="30">
        <f>IF(AA$5&gt;$B136,0,INDEX(Decrements!$G$6:$G$58,Census!$G136+AA$5-18)/INDEX(Decrements!$G$6:$G$58,Census!$G136-17)*(INDEX(Decrements!$D$6:$D$58,Census!$G136+AA$5-18)+IF(AA$5=$B136,INDEX(Decrements!$F$6:$F$58,Census!$G136+AA$5-18),0)+INDEX(Decrements!$E$6:$E$58,Census!$G136+AA$5-18)*IF((Census!$F136+AA$5)&gt;=Assumptions!$B$11,1,0))*MIN(15/26*Census!$D136*(1+Assumptions!$B$9)^AA$5*(INT((Census!$F136+AA$5))+IF((Census!$F136+AA$5)-INT((Census!$F136+AA$5))&gt;0.5,1,0)),Assumptions!$B$10))</f>
        <v>0</v>
      </c>
      <c r="AB136" s="30">
        <f>IF(AB$5&gt;$B136,0,INDEX(Decrements!$G$6:$G$58,Census!$G136+AB$5-18)/INDEX(Decrements!$G$6:$G$58,Census!$G136-17)*(INDEX(Decrements!$D$6:$D$58,Census!$G136+AB$5-18)+IF(AB$5=$B136,INDEX(Decrements!$F$6:$F$58,Census!$G136+AB$5-18),0)+INDEX(Decrements!$E$6:$E$58,Census!$G136+AB$5-18)*IF((Census!$F136+AB$5)&gt;=Assumptions!$B$11,1,0))*MIN(15/26*Census!$D136*(1+Assumptions!$B$9)^AB$5*(INT((Census!$F136+AB$5))+IF((Census!$F136+AB$5)-INT((Census!$F136+AB$5))&gt;0.5,1,0)),Assumptions!$B$10))</f>
        <v>0</v>
      </c>
      <c r="AC136" s="30">
        <f>IF(AC$5&gt;$B136,0,INDEX(Decrements!$G$6:$G$58,Census!$G136+AC$5-18)/INDEX(Decrements!$G$6:$G$58,Census!$G136-17)*(INDEX(Decrements!$D$6:$D$58,Census!$G136+AC$5-18)+IF(AC$5=$B136,INDEX(Decrements!$F$6:$F$58,Census!$G136+AC$5-18),0)+INDEX(Decrements!$E$6:$E$58,Census!$G136+AC$5-18)*IF((Census!$F136+AC$5)&gt;=Assumptions!$B$11,1,0))*MIN(15/26*Census!$D136*(1+Assumptions!$B$9)^AC$5*(INT((Census!$F136+AC$5))+IF((Census!$F136+AC$5)-INT((Census!$F136+AC$5))&gt;0.5,1,0)),Assumptions!$B$10))</f>
        <v>0</v>
      </c>
      <c r="AD136" s="30">
        <f>IF(AD$5&gt;$B136,0,INDEX(Decrements!$G$6:$G$58,Census!$G136+AD$5-18)/INDEX(Decrements!$G$6:$G$58,Census!$G136-17)*(INDEX(Decrements!$D$6:$D$58,Census!$G136+AD$5-18)+IF(AD$5=$B136,INDEX(Decrements!$F$6:$F$58,Census!$G136+AD$5-18),0)+INDEX(Decrements!$E$6:$E$58,Census!$G136+AD$5-18)*IF((Census!$F136+AD$5)&gt;=Assumptions!$B$11,1,0))*MIN(15/26*Census!$D136*(1+Assumptions!$B$9)^AD$5*(INT((Census!$F136+AD$5))+IF((Census!$F136+AD$5)-INT((Census!$F136+AD$5))&gt;0.5,1,0)),Assumptions!$B$10))</f>
        <v>0</v>
      </c>
      <c r="AE136" s="30">
        <f>IF(AE$5&gt;$B136,0,INDEX(Decrements!$G$6:$G$58,Census!$G136+AE$5-18)/INDEX(Decrements!$G$6:$G$58,Census!$G136-17)*(INDEX(Decrements!$D$6:$D$58,Census!$G136+AE$5-18)+IF(AE$5=$B136,INDEX(Decrements!$F$6:$F$58,Census!$G136+AE$5-18),0)+INDEX(Decrements!$E$6:$E$58,Census!$G136+AE$5-18)*IF((Census!$F136+AE$5)&gt;=Assumptions!$B$11,1,0))*MIN(15/26*Census!$D136*(1+Assumptions!$B$9)^AE$5*(INT((Census!$F136+AE$5))+IF((Census!$F136+AE$5)-INT((Census!$F136+AE$5))&gt;0.5,1,0)),Assumptions!$B$10))</f>
        <v>0</v>
      </c>
      <c r="AF136" s="30">
        <f>IF(AF$5&gt;$B136,0,INDEX(Decrements!$G$6:$G$58,Census!$G136+AF$5-18)/INDEX(Decrements!$G$6:$G$58,Census!$G136-17)*(INDEX(Decrements!$D$6:$D$58,Census!$G136+AF$5-18)+IF(AF$5=$B136,INDEX(Decrements!$F$6:$F$58,Census!$G136+AF$5-18),0)+INDEX(Decrements!$E$6:$E$58,Census!$G136+AF$5-18)*IF((Census!$F136+AF$5)&gt;=Assumptions!$B$11,1,0))*MIN(15/26*Census!$D136*(1+Assumptions!$B$9)^AF$5*(INT((Census!$F136+AF$5))+IF((Census!$F136+AF$5)-INT((Census!$F136+AF$5))&gt;0.5,1,0)),Assumptions!$B$10))</f>
        <v>0</v>
      </c>
      <c r="AG136" s="30">
        <f>IF(AG$5&gt;$B136,0,INDEX(Decrements!$G$6:$G$58,Census!$G136+AG$5-18)/INDEX(Decrements!$G$6:$G$58,Census!$G136-17)*(INDEX(Decrements!$D$6:$D$58,Census!$G136+AG$5-18)+IF(AG$5=$B136,INDEX(Decrements!$F$6:$F$58,Census!$G136+AG$5-18),0)+INDEX(Decrements!$E$6:$E$58,Census!$G136+AG$5-18)*IF((Census!$F136+AG$5)&gt;=Assumptions!$B$11,1,0))*MIN(15/26*Census!$D136*(1+Assumptions!$B$9)^AG$5*(INT((Census!$F136+AG$5))+IF((Census!$F136+AG$5)-INT((Census!$F136+AG$5))&gt;0.5,1,0)),Assumptions!$B$10))</f>
        <v>0</v>
      </c>
      <c r="AH136" s="30">
        <f>IF(AH$5&gt;$B136,0,INDEX(Decrements!$G$6:$G$58,Census!$G136+AH$5-18)/INDEX(Decrements!$G$6:$G$58,Census!$G136-17)*(INDEX(Decrements!$D$6:$D$58,Census!$G136+AH$5-18)+IF(AH$5=$B136,INDEX(Decrements!$F$6:$F$58,Census!$G136+AH$5-18),0)+INDEX(Decrements!$E$6:$E$58,Census!$G136+AH$5-18)*IF((Census!$F136+AH$5)&gt;=Assumptions!$B$11,1,0))*MIN(15/26*Census!$D136*(1+Assumptions!$B$9)^AH$5*(INT((Census!$F136+AH$5))+IF((Census!$F136+AH$5)-INT((Census!$F136+AH$5))&gt;0.5,1,0)),Assumptions!$B$10))</f>
        <v>0</v>
      </c>
      <c r="AI136" s="30">
        <f>IF(AI$5&gt;$B136,0,INDEX(Decrements!$G$6:$G$58,Census!$G136+AI$5-18)/INDEX(Decrements!$G$6:$G$58,Census!$G136-17)*(INDEX(Decrements!$D$6:$D$58,Census!$G136+AI$5-18)+IF(AI$5=$B136,INDEX(Decrements!$F$6:$F$58,Census!$G136+AI$5-18),0)+INDEX(Decrements!$E$6:$E$58,Census!$G136+AI$5-18)*IF((Census!$F136+AI$5)&gt;=Assumptions!$B$11,1,0))*MIN(15/26*Census!$D136*(1+Assumptions!$B$9)^AI$5*(INT((Census!$F136+AI$5))+IF((Census!$F136+AI$5)-INT((Census!$F136+AI$5))&gt;0.5,1,0)),Assumptions!$B$10))</f>
        <v>0</v>
      </c>
      <c r="AJ136" s="30">
        <f>IF(AJ$5&gt;$B136,0,INDEX(Decrements!$G$6:$G$58,Census!$G136+AJ$5-18)/INDEX(Decrements!$G$6:$G$58,Census!$G136-17)*(INDEX(Decrements!$D$6:$D$58,Census!$G136+AJ$5-18)+IF(AJ$5=$B136,INDEX(Decrements!$F$6:$F$58,Census!$G136+AJ$5-18),0)+INDEX(Decrements!$E$6:$E$58,Census!$G136+AJ$5-18)*IF((Census!$F136+AJ$5)&gt;=Assumptions!$B$11,1,0))*MIN(15/26*Census!$D136*(1+Assumptions!$B$9)^AJ$5*(INT((Census!$F136+AJ$5))+IF((Census!$F136+AJ$5)-INT((Census!$F136+AJ$5))&gt;0.5,1,0)),Assumptions!$B$10))</f>
        <v>0</v>
      </c>
      <c r="AK136" s="30">
        <f>IF(AK$5&gt;$B136,0,INDEX(Decrements!$G$6:$G$58,Census!$G136+AK$5-18)/INDEX(Decrements!$G$6:$G$58,Census!$G136-17)*(INDEX(Decrements!$D$6:$D$58,Census!$G136+AK$5-18)+IF(AK$5=$B136,INDEX(Decrements!$F$6:$F$58,Census!$G136+AK$5-18),0)+INDEX(Decrements!$E$6:$E$58,Census!$G136+AK$5-18)*IF((Census!$F136+AK$5)&gt;=Assumptions!$B$11,1,0))*MIN(15/26*Census!$D136*(1+Assumptions!$B$9)^AK$5*(INT((Census!$F136+AK$5))+IF((Census!$F136+AK$5)-INT((Census!$F136+AK$5))&gt;0.5,1,0)),Assumptions!$B$10))</f>
        <v>0</v>
      </c>
      <c r="AL136" s="30">
        <f>IF(AL$5&gt;$B136,0,INDEX(Decrements!$G$6:$G$58,Census!$G136+AL$5-18)/INDEX(Decrements!$G$6:$G$58,Census!$G136-17)*(INDEX(Decrements!$D$6:$D$58,Census!$G136+AL$5-18)+IF(AL$5=$B136,INDEX(Decrements!$F$6:$F$58,Census!$G136+AL$5-18),0)+INDEX(Decrements!$E$6:$E$58,Census!$G136+AL$5-18)*IF((Census!$F136+AL$5)&gt;=Assumptions!$B$11,1,0))*MIN(15/26*Census!$D136*(1+Assumptions!$B$9)^AL$5*(INT((Census!$F136+AL$5))+IF((Census!$F136+AL$5)-INT((Census!$F136+AL$5))&gt;0.5,1,0)),Assumptions!$B$10))</f>
        <v>0</v>
      </c>
      <c r="AM136" s="30">
        <f>IF(AM$5&gt;$B136,0,INDEX(Decrements!$G$6:$G$58,Census!$G136+AM$5-18)/INDEX(Decrements!$G$6:$G$58,Census!$G136-17)*(INDEX(Decrements!$D$6:$D$58,Census!$G136+AM$5-18)+IF(AM$5=$B136,INDEX(Decrements!$F$6:$F$58,Census!$G136+AM$5-18),0)+INDEX(Decrements!$E$6:$E$58,Census!$G136+AM$5-18)*IF((Census!$F136+AM$5)&gt;=Assumptions!$B$11,1,0))*MIN(15/26*Census!$D136*(1+Assumptions!$B$9)^AM$5*(INT((Census!$F136+AM$5))+IF((Census!$F136+AM$5)-INT((Census!$F136+AM$5))&gt;0.5,1,0)),Assumptions!$B$10))</f>
        <v>0</v>
      </c>
      <c r="AN136" s="30">
        <f>IF(AN$5&gt;$B136,0,INDEX(Decrements!$G$6:$G$58,Census!$G136+AN$5-18)/INDEX(Decrements!$G$6:$G$58,Census!$G136-17)*(INDEX(Decrements!$D$6:$D$58,Census!$G136+AN$5-18)+IF(AN$5=$B136,INDEX(Decrements!$F$6:$F$58,Census!$G136+AN$5-18),0)+INDEX(Decrements!$E$6:$E$58,Census!$G136+AN$5-18)*IF((Census!$F136+AN$5)&gt;=Assumptions!$B$11,1,0))*MIN(15/26*Census!$D136*(1+Assumptions!$B$9)^AN$5*(INT((Census!$F136+AN$5))+IF((Census!$F136+AN$5)-INT((Census!$F136+AN$5))&gt;0.5,1,0)),Assumptions!$B$10))</f>
        <v>0</v>
      </c>
      <c r="AO136" s="30">
        <f>IF(AO$5&gt;$B136,0,INDEX(Decrements!$G$6:$G$58,Census!$G136+AO$5-18)/INDEX(Decrements!$G$6:$G$58,Census!$G136-17)*(INDEX(Decrements!$D$6:$D$58,Census!$G136+AO$5-18)+IF(AO$5=$B136,INDEX(Decrements!$F$6:$F$58,Census!$G136+AO$5-18),0)+INDEX(Decrements!$E$6:$E$58,Census!$G136+AO$5-18)*IF((Census!$F136+AO$5)&gt;=Assumptions!$B$11,1,0))*MIN(15/26*Census!$D136*(1+Assumptions!$B$9)^AO$5*(INT((Census!$F136+AO$5))+IF((Census!$F136+AO$5)-INT((Census!$F136+AO$5))&gt;0.5,1,0)),Assumptions!$B$10))</f>
        <v>0</v>
      </c>
      <c r="AP136" s="30">
        <f>IF(AP$5&gt;$B136,0,INDEX(Decrements!$G$6:$G$58,Census!$G136+AP$5-18)/INDEX(Decrements!$G$6:$G$58,Census!$G136-17)*(INDEX(Decrements!$D$6:$D$58,Census!$G136+AP$5-18)+IF(AP$5=$B136,INDEX(Decrements!$F$6:$F$58,Census!$G136+AP$5-18),0)+INDEX(Decrements!$E$6:$E$58,Census!$G136+AP$5-18)*IF((Census!$F136+AP$5)&gt;=Assumptions!$B$11,1,0))*MIN(15/26*Census!$D136*(1+Assumptions!$B$9)^AP$5*(INT((Census!$F136+AP$5))+IF((Census!$F136+AP$5)-INT((Census!$F136+AP$5))&gt;0.5,1,0)),Assumptions!$B$10))</f>
        <v>0</v>
      </c>
      <c r="AQ136" s="30">
        <f>IF(AQ$5&gt;$B136,0,INDEX(Decrements!$G$6:$G$58,Census!$G136+AQ$5-18)/INDEX(Decrements!$G$6:$G$58,Census!$G136-17)*(INDEX(Decrements!$D$6:$D$58,Census!$G136+AQ$5-18)+IF(AQ$5=$B136,INDEX(Decrements!$F$6:$F$58,Census!$G136+AQ$5-18),0)+INDEX(Decrements!$E$6:$E$58,Census!$G136+AQ$5-18)*IF((Census!$F136+AQ$5)&gt;=Assumptions!$B$11,1,0))*MIN(15/26*Census!$D136*(1+Assumptions!$B$9)^AQ$5*(INT((Census!$F136+AQ$5))+IF((Census!$F136+AQ$5)-INT((Census!$F136+AQ$5))&gt;0.5,1,0)),Assumptions!$B$10))</f>
        <v>0</v>
      </c>
      <c r="AR136" s="30">
        <f>IF(AR$5&gt;$B136,0,INDEX(Decrements!$G$6:$G$58,Census!$G136+AR$5-18)/INDEX(Decrements!$G$6:$G$58,Census!$G136-17)*(INDEX(Decrements!$D$6:$D$58,Census!$G136+AR$5-18)+IF(AR$5=$B136,INDEX(Decrements!$F$6:$F$58,Census!$G136+AR$5-18),0)+INDEX(Decrements!$E$6:$E$58,Census!$G136+AR$5-18)*IF((Census!$F136+AR$5)&gt;=Assumptions!$B$11,1,0))*MIN(15/26*Census!$D136*(1+Assumptions!$B$9)^AR$5*(INT((Census!$F136+AR$5))+IF((Census!$F136+AR$5)-INT((Census!$F136+AR$5))&gt;0.5,1,0)),Assumptions!$B$10))</f>
        <v>0</v>
      </c>
      <c r="AS136" s="30">
        <f>IF(AS$5&gt;$B136,0,INDEX(Decrements!$G$6:$G$58,Census!$G136+AS$5-18)/INDEX(Decrements!$G$6:$G$58,Census!$G136-17)*(INDEX(Decrements!$D$6:$D$58,Census!$G136+AS$5-18)+IF(AS$5=$B136,INDEX(Decrements!$F$6:$F$58,Census!$G136+AS$5-18),0)+INDEX(Decrements!$E$6:$E$58,Census!$G136+AS$5-18)*IF((Census!$F136+AS$5)&gt;=Assumptions!$B$11,1,0))*MIN(15/26*Census!$D136*(1+Assumptions!$B$9)^AS$5*(INT((Census!$F136+AS$5))+IF((Census!$F136+AS$5)-INT((Census!$F136+AS$5))&gt;0.5,1,0)),Assumptions!$B$10))</f>
        <v>0</v>
      </c>
      <c r="AT136" s="30">
        <f>IF(AT$5&gt;$B136,0,INDEX(Decrements!$G$6:$G$58,Census!$G136+AT$5-18)/INDEX(Decrements!$G$6:$G$58,Census!$G136-17)*(INDEX(Decrements!$D$6:$D$58,Census!$G136+AT$5-18)+IF(AT$5=$B136,INDEX(Decrements!$F$6:$F$58,Census!$G136+AT$5-18),0)+INDEX(Decrements!$E$6:$E$58,Census!$G136+AT$5-18)*IF((Census!$F136+AT$5)&gt;=Assumptions!$B$11,1,0))*MIN(15/26*Census!$D136*(1+Assumptions!$B$9)^AT$5*(INT((Census!$F136+AT$5))+IF((Census!$F136+AT$5)-INT((Census!$F136+AT$5))&gt;0.5,1,0)),Assumptions!$B$10))</f>
        <v>0</v>
      </c>
      <c r="AU136" s="30">
        <f>IF(AU$5&gt;$B136,0,INDEX(Decrements!$G$6:$G$58,Census!$G136+AU$5-18)/INDEX(Decrements!$G$6:$G$58,Census!$G136-17)*(INDEX(Decrements!$D$6:$D$58,Census!$G136+AU$5-18)+IF(AU$5=$B136,INDEX(Decrements!$F$6:$F$58,Census!$G136+AU$5-18),0)+INDEX(Decrements!$E$6:$E$58,Census!$G136+AU$5-18)*IF((Census!$F136+AU$5)&gt;=Assumptions!$B$11,1,0))*MIN(15/26*Census!$D136*(1+Assumptions!$B$9)^AU$5*(INT((Census!$F136+AU$5))+IF((Census!$F136+AU$5)-INT((Census!$F136+AU$5))&gt;0.5,1,0)),Assumptions!$B$10))</f>
        <v>0</v>
      </c>
    </row>
    <row r="137" spans="1:47" x14ac:dyDescent="0.3">
      <c r="A137" s="10" t="str">
        <f>Census!A137</f>
        <v>E132</v>
      </c>
      <c r="B137" s="29">
        <f>Census!H137</f>
        <v>18</v>
      </c>
      <c r="C137" s="30">
        <f>IF(C$5&gt;$B137,0,INDEX(Decrements!$G$6:$G$58,Census!$G137+C$5-18)/INDEX(Decrements!$G$6:$G$58,Census!$G137-17)*(INDEX(Decrements!$D$6:$D$58,Census!$G137+C$5-18)+IF(C$5=$B137,INDEX(Decrements!$F$6:$F$58,Census!$G137+C$5-18),0)+INDEX(Decrements!$E$6:$E$58,Census!$G137+C$5-18)*IF((Census!$F137+C$5)&gt;=Assumptions!$B$11,1,0))*MIN(15/26*Census!$D137*(1+Assumptions!$B$9)^C$5*(INT((Census!$F137+C$5))+IF((Census!$F137+C$5)-INT((Census!$F137+C$5))&gt;0.5,1,0)),Assumptions!$B$10))</f>
        <v>8800.0421523244513</v>
      </c>
      <c r="D137" s="30">
        <f>IF(D$5&gt;$B137,0,INDEX(Decrements!$G$6:$G$58,Census!$G137+D$5-18)/INDEX(Decrements!$G$6:$G$58,Census!$G137-17)*(INDEX(Decrements!$D$6:$D$58,Census!$G137+D$5-18)+IF(D$5=$B137,INDEX(Decrements!$F$6:$F$58,Census!$G137+D$5-18),0)+INDEX(Decrements!$E$6:$E$58,Census!$G137+D$5-18)*IF((Census!$F137+D$5)&gt;=Assumptions!$B$11,1,0))*MIN(15/26*Census!$D137*(1+Assumptions!$B$9)^D$5*(INT((Census!$F137+D$5))+IF((Census!$F137+D$5)-INT((Census!$F137+D$5))&gt;0.5,1,0)),Assumptions!$B$10))</f>
        <v>10324.522340297301</v>
      </c>
      <c r="E137" s="30">
        <f>IF(E$5&gt;$B137,0,INDEX(Decrements!$G$6:$G$58,Census!$G137+E$5-18)/INDEX(Decrements!$G$6:$G$58,Census!$G137-17)*(INDEX(Decrements!$D$6:$D$58,Census!$G137+E$5-18)+IF(E$5=$B137,INDEX(Decrements!$F$6:$F$58,Census!$G137+E$5-18),0)+INDEX(Decrements!$E$6:$E$58,Census!$G137+E$5-18)*IF((Census!$F137+E$5)&gt;=Assumptions!$B$11,1,0))*MIN(15/26*Census!$D137*(1+Assumptions!$B$9)^E$5*(INT((Census!$F137+E$5))+IF((Census!$F137+E$5)-INT((Census!$F137+E$5))&gt;0.5,1,0)),Assumptions!$B$10))</f>
        <v>11924.916897322195</v>
      </c>
      <c r="F137" s="30">
        <f>IF(F$5&gt;$B137,0,INDEX(Decrements!$G$6:$G$58,Census!$G137+F$5-18)/INDEX(Decrements!$G$6:$G$58,Census!$G137-17)*(INDEX(Decrements!$D$6:$D$58,Census!$G137+F$5-18)+IF(F$5=$B137,INDEX(Decrements!$F$6:$F$58,Census!$G137+F$5-18),0)+INDEX(Decrements!$E$6:$E$58,Census!$G137+F$5-18)*IF((Census!$F137+F$5)&gt;=Assumptions!$B$11,1,0))*MIN(15/26*Census!$D137*(1+Assumptions!$B$9)^F$5*(INT((Census!$F137+F$5))+IF((Census!$F137+F$5)-INT((Census!$F137+F$5))&gt;0.5,1,0)),Assumptions!$B$10))</f>
        <v>8365.2082753028299</v>
      </c>
      <c r="G137" s="30">
        <f>IF(G$5&gt;$B137,0,INDEX(Decrements!$G$6:$G$58,Census!$G137+G$5-18)/INDEX(Decrements!$G$6:$G$58,Census!$G137-17)*(INDEX(Decrements!$D$6:$D$58,Census!$G137+G$5-18)+IF(G$5=$B137,INDEX(Decrements!$F$6:$F$58,Census!$G137+G$5-18),0)+INDEX(Decrements!$E$6:$E$58,Census!$G137+G$5-18)*IF((Census!$F137+G$5)&gt;=Assumptions!$B$11,1,0))*MIN(15/26*Census!$D137*(1+Assumptions!$B$9)^G$5*(INT((Census!$F137+G$5))+IF((Census!$F137+G$5)-INT((Census!$F137+G$5))&gt;0.5,1,0)),Assumptions!$B$10))</f>
        <v>9665.84921966195</v>
      </c>
      <c r="H137" s="30">
        <f>IF(H$5&gt;$B137,0,INDEX(Decrements!$G$6:$G$58,Census!$G137+H$5-18)/INDEX(Decrements!$G$6:$G$58,Census!$G137-17)*(INDEX(Decrements!$D$6:$D$58,Census!$G137+H$5-18)+IF(H$5=$B137,INDEX(Decrements!$F$6:$F$58,Census!$G137+H$5-18),0)+INDEX(Decrements!$E$6:$E$58,Census!$G137+H$5-18)*IF((Census!$F137+H$5)&gt;=Assumptions!$B$11,1,0))*MIN(15/26*Census!$D137*(1+Assumptions!$B$9)^H$5*(INT((Census!$F137+H$5))+IF((Census!$F137+H$5)-INT((Census!$F137+H$5))&gt;0.5,1,0)),Assumptions!$B$10))</f>
        <v>11079.571188981696</v>
      </c>
      <c r="I137" s="30">
        <f>IF(I$5&gt;$B137,0,INDEX(Decrements!$G$6:$G$58,Census!$G137+I$5-18)/INDEX(Decrements!$G$6:$G$58,Census!$G137-17)*(INDEX(Decrements!$D$6:$D$58,Census!$G137+I$5-18)+IF(I$5=$B137,INDEX(Decrements!$F$6:$F$58,Census!$G137+I$5-18),0)+INDEX(Decrements!$E$6:$E$58,Census!$G137+I$5-18)*IF((Census!$F137+I$5)&gt;=Assumptions!$B$11,1,0))*MIN(15/26*Census!$D137*(1+Assumptions!$B$9)^I$5*(INT((Census!$F137+I$5))+IF((Census!$F137+I$5)-INT((Census!$F137+I$5))&gt;0.5,1,0)),Assumptions!$B$10))</f>
        <v>12615.760285442993</v>
      </c>
      <c r="J137" s="30">
        <f>IF(J$5&gt;$B137,0,INDEX(Decrements!$G$6:$G$58,Census!$G137+J$5-18)/INDEX(Decrements!$G$6:$G$58,Census!$G137-17)*(INDEX(Decrements!$D$6:$D$58,Census!$G137+J$5-18)+IF(J$5=$B137,INDEX(Decrements!$F$6:$F$58,Census!$G137+J$5-18),0)+INDEX(Decrements!$E$6:$E$58,Census!$G137+J$5-18)*IF((Census!$F137+J$5)&gt;=Assumptions!$B$11,1,0))*MIN(15/26*Census!$D137*(1+Assumptions!$B$9)^J$5*(INT((Census!$F137+J$5))+IF((Census!$F137+J$5)-INT((Census!$F137+J$5))&gt;0.5,1,0)),Assumptions!$B$10))</f>
        <v>14284.704807575219</v>
      </c>
      <c r="K137" s="30">
        <f>IF(K$5&gt;$B137,0,INDEX(Decrements!$G$6:$G$58,Census!$G137+K$5-18)/INDEX(Decrements!$G$6:$G$58,Census!$G137-17)*(INDEX(Decrements!$D$6:$D$58,Census!$G137+K$5-18)+IF(K$5=$B137,INDEX(Decrements!$F$6:$F$58,Census!$G137+K$5-18),0)+INDEX(Decrements!$E$6:$E$58,Census!$G137+K$5-18)*IF((Census!$F137+K$5)&gt;=Assumptions!$B$11,1,0))*MIN(15/26*Census!$D137*(1+Assumptions!$B$9)^K$5*(INT((Census!$F137+K$5))+IF((Census!$F137+K$5)-INT((Census!$F137+K$5))&gt;0.5,1,0)),Assumptions!$B$10))</f>
        <v>11199.93574599404</v>
      </c>
      <c r="L137" s="30">
        <f>IF(L$5&gt;$B137,0,INDEX(Decrements!$G$6:$G$58,Census!$G137+L$5-18)/INDEX(Decrements!$G$6:$G$58,Census!$G137-17)*(INDEX(Decrements!$D$6:$D$58,Census!$G137+L$5-18)+IF(L$5=$B137,INDEX(Decrements!$F$6:$F$58,Census!$G137+L$5-18),0)+INDEX(Decrements!$E$6:$E$58,Census!$G137+L$5-18)*IF((Census!$F137+L$5)&gt;=Assumptions!$B$11,1,0))*MIN(15/26*Census!$D137*(1+Assumptions!$B$9)^L$5*(INT((Census!$F137+L$5))+IF((Census!$F137+L$5)-INT((Census!$F137+L$5))&gt;0.5,1,0)),Assumptions!$B$10))</f>
        <v>12741.211733078035</v>
      </c>
      <c r="M137" s="30">
        <f>IF(M$5&gt;$B137,0,INDEX(Decrements!$G$6:$G$58,Census!$G137+M$5-18)/INDEX(Decrements!$G$6:$G$58,Census!$G137-17)*(INDEX(Decrements!$D$6:$D$58,Census!$G137+M$5-18)+IF(M$5=$B137,INDEX(Decrements!$F$6:$F$58,Census!$G137+M$5-18),0)+INDEX(Decrements!$E$6:$E$58,Census!$G137+M$5-18)*IF((Census!$F137+M$5)&gt;=Assumptions!$B$11,1,0))*MIN(15/26*Census!$D137*(1+Assumptions!$B$9)^M$5*(INT((Census!$F137+M$5))+IF((Census!$F137+M$5)-INT((Census!$F137+M$5))&gt;0.5,1,0)),Assumptions!$B$10))</f>
        <v>14447.716717365442</v>
      </c>
      <c r="N137" s="30">
        <f>IF(N$5&gt;$B137,0,INDEX(Decrements!$G$6:$G$58,Census!$G137+N$5-18)/INDEX(Decrements!$G$6:$G$58,Census!$G137-17)*(INDEX(Decrements!$D$6:$D$58,Census!$G137+N$5-18)+IF(N$5=$B137,INDEX(Decrements!$F$6:$F$58,Census!$G137+N$5-18),0)+INDEX(Decrements!$E$6:$E$58,Census!$G137+N$5-18)*IF((Census!$F137+N$5)&gt;=Assumptions!$B$11,1,0))*MIN(15/26*Census!$D137*(1+Assumptions!$B$9)^N$5*(INT((Census!$F137+N$5))+IF((Census!$F137+N$5)-INT((Census!$F137+N$5))&gt;0.5,1,0)),Assumptions!$B$10))</f>
        <v>16337.835517934818</v>
      </c>
      <c r="O137" s="30">
        <f>IF(O$5&gt;$B137,0,INDEX(Decrements!$G$6:$G$58,Census!$G137+O$5-18)/INDEX(Decrements!$G$6:$G$58,Census!$G137-17)*(INDEX(Decrements!$D$6:$D$58,Census!$G137+O$5-18)+IF(O$5=$B137,INDEX(Decrements!$F$6:$F$58,Census!$G137+O$5-18),0)+INDEX(Decrements!$E$6:$E$58,Census!$G137+O$5-18)*IF((Census!$F137+O$5)&gt;=Assumptions!$B$11,1,0))*MIN(15/26*Census!$D137*(1+Assumptions!$B$9)^O$5*(INT((Census!$F137+O$5))+IF((Census!$F137+O$5)-INT((Census!$F137+O$5))&gt;0.5,1,0)),Assumptions!$B$10))</f>
        <v>18432.2697290125</v>
      </c>
      <c r="P137" s="30">
        <f>IF(P$5&gt;$B137,0,INDEX(Decrements!$G$6:$G$58,Census!$G137+P$5-18)/INDEX(Decrements!$G$6:$G$58,Census!$G137-17)*(INDEX(Decrements!$D$6:$D$58,Census!$G137+P$5-18)+IF(P$5=$B137,INDEX(Decrements!$F$6:$F$58,Census!$G137+P$5-18),0)+INDEX(Decrements!$E$6:$E$58,Census!$G137+P$5-18)*IF((Census!$F137+P$5)&gt;=Assumptions!$B$11,1,0))*MIN(15/26*Census!$D137*(1+Assumptions!$B$9)^P$5*(INT((Census!$F137+P$5))+IF((Census!$F137+P$5)-INT((Census!$F137+P$5))&gt;0.5,1,0)),Assumptions!$B$10))</f>
        <v>12240.371623546536</v>
      </c>
      <c r="Q137" s="30">
        <f>IF(Q$5&gt;$B137,0,INDEX(Decrements!$G$6:$G$58,Census!$G137+Q$5-18)/INDEX(Decrements!$G$6:$G$58,Census!$G137-17)*(INDEX(Decrements!$D$6:$D$58,Census!$G137+Q$5-18)+IF(Q$5=$B137,INDEX(Decrements!$F$6:$F$58,Census!$G137+Q$5-18),0)+INDEX(Decrements!$E$6:$E$58,Census!$G137+Q$5-18)*IF((Census!$F137+Q$5)&gt;=Assumptions!$B$11,1,0))*MIN(15/26*Census!$D137*(1+Assumptions!$B$9)^Q$5*(INT((Census!$F137+Q$5))+IF((Census!$F137+Q$5)-INT((Census!$F137+Q$5))&gt;0.5,1,0)),Assumptions!$B$10))</f>
        <v>14055.591647781273</v>
      </c>
      <c r="R137" s="30">
        <f>IF(R$5&gt;$B137,0,INDEX(Decrements!$G$6:$G$58,Census!$G137+R$5-18)/INDEX(Decrements!$G$6:$G$58,Census!$G137-17)*(INDEX(Decrements!$D$6:$D$58,Census!$G137+R$5-18)+IF(R$5=$B137,INDEX(Decrements!$F$6:$F$58,Census!$G137+R$5-18),0)+INDEX(Decrements!$E$6:$E$58,Census!$G137+R$5-18)*IF((Census!$F137+R$5)&gt;=Assumptions!$B$11,1,0))*MIN(15/26*Census!$D137*(1+Assumptions!$B$9)^R$5*(INT((Census!$F137+R$5))+IF((Census!$F137+R$5)-INT((Census!$F137+R$5))&gt;0.5,1,0)),Assumptions!$B$10))</f>
        <v>16127.108896529451</v>
      </c>
      <c r="S137" s="30">
        <f>IF(S$5&gt;$B137,0,INDEX(Decrements!$G$6:$G$58,Census!$G137+S$5-18)/INDEX(Decrements!$G$6:$G$58,Census!$G137-17)*(INDEX(Decrements!$D$6:$D$58,Census!$G137+S$5-18)+IF(S$5=$B137,INDEX(Decrements!$F$6:$F$58,Census!$G137+S$5-18),0)+INDEX(Decrements!$E$6:$E$58,Census!$G137+S$5-18)*IF((Census!$F137+S$5)&gt;=Assumptions!$B$11,1,0))*MIN(15/26*Census!$D137*(1+Assumptions!$B$9)^S$5*(INT((Census!$F137+S$5))+IF((Census!$F137+S$5)-INT((Census!$F137+S$5))&gt;0.5,1,0)),Assumptions!$B$10))</f>
        <v>18493.428567465657</v>
      </c>
      <c r="T137" s="30">
        <f>IF(T$5&gt;$B137,0,INDEX(Decrements!$G$6:$G$58,Census!$G137+T$5-18)/INDEX(Decrements!$G$6:$G$58,Census!$G137-17)*(INDEX(Decrements!$D$6:$D$58,Census!$G137+T$5-18)+IF(T$5=$B137,INDEX(Decrements!$F$6:$F$58,Census!$G137+T$5-18),0)+INDEX(Decrements!$E$6:$E$58,Census!$G137+T$5-18)*IF((Census!$F137+T$5)&gt;=Assumptions!$B$11,1,0))*MIN(15/26*Census!$D137*(1+Assumptions!$B$9)^T$5*(INT((Census!$F137+T$5))+IF((Census!$F137+T$5)-INT((Census!$F137+T$5))&gt;0.5,1,0)),Assumptions!$B$10))</f>
        <v>1212111.2928794054</v>
      </c>
      <c r="U137" s="30">
        <f>IF(U$5&gt;$B137,0,INDEX(Decrements!$G$6:$G$58,Census!$G137+U$5-18)/INDEX(Decrements!$G$6:$G$58,Census!$G137-17)*(INDEX(Decrements!$D$6:$D$58,Census!$G137+U$5-18)+IF(U$5=$B137,INDEX(Decrements!$F$6:$F$58,Census!$G137+U$5-18),0)+INDEX(Decrements!$E$6:$E$58,Census!$G137+U$5-18)*IF((Census!$F137+U$5)&gt;=Assumptions!$B$11,1,0))*MIN(15/26*Census!$D137*(1+Assumptions!$B$9)^U$5*(INT((Census!$F137+U$5))+IF((Census!$F137+U$5)-INT((Census!$F137+U$5))&gt;0.5,1,0)),Assumptions!$B$10))</f>
        <v>0</v>
      </c>
      <c r="V137" s="30">
        <f>IF(V$5&gt;$B137,0,INDEX(Decrements!$G$6:$G$58,Census!$G137+V$5-18)/INDEX(Decrements!$G$6:$G$58,Census!$G137-17)*(INDEX(Decrements!$D$6:$D$58,Census!$G137+V$5-18)+IF(V$5=$B137,INDEX(Decrements!$F$6:$F$58,Census!$G137+V$5-18),0)+INDEX(Decrements!$E$6:$E$58,Census!$G137+V$5-18)*IF((Census!$F137+V$5)&gt;=Assumptions!$B$11,1,0))*MIN(15/26*Census!$D137*(1+Assumptions!$B$9)^V$5*(INT((Census!$F137+V$5))+IF((Census!$F137+V$5)-INT((Census!$F137+V$5))&gt;0.5,1,0)),Assumptions!$B$10))</f>
        <v>0</v>
      </c>
      <c r="W137" s="30">
        <f>IF(W$5&gt;$B137,0,INDEX(Decrements!$G$6:$G$58,Census!$G137+W$5-18)/INDEX(Decrements!$G$6:$G$58,Census!$G137-17)*(INDEX(Decrements!$D$6:$D$58,Census!$G137+W$5-18)+IF(W$5=$B137,INDEX(Decrements!$F$6:$F$58,Census!$G137+W$5-18),0)+INDEX(Decrements!$E$6:$E$58,Census!$G137+W$5-18)*IF((Census!$F137+W$5)&gt;=Assumptions!$B$11,1,0))*MIN(15/26*Census!$D137*(1+Assumptions!$B$9)^W$5*(INT((Census!$F137+W$5))+IF((Census!$F137+W$5)-INT((Census!$F137+W$5))&gt;0.5,1,0)),Assumptions!$B$10))</f>
        <v>0</v>
      </c>
      <c r="X137" s="30">
        <f>IF(X$5&gt;$B137,0,INDEX(Decrements!$G$6:$G$58,Census!$G137+X$5-18)/INDEX(Decrements!$G$6:$G$58,Census!$G137-17)*(INDEX(Decrements!$D$6:$D$58,Census!$G137+X$5-18)+IF(X$5=$B137,INDEX(Decrements!$F$6:$F$58,Census!$G137+X$5-18),0)+INDEX(Decrements!$E$6:$E$58,Census!$G137+X$5-18)*IF((Census!$F137+X$5)&gt;=Assumptions!$B$11,1,0))*MIN(15/26*Census!$D137*(1+Assumptions!$B$9)^X$5*(INT((Census!$F137+X$5))+IF((Census!$F137+X$5)-INT((Census!$F137+X$5))&gt;0.5,1,0)),Assumptions!$B$10))</f>
        <v>0</v>
      </c>
      <c r="Y137" s="30">
        <f>IF(Y$5&gt;$B137,0,INDEX(Decrements!$G$6:$G$58,Census!$G137+Y$5-18)/INDEX(Decrements!$G$6:$G$58,Census!$G137-17)*(INDEX(Decrements!$D$6:$D$58,Census!$G137+Y$5-18)+IF(Y$5=$B137,INDEX(Decrements!$F$6:$F$58,Census!$G137+Y$5-18),0)+INDEX(Decrements!$E$6:$E$58,Census!$G137+Y$5-18)*IF((Census!$F137+Y$5)&gt;=Assumptions!$B$11,1,0))*MIN(15/26*Census!$D137*(1+Assumptions!$B$9)^Y$5*(INT((Census!$F137+Y$5))+IF((Census!$F137+Y$5)-INT((Census!$F137+Y$5))&gt;0.5,1,0)),Assumptions!$B$10))</f>
        <v>0</v>
      </c>
      <c r="Z137" s="30">
        <f>IF(Z$5&gt;$B137,0,INDEX(Decrements!$G$6:$G$58,Census!$G137+Z$5-18)/INDEX(Decrements!$G$6:$G$58,Census!$G137-17)*(INDEX(Decrements!$D$6:$D$58,Census!$G137+Z$5-18)+IF(Z$5=$B137,INDEX(Decrements!$F$6:$F$58,Census!$G137+Z$5-18),0)+INDEX(Decrements!$E$6:$E$58,Census!$G137+Z$5-18)*IF((Census!$F137+Z$5)&gt;=Assumptions!$B$11,1,0))*MIN(15/26*Census!$D137*(1+Assumptions!$B$9)^Z$5*(INT((Census!$F137+Z$5))+IF((Census!$F137+Z$5)-INT((Census!$F137+Z$5))&gt;0.5,1,0)),Assumptions!$B$10))</f>
        <v>0</v>
      </c>
      <c r="AA137" s="30">
        <f>IF(AA$5&gt;$B137,0,INDEX(Decrements!$G$6:$G$58,Census!$G137+AA$5-18)/INDEX(Decrements!$G$6:$G$58,Census!$G137-17)*(INDEX(Decrements!$D$6:$D$58,Census!$G137+AA$5-18)+IF(AA$5=$B137,INDEX(Decrements!$F$6:$F$58,Census!$G137+AA$5-18),0)+INDEX(Decrements!$E$6:$E$58,Census!$G137+AA$5-18)*IF((Census!$F137+AA$5)&gt;=Assumptions!$B$11,1,0))*MIN(15/26*Census!$D137*(1+Assumptions!$B$9)^AA$5*(INT((Census!$F137+AA$5))+IF((Census!$F137+AA$5)-INT((Census!$F137+AA$5))&gt;0.5,1,0)),Assumptions!$B$10))</f>
        <v>0</v>
      </c>
      <c r="AB137" s="30">
        <f>IF(AB$5&gt;$B137,0,INDEX(Decrements!$G$6:$G$58,Census!$G137+AB$5-18)/INDEX(Decrements!$G$6:$G$58,Census!$G137-17)*(INDEX(Decrements!$D$6:$D$58,Census!$G137+AB$5-18)+IF(AB$5=$B137,INDEX(Decrements!$F$6:$F$58,Census!$G137+AB$5-18),0)+INDEX(Decrements!$E$6:$E$58,Census!$G137+AB$5-18)*IF((Census!$F137+AB$5)&gt;=Assumptions!$B$11,1,0))*MIN(15/26*Census!$D137*(1+Assumptions!$B$9)^AB$5*(INT((Census!$F137+AB$5))+IF((Census!$F137+AB$5)-INT((Census!$F137+AB$5))&gt;0.5,1,0)),Assumptions!$B$10))</f>
        <v>0</v>
      </c>
      <c r="AC137" s="30">
        <f>IF(AC$5&gt;$B137,0,INDEX(Decrements!$G$6:$G$58,Census!$G137+AC$5-18)/INDEX(Decrements!$G$6:$G$58,Census!$G137-17)*(INDEX(Decrements!$D$6:$D$58,Census!$G137+AC$5-18)+IF(AC$5=$B137,INDEX(Decrements!$F$6:$F$58,Census!$G137+AC$5-18),0)+INDEX(Decrements!$E$6:$E$58,Census!$G137+AC$5-18)*IF((Census!$F137+AC$5)&gt;=Assumptions!$B$11,1,0))*MIN(15/26*Census!$D137*(1+Assumptions!$B$9)^AC$5*(INT((Census!$F137+AC$5))+IF((Census!$F137+AC$5)-INT((Census!$F137+AC$5))&gt;0.5,1,0)),Assumptions!$B$10))</f>
        <v>0</v>
      </c>
      <c r="AD137" s="30">
        <f>IF(AD$5&gt;$B137,0,INDEX(Decrements!$G$6:$G$58,Census!$G137+AD$5-18)/INDEX(Decrements!$G$6:$G$58,Census!$G137-17)*(INDEX(Decrements!$D$6:$D$58,Census!$G137+AD$5-18)+IF(AD$5=$B137,INDEX(Decrements!$F$6:$F$58,Census!$G137+AD$5-18),0)+INDEX(Decrements!$E$6:$E$58,Census!$G137+AD$5-18)*IF((Census!$F137+AD$5)&gt;=Assumptions!$B$11,1,0))*MIN(15/26*Census!$D137*(1+Assumptions!$B$9)^AD$5*(INT((Census!$F137+AD$5))+IF((Census!$F137+AD$5)-INT((Census!$F137+AD$5))&gt;0.5,1,0)),Assumptions!$B$10))</f>
        <v>0</v>
      </c>
      <c r="AE137" s="30">
        <f>IF(AE$5&gt;$B137,0,INDEX(Decrements!$G$6:$G$58,Census!$G137+AE$5-18)/INDEX(Decrements!$G$6:$G$58,Census!$G137-17)*(INDEX(Decrements!$D$6:$D$58,Census!$G137+AE$5-18)+IF(AE$5=$B137,INDEX(Decrements!$F$6:$F$58,Census!$G137+AE$5-18),0)+INDEX(Decrements!$E$6:$E$58,Census!$G137+AE$5-18)*IF((Census!$F137+AE$5)&gt;=Assumptions!$B$11,1,0))*MIN(15/26*Census!$D137*(1+Assumptions!$B$9)^AE$5*(INT((Census!$F137+AE$5))+IF((Census!$F137+AE$5)-INT((Census!$F137+AE$5))&gt;0.5,1,0)),Assumptions!$B$10))</f>
        <v>0</v>
      </c>
      <c r="AF137" s="30">
        <f>IF(AF$5&gt;$B137,0,INDEX(Decrements!$G$6:$G$58,Census!$G137+AF$5-18)/INDEX(Decrements!$G$6:$G$58,Census!$G137-17)*(INDEX(Decrements!$D$6:$D$58,Census!$G137+AF$5-18)+IF(AF$5=$B137,INDEX(Decrements!$F$6:$F$58,Census!$G137+AF$5-18),0)+INDEX(Decrements!$E$6:$E$58,Census!$G137+AF$5-18)*IF((Census!$F137+AF$5)&gt;=Assumptions!$B$11,1,0))*MIN(15/26*Census!$D137*(1+Assumptions!$B$9)^AF$5*(INT((Census!$F137+AF$5))+IF((Census!$F137+AF$5)-INT((Census!$F137+AF$5))&gt;0.5,1,0)),Assumptions!$B$10))</f>
        <v>0</v>
      </c>
      <c r="AG137" s="30">
        <f>IF(AG$5&gt;$B137,0,INDEX(Decrements!$G$6:$G$58,Census!$G137+AG$5-18)/INDEX(Decrements!$G$6:$G$58,Census!$G137-17)*(INDEX(Decrements!$D$6:$D$58,Census!$G137+AG$5-18)+IF(AG$5=$B137,INDEX(Decrements!$F$6:$F$58,Census!$G137+AG$5-18),0)+INDEX(Decrements!$E$6:$E$58,Census!$G137+AG$5-18)*IF((Census!$F137+AG$5)&gt;=Assumptions!$B$11,1,0))*MIN(15/26*Census!$D137*(1+Assumptions!$B$9)^AG$5*(INT((Census!$F137+AG$5))+IF((Census!$F137+AG$5)-INT((Census!$F137+AG$5))&gt;0.5,1,0)),Assumptions!$B$10))</f>
        <v>0</v>
      </c>
      <c r="AH137" s="30">
        <f>IF(AH$5&gt;$B137,0,INDEX(Decrements!$G$6:$G$58,Census!$G137+AH$5-18)/INDEX(Decrements!$G$6:$G$58,Census!$G137-17)*(INDEX(Decrements!$D$6:$D$58,Census!$G137+AH$5-18)+IF(AH$5=$B137,INDEX(Decrements!$F$6:$F$58,Census!$G137+AH$5-18),0)+INDEX(Decrements!$E$6:$E$58,Census!$G137+AH$5-18)*IF((Census!$F137+AH$5)&gt;=Assumptions!$B$11,1,0))*MIN(15/26*Census!$D137*(1+Assumptions!$B$9)^AH$5*(INT((Census!$F137+AH$5))+IF((Census!$F137+AH$5)-INT((Census!$F137+AH$5))&gt;0.5,1,0)),Assumptions!$B$10))</f>
        <v>0</v>
      </c>
      <c r="AI137" s="30">
        <f>IF(AI$5&gt;$B137,0,INDEX(Decrements!$G$6:$G$58,Census!$G137+AI$5-18)/INDEX(Decrements!$G$6:$G$58,Census!$G137-17)*(INDEX(Decrements!$D$6:$D$58,Census!$G137+AI$5-18)+IF(AI$5=$B137,INDEX(Decrements!$F$6:$F$58,Census!$G137+AI$5-18),0)+INDEX(Decrements!$E$6:$E$58,Census!$G137+AI$5-18)*IF((Census!$F137+AI$5)&gt;=Assumptions!$B$11,1,0))*MIN(15/26*Census!$D137*(1+Assumptions!$B$9)^AI$5*(INT((Census!$F137+AI$5))+IF((Census!$F137+AI$5)-INT((Census!$F137+AI$5))&gt;0.5,1,0)),Assumptions!$B$10))</f>
        <v>0</v>
      </c>
      <c r="AJ137" s="30">
        <f>IF(AJ$5&gt;$B137,0,INDEX(Decrements!$G$6:$G$58,Census!$G137+AJ$5-18)/INDEX(Decrements!$G$6:$G$58,Census!$G137-17)*(INDEX(Decrements!$D$6:$D$58,Census!$G137+AJ$5-18)+IF(AJ$5=$B137,INDEX(Decrements!$F$6:$F$58,Census!$G137+AJ$5-18),0)+INDEX(Decrements!$E$6:$E$58,Census!$G137+AJ$5-18)*IF((Census!$F137+AJ$5)&gt;=Assumptions!$B$11,1,0))*MIN(15/26*Census!$D137*(1+Assumptions!$B$9)^AJ$5*(INT((Census!$F137+AJ$5))+IF((Census!$F137+AJ$5)-INT((Census!$F137+AJ$5))&gt;0.5,1,0)),Assumptions!$B$10))</f>
        <v>0</v>
      </c>
      <c r="AK137" s="30">
        <f>IF(AK$5&gt;$B137,0,INDEX(Decrements!$G$6:$G$58,Census!$G137+AK$5-18)/INDEX(Decrements!$G$6:$G$58,Census!$G137-17)*(INDEX(Decrements!$D$6:$D$58,Census!$G137+AK$5-18)+IF(AK$5=$B137,INDEX(Decrements!$F$6:$F$58,Census!$G137+AK$5-18),0)+INDEX(Decrements!$E$6:$E$58,Census!$G137+AK$5-18)*IF((Census!$F137+AK$5)&gt;=Assumptions!$B$11,1,0))*MIN(15/26*Census!$D137*(1+Assumptions!$B$9)^AK$5*(INT((Census!$F137+AK$5))+IF((Census!$F137+AK$5)-INT((Census!$F137+AK$5))&gt;0.5,1,0)),Assumptions!$B$10))</f>
        <v>0</v>
      </c>
      <c r="AL137" s="30">
        <f>IF(AL$5&gt;$B137,0,INDEX(Decrements!$G$6:$G$58,Census!$G137+AL$5-18)/INDEX(Decrements!$G$6:$G$58,Census!$G137-17)*(INDEX(Decrements!$D$6:$D$58,Census!$G137+AL$5-18)+IF(AL$5=$B137,INDEX(Decrements!$F$6:$F$58,Census!$G137+AL$5-18),0)+INDEX(Decrements!$E$6:$E$58,Census!$G137+AL$5-18)*IF((Census!$F137+AL$5)&gt;=Assumptions!$B$11,1,0))*MIN(15/26*Census!$D137*(1+Assumptions!$B$9)^AL$5*(INT((Census!$F137+AL$5))+IF((Census!$F137+AL$5)-INT((Census!$F137+AL$5))&gt;0.5,1,0)),Assumptions!$B$10))</f>
        <v>0</v>
      </c>
      <c r="AM137" s="30">
        <f>IF(AM$5&gt;$B137,0,INDEX(Decrements!$G$6:$G$58,Census!$G137+AM$5-18)/INDEX(Decrements!$G$6:$G$58,Census!$G137-17)*(INDEX(Decrements!$D$6:$D$58,Census!$G137+AM$5-18)+IF(AM$5=$B137,INDEX(Decrements!$F$6:$F$58,Census!$G137+AM$5-18),0)+INDEX(Decrements!$E$6:$E$58,Census!$G137+AM$5-18)*IF((Census!$F137+AM$5)&gt;=Assumptions!$B$11,1,0))*MIN(15/26*Census!$D137*(1+Assumptions!$B$9)^AM$5*(INT((Census!$F137+AM$5))+IF((Census!$F137+AM$5)-INT((Census!$F137+AM$5))&gt;0.5,1,0)),Assumptions!$B$10))</f>
        <v>0</v>
      </c>
      <c r="AN137" s="30">
        <f>IF(AN$5&gt;$B137,0,INDEX(Decrements!$G$6:$G$58,Census!$G137+AN$5-18)/INDEX(Decrements!$G$6:$G$58,Census!$G137-17)*(INDEX(Decrements!$D$6:$D$58,Census!$G137+AN$5-18)+IF(AN$5=$B137,INDEX(Decrements!$F$6:$F$58,Census!$G137+AN$5-18),0)+INDEX(Decrements!$E$6:$E$58,Census!$G137+AN$5-18)*IF((Census!$F137+AN$5)&gt;=Assumptions!$B$11,1,0))*MIN(15/26*Census!$D137*(1+Assumptions!$B$9)^AN$5*(INT((Census!$F137+AN$5))+IF((Census!$F137+AN$5)-INT((Census!$F137+AN$5))&gt;0.5,1,0)),Assumptions!$B$10))</f>
        <v>0</v>
      </c>
      <c r="AO137" s="30">
        <f>IF(AO$5&gt;$B137,0,INDEX(Decrements!$G$6:$G$58,Census!$G137+AO$5-18)/INDEX(Decrements!$G$6:$G$58,Census!$G137-17)*(INDEX(Decrements!$D$6:$D$58,Census!$G137+AO$5-18)+IF(AO$5=$B137,INDEX(Decrements!$F$6:$F$58,Census!$G137+AO$5-18),0)+INDEX(Decrements!$E$6:$E$58,Census!$G137+AO$5-18)*IF((Census!$F137+AO$5)&gt;=Assumptions!$B$11,1,0))*MIN(15/26*Census!$D137*(1+Assumptions!$B$9)^AO$5*(INT((Census!$F137+AO$5))+IF((Census!$F137+AO$5)-INT((Census!$F137+AO$5))&gt;0.5,1,0)),Assumptions!$B$10))</f>
        <v>0</v>
      </c>
      <c r="AP137" s="30">
        <f>IF(AP$5&gt;$B137,0,INDEX(Decrements!$G$6:$G$58,Census!$G137+AP$5-18)/INDEX(Decrements!$G$6:$G$58,Census!$G137-17)*(INDEX(Decrements!$D$6:$D$58,Census!$G137+AP$5-18)+IF(AP$5=$B137,INDEX(Decrements!$F$6:$F$58,Census!$G137+AP$5-18),0)+INDEX(Decrements!$E$6:$E$58,Census!$G137+AP$5-18)*IF((Census!$F137+AP$5)&gt;=Assumptions!$B$11,1,0))*MIN(15/26*Census!$D137*(1+Assumptions!$B$9)^AP$5*(INT((Census!$F137+AP$5))+IF((Census!$F137+AP$5)-INT((Census!$F137+AP$5))&gt;0.5,1,0)),Assumptions!$B$10))</f>
        <v>0</v>
      </c>
      <c r="AQ137" s="30">
        <f>IF(AQ$5&gt;$B137,0,INDEX(Decrements!$G$6:$G$58,Census!$G137+AQ$5-18)/INDEX(Decrements!$G$6:$G$58,Census!$G137-17)*(INDEX(Decrements!$D$6:$D$58,Census!$G137+AQ$5-18)+IF(AQ$5=$B137,INDEX(Decrements!$F$6:$F$58,Census!$G137+AQ$5-18),0)+INDEX(Decrements!$E$6:$E$58,Census!$G137+AQ$5-18)*IF((Census!$F137+AQ$5)&gt;=Assumptions!$B$11,1,0))*MIN(15/26*Census!$D137*(1+Assumptions!$B$9)^AQ$5*(INT((Census!$F137+AQ$5))+IF((Census!$F137+AQ$5)-INT((Census!$F137+AQ$5))&gt;0.5,1,0)),Assumptions!$B$10))</f>
        <v>0</v>
      </c>
      <c r="AR137" s="30">
        <f>IF(AR$5&gt;$B137,0,INDEX(Decrements!$G$6:$G$58,Census!$G137+AR$5-18)/INDEX(Decrements!$G$6:$G$58,Census!$G137-17)*(INDEX(Decrements!$D$6:$D$58,Census!$G137+AR$5-18)+IF(AR$5=$B137,INDEX(Decrements!$F$6:$F$58,Census!$G137+AR$5-18),0)+INDEX(Decrements!$E$6:$E$58,Census!$G137+AR$5-18)*IF((Census!$F137+AR$5)&gt;=Assumptions!$B$11,1,0))*MIN(15/26*Census!$D137*(1+Assumptions!$B$9)^AR$5*(INT((Census!$F137+AR$5))+IF((Census!$F137+AR$5)-INT((Census!$F137+AR$5))&gt;0.5,1,0)),Assumptions!$B$10))</f>
        <v>0</v>
      </c>
      <c r="AS137" s="30">
        <f>IF(AS$5&gt;$B137,0,INDEX(Decrements!$G$6:$G$58,Census!$G137+AS$5-18)/INDEX(Decrements!$G$6:$G$58,Census!$G137-17)*(INDEX(Decrements!$D$6:$D$58,Census!$G137+AS$5-18)+IF(AS$5=$B137,INDEX(Decrements!$F$6:$F$58,Census!$G137+AS$5-18),0)+INDEX(Decrements!$E$6:$E$58,Census!$G137+AS$5-18)*IF((Census!$F137+AS$5)&gt;=Assumptions!$B$11,1,0))*MIN(15/26*Census!$D137*(1+Assumptions!$B$9)^AS$5*(INT((Census!$F137+AS$5))+IF((Census!$F137+AS$5)-INT((Census!$F137+AS$5))&gt;0.5,1,0)),Assumptions!$B$10))</f>
        <v>0</v>
      </c>
      <c r="AT137" s="30">
        <f>IF(AT$5&gt;$B137,0,INDEX(Decrements!$G$6:$G$58,Census!$G137+AT$5-18)/INDEX(Decrements!$G$6:$G$58,Census!$G137-17)*(INDEX(Decrements!$D$6:$D$58,Census!$G137+AT$5-18)+IF(AT$5=$B137,INDEX(Decrements!$F$6:$F$58,Census!$G137+AT$5-18),0)+INDEX(Decrements!$E$6:$E$58,Census!$G137+AT$5-18)*IF((Census!$F137+AT$5)&gt;=Assumptions!$B$11,1,0))*MIN(15/26*Census!$D137*(1+Assumptions!$B$9)^AT$5*(INT((Census!$F137+AT$5))+IF((Census!$F137+AT$5)-INT((Census!$F137+AT$5))&gt;0.5,1,0)),Assumptions!$B$10))</f>
        <v>0</v>
      </c>
      <c r="AU137" s="30">
        <f>IF(AU$5&gt;$B137,0,INDEX(Decrements!$G$6:$G$58,Census!$G137+AU$5-18)/INDEX(Decrements!$G$6:$G$58,Census!$G137-17)*(INDEX(Decrements!$D$6:$D$58,Census!$G137+AU$5-18)+IF(AU$5=$B137,INDEX(Decrements!$F$6:$F$58,Census!$G137+AU$5-18),0)+INDEX(Decrements!$E$6:$E$58,Census!$G137+AU$5-18)*IF((Census!$F137+AU$5)&gt;=Assumptions!$B$11,1,0))*MIN(15/26*Census!$D137*(1+Assumptions!$B$9)^AU$5*(INT((Census!$F137+AU$5))+IF((Census!$F137+AU$5)-INT((Census!$F137+AU$5))&gt;0.5,1,0)),Assumptions!$B$10))</f>
        <v>0</v>
      </c>
    </row>
    <row r="138" spans="1:47" x14ac:dyDescent="0.3">
      <c r="A138" s="10" t="str">
        <f>Census!A138</f>
        <v>E133</v>
      </c>
      <c r="B138" s="29">
        <f>Census!H138</f>
        <v>18</v>
      </c>
      <c r="C138" s="30">
        <f>IF(C$5&gt;$B138,0,INDEX(Decrements!$G$6:$G$58,Census!$G138+C$5-18)/INDEX(Decrements!$G$6:$G$58,Census!$G138-17)*(INDEX(Decrements!$D$6:$D$58,Census!$G138+C$5-18)+IF(C$5=$B138,INDEX(Decrements!$F$6:$F$58,Census!$G138+C$5-18),0)+INDEX(Decrements!$E$6:$E$58,Census!$G138+C$5-18)*IF((Census!$F138+C$5)&gt;=Assumptions!$B$11,1,0))*MIN(15/26*Census!$D138*(1+Assumptions!$B$9)^C$5*(INT((Census!$F138+C$5))+IF((Census!$F138+C$5)-INT((Census!$F138+C$5))&gt;0.5,1,0)),Assumptions!$B$10))</f>
        <v>54070.22984263493</v>
      </c>
      <c r="D138" s="30">
        <f>IF(D$5&gt;$B138,0,INDEX(Decrements!$G$6:$G$58,Census!$G138+D$5-18)/INDEX(Decrements!$G$6:$G$58,Census!$G138-17)*(INDEX(Decrements!$D$6:$D$58,Census!$G138+D$5-18)+IF(D$5=$B138,INDEX(Decrements!$F$6:$F$58,Census!$G138+D$5-18),0)+INDEX(Decrements!$E$6:$E$58,Census!$G138+D$5-18)*IF((Census!$F138+D$5)&gt;=Assumptions!$B$11,1,0))*MIN(15/26*Census!$D138*(1+Assumptions!$B$9)^D$5*(INT((Census!$F138+D$5))+IF((Census!$F138+D$5)-INT((Census!$F138+D$5))&gt;0.5,1,0)),Assumptions!$B$10))</f>
        <v>58282.85044333007</v>
      </c>
      <c r="E138" s="30">
        <f>IF(E$5&gt;$B138,0,INDEX(Decrements!$G$6:$G$58,Census!$G138+E$5-18)/INDEX(Decrements!$G$6:$G$58,Census!$G138-17)*(INDEX(Decrements!$D$6:$D$58,Census!$G138+E$5-18)+IF(E$5=$B138,INDEX(Decrements!$F$6:$F$58,Census!$G138+E$5-18),0)+INDEX(Decrements!$E$6:$E$58,Census!$G138+E$5-18)*IF((Census!$F138+E$5)&gt;=Assumptions!$B$11,1,0))*MIN(15/26*Census!$D138*(1+Assumptions!$B$9)^E$5*(INT((Census!$F138+E$5))+IF((Census!$F138+E$5)-INT((Census!$F138+E$5))&gt;0.5,1,0)),Assumptions!$B$10))</f>
        <v>62686.935594596784</v>
      </c>
      <c r="F138" s="30">
        <f>IF(F$5&gt;$B138,0,INDEX(Decrements!$G$6:$G$58,Census!$G138+F$5-18)/INDEX(Decrements!$G$6:$G$58,Census!$G138-17)*(INDEX(Decrements!$D$6:$D$58,Census!$G138+F$5-18)+IF(F$5=$B138,INDEX(Decrements!$F$6:$F$58,Census!$G138+F$5-18),0)+INDEX(Decrements!$E$6:$E$58,Census!$G138+F$5-18)*IF((Census!$F138+F$5)&gt;=Assumptions!$B$11,1,0))*MIN(15/26*Census!$D138*(1+Assumptions!$B$9)^F$5*(INT((Census!$F138+F$5))+IF((Census!$F138+F$5)-INT((Census!$F138+F$5))&gt;0.5,1,0)),Assumptions!$B$10))</f>
        <v>41375.77123720575</v>
      </c>
      <c r="G138" s="30">
        <f>IF(G$5&gt;$B138,0,INDEX(Decrements!$G$6:$G$58,Census!$G138+G$5-18)/INDEX(Decrements!$G$6:$G$58,Census!$G138-17)*(INDEX(Decrements!$D$6:$D$58,Census!$G138+G$5-18)+IF(G$5=$B138,INDEX(Decrements!$F$6:$F$58,Census!$G138+G$5-18),0)+INDEX(Decrements!$E$6:$E$58,Census!$G138+G$5-18)*IF((Census!$F138+G$5)&gt;=Assumptions!$B$11,1,0))*MIN(15/26*Census!$D138*(1+Assumptions!$B$9)^G$5*(INT((Census!$F138+G$5))+IF((Census!$F138+G$5)-INT((Census!$F138+G$5))&gt;0.5,1,0)),Assumptions!$B$10))</f>
        <v>45352.379733812741</v>
      </c>
      <c r="H138" s="30">
        <f>IF(H$5&gt;$B138,0,INDEX(Decrements!$G$6:$G$58,Census!$G138+H$5-18)/INDEX(Decrements!$G$6:$G$58,Census!$G138-17)*(INDEX(Decrements!$D$6:$D$58,Census!$G138+H$5-18)+IF(H$5=$B138,INDEX(Decrements!$F$6:$F$58,Census!$G138+H$5-18),0)+INDEX(Decrements!$E$6:$E$58,Census!$G138+H$5-18)*IF((Census!$F138+H$5)&gt;=Assumptions!$B$11,1,0))*MIN(15/26*Census!$D138*(1+Assumptions!$B$9)^H$5*(INT((Census!$F138+H$5))+IF((Census!$F138+H$5)-INT((Census!$F138+H$5))&gt;0.5,1,0)),Assumptions!$B$10))</f>
        <v>49639.022705737516</v>
      </c>
      <c r="I138" s="30">
        <f>IF(I$5&gt;$B138,0,INDEX(Decrements!$G$6:$G$58,Census!$G138+I$5-18)/INDEX(Decrements!$G$6:$G$58,Census!$G138-17)*(INDEX(Decrements!$D$6:$D$58,Census!$G138+I$5-18)+IF(I$5=$B138,INDEX(Decrements!$F$6:$F$58,Census!$G138+I$5-18),0)+INDEX(Decrements!$E$6:$E$58,Census!$G138+I$5-18)*IF((Census!$F138+I$5)&gt;=Assumptions!$B$11,1,0))*MIN(15/26*Census!$D138*(1+Assumptions!$B$9)^I$5*(INT((Census!$F138+I$5))+IF((Census!$F138+I$5)-INT((Census!$F138+I$5))&gt;0.5,1,0)),Assumptions!$B$10))</f>
        <v>50076.020105343283</v>
      </c>
      <c r="J138" s="30">
        <f>IF(J$5&gt;$B138,0,INDEX(Decrements!$G$6:$G$58,Census!$G138+J$5-18)/INDEX(Decrements!$G$6:$G$58,Census!$G138-17)*(INDEX(Decrements!$D$6:$D$58,Census!$G138+J$5-18)+IF(J$5=$B138,INDEX(Decrements!$F$6:$F$58,Census!$G138+J$5-18),0)+INDEX(Decrements!$E$6:$E$58,Census!$G138+J$5-18)*IF((Census!$F138+J$5)&gt;=Assumptions!$B$11,1,0))*MIN(15/26*Census!$D138*(1+Assumptions!$B$9)^J$5*(INT((Census!$F138+J$5))+IF((Census!$F138+J$5)-INT((Census!$F138+J$5))&gt;0.5,1,0)),Assumptions!$B$10))</f>
        <v>48750.515021269573</v>
      </c>
      <c r="K138" s="30">
        <f>IF(K$5&gt;$B138,0,INDEX(Decrements!$G$6:$G$58,Census!$G138+K$5-18)/INDEX(Decrements!$G$6:$G$58,Census!$G138-17)*(INDEX(Decrements!$D$6:$D$58,Census!$G138+K$5-18)+IF(K$5=$B138,INDEX(Decrements!$F$6:$F$58,Census!$G138+K$5-18),0)+INDEX(Decrements!$E$6:$E$58,Census!$G138+K$5-18)*IF((Census!$F138+K$5)&gt;=Assumptions!$B$11,1,0))*MIN(15/26*Census!$D138*(1+Assumptions!$B$9)^K$5*(INT((Census!$F138+K$5))+IF((Census!$F138+K$5)-INT((Census!$F138+K$5))&gt;0.5,1,0)),Assumptions!$B$10))</f>
        <v>33032.123245051669</v>
      </c>
      <c r="L138" s="30">
        <f>IF(L$5&gt;$B138,0,INDEX(Decrements!$G$6:$G$58,Census!$G138+L$5-18)/INDEX(Decrements!$G$6:$G$58,Census!$G138-17)*(INDEX(Decrements!$D$6:$D$58,Census!$G138+L$5-18)+IF(L$5=$B138,INDEX(Decrements!$F$6:$F$58,Census!$G138+L$5-18),0)+INDEX(Decrements!$E$6:$E$58,Census!$G138+L$5-18)*IF((Census!$F138+L$5)&gt;=Assumptions!$B$11,1,0))*MIN(15/26*Census!$D138*(1+Assumptions!$B$9)^L$5*(INT((Census!$F138+L$5))+IF((Census!$F138+L$5)-INT((Census!$F138+L$5))&gt;0.5,1,0)),Assumptions!$B$10))</f>
        <v>32619.643692988502</v>
      </c>
      <c r="M138" s="30">
        <f>IF(M$5&gt;$B138,0,INDEX(Decrements!$G$6:$G$58,Census!$G138+M$5-18)/INDEX(Decrements!$G$6:$G$58,Census!$G138-17)*(INDEX(Decrements!$D$6:$D$58,Census!$G138+M$5-18)+IF(M$5=$B138,INDEX(Decrements!$F$6:$F$58,Census!$G138+M$5-18),0)+INDEX(Decrements!$E$6:$E$58,Census!$G138+M$5-18)*IF((Census!$F138+M$5)&gt;=Assumptions!$B$11,1,0))*MIN(15/26*Census!$D138*(1+Assumptions!$B$9)^M$5*(INT((Census!$F138+M$5))+IF((Census!$F138+M$5)-INT((Census!$F138+M$5))&gt;0.5,1,0)),Assumptions!$B$10))</f>
        <v>32234.05951835799</v>
      </c>
      <c r="N138" s="30">
        <f>IF(N$5&gt;$B138,0,INDEX(Decrements!$G$6:$G$58,Census!$G138+N$5-18)/INDEX(Decrements!$G$6:$G$58,Census!$G138-17)*(INDEX(Decrements!$D$6:$D$58,Census!$G138+N$5-18)+IF(N$5=$B138,INDEX(Decrements!$F$6:$F$58,Census!$G138+N$5-18),0)+INDEX(Decrements!$E$6:$E$58,Census!$G138+N$5-18)*IF((Census!$F138+N$5)&gt;=Assumptions!$B$11,1,0))*MIN(15/26*Census!$D138*(1+Assumptions!$B$9)^N$5*(INT((Census!$F138+N$5))+IF((Census!$F138+N$5)-INT((Census!$F138+N$5))&gt;0.5,1,0)),Assumptions!$B$10))</f>
        <v>31875.937459815548</v>
      </c>
      <c r="O138" s="30">
        <f>IF(O$5&gt;$B138,0,INDEX(Decrements!$G$6:$G$58,Census!$G138+O$5-18)/INDEX(Decrements!$G$6:$G$58,Census!$G138-17)*(INDEX(Decrements!$D$6:$D$58,Census!$G138+O$5-18)+IF(O$5=$B138,INDEX(Decrements!$F$6:$F$58,Census!$G138+O$5-18),0)+INDEX(Decrements!$E$6:$E$58,Census!$G138+O$5-18)*IF((Census!$F138+O$5)&gt;=Assumptions!$B$11,1,0))*MIN(15/26*Census!$D138*(1+Assumptions!$B$9)^O$5*(INT((Census!$F138+O$5))+IF((Census!$F138+O$5)-INT((Census!$F138+O$5))&gt;0.5,1,0)),Assumptions!$B$10))</f>
        <v>31545.862958336133</v>
      </c>
      <c r="P138" s="30">
        <f>IF(P$5&gt;$B138,0,INDEX(Decrements!$G$6:$G$58,Census!$G138+P$5-18)/INDEX(Decrements!$G$6:$G$58,Census!$G138-17)*(INDEX(Decrements!$D$6:$D$58,Census!$G138+P$5-18)+IF(P$5=$B138,INDEX(Decrements!$F$6:$F$58,Census!$G138+P$5-18),0)+INDEX(Decrements!$E$6:$E$58,Census!$G138+P$5-18)*IF((Census!$F138+P$5)&gt;=Assumptions!$B$11,1,0))*MIN(15/26*Census!$D138*(1+Assumptions!$B$9)^P$5*(INT((Census!$F138+P$5))+IF((Census!$F138+P$5)-INT((Census!$F138+P$5))&gt;0.5,1,0)),Assumptions!$B$10))</f>
        <v>18427.144797660425</v>
      </c>
      <c r="Q138" s="30">
        <f>IF(Q$5&gt;$B138,0,INDEX(Decrements!$G$6:$G$58,Census!$G138+Q$5-18)/INDEX(Decrements!$G$6:$G$58,Census!$G138-17)*(INDEX(Decrements!$D$6:$D$58,Census!$G138+Q$5-18)+IF(Q$5=$B138,INDEX(Decrements!$F$6:$F$58,Census!$G138+Q$5-18),0)+INDEX(Decrements!$E$6:$E$58,Census!$G138+Q$5-18)*IF((Census!$F138+Q$5)&gt;=Assumptions!$B$11,1,0))*MIN(15/26*Census!$D138*(1+Assumptions!$B$9)^Q$5*(INT((Census!$F138+Q$5))+IF((Census!$F138+Q$5)-INT((Census!$F138+Q$5))&gt;0.5,1,0)),Assumptions!$B$10))</f>
        <v>18659.479358458564</v>
      </c>
      <c r="R138" s="30">
        <f>IF(R$5&gt;$B138,0,INDEX(Decrements!$G$6:$G$58,Census!$G138+R$5-18)/INDEX(Decrements!$G$6:$G$58,Census!$G138-17)*(INDEX(Decrements!$D$6:$D$58,Census!$G138+R$5-18)+IF(R$5=$B138,INDEX(Decrements!$F$6:$F$58,Census!$G138+R$5-18),0)+INDEX(Decrements!$E$6:$E$58,Census!$G138+R$5-18)*IF((Census!$F138+R$5)&gt;=Assumptions!$B$11,1,0))*MIN(15/26*Census!$D138*(1+Assumptions!$B$9)^R$5*(INT((Census!$F138+R$5))+IF((Census!$F138+R$5)-INT((Census!$F138+R$5))&gt;0.5,1,0)),Assumptions!$B$10))</f>
        <v>18922.554616820908</v>
      </c>
      <c r="S138" s="30">
        <f>IF(S$5&gt;$B138,0,INDEX(Decrements!$G$6:$G$58,Census!$G138+S$5-18)/INDEX(Decrements!$G$6:$G$58,Census!$G138-17)*(INDEX(Decrements!$D$6:$D$58,Census!$G138+S$5-18)+IF(S$5=$B138,INDEX(Decrements!$F$6:$F$58,Census!$G138+S$5-18),0)+INDEX(Decrements!$E$6:$E$58,Census!$G138+S$5-18)*IF((Census!$F138+S$5)&gt;=Assumptions!$B$11,1,0))*MIN(15/26*Census!$D138*(1+Assumptions!$B$9)^S$5*(INT((Census!$F138+S$5))+IF((Census!$F138+S$5)-INT((Census!$F138+S$5))&gt;0.5,1,0)),Assumptions!$B$10))</f>
        <v>19218.15856795814</v>
      </c>
      <c r="T138" s="30">
        <f>IF(T$5&gt;$B138,0,INDEX(Decrements!$G$6:$G$58,Census!$G138+T$5-18)/INDEX(Decrements!$G$6:$G$58,Census!$G138-17)*(INDEX(Decrements!$D$6:$D$58,Census!$G138+T$5-18)+IF(T$5=$B138,INDEX(Decrements!$F$6:$F$58,Census!$G138+T$5-18),0)+INDEX(Decrements!$E$6:$E$58,Census!$G138+T$5-18)*IF((Census!$F138+T$5)&gt;=Assumptions!$B$11,1,0))*MIN(15/26*Census!$D138*(1+Assumptions!$B$9)^T$5*(INT((Census!$F138+T$5))+IF((Census!$F138+T$5)-INT((Census!$F138+T$5))&gt;0.5,1,0)),Assumptions!$B$10))</f>
        <v>1212111.2928794054</v>
      </c>
      <c r="U138" s="30">
        <f>IF(U$5&gt;$B138,0,INDEX(Decrements!$G$6:$G$58,Census!$G138+U$5-18)/INDEX(Decrements!$G$6:$G$58,Census!$G138-17)*(INDEX(Decrements!$D$6:$D$58,Census!$G138+U$5-18)+IF(U$5=$B138,INDEX(Decrements!$F$6:$F$58,Census!$G138+U$5-18),0)+INDEX(Decrements!$E$6:$E$58,Census!$G138+U$5-18)*IF((Census!$F138+U$5)&gt;=Assumptions!$B$11,1,0))*MIN(15/26*Census!$D138*(1+Assumptions!$B$9)^U$5*(INT((Census!$F138+U$5))+IF((Census!$F138+U$5)-INT((Census!$F138+U$5))&gt;0.5,1,0)),Assumptions!$B$10))</f>
        <v>0</v>
      </c>
      <c r="V138" s="30">
        <f>IF(V$5&gt;$B138,0,INDEX(Decrements!$G$6:$G$58,Census!$G138+V$5-18)/INDEX(Decrements!$G$6:$G$58,Census!$G138-17)*(INDEX(Decrements!$D$6:$D$58,Census!$G138+V$5-18)+IF(V$5=$B138,INDEX(Decrements!$F$6:$F$58,Census!$G138+V$5-18),0)+INDEX(Decrements!$E$6:$E$58,Census!$G138+V$5-18)*IF((Census!$F138+V$5)&gt;=Assumptions!$B$11,1,0))*MIN(15/26*Census!$D138*(1+Assumptions!$B$9)^V$5*(INT((Census!$F138+V$5))+IF((Census!$F138+V$5)-INT((Census!$F138+V$5))&gt;0.5,1,0)),Assumptions!$B$10))</f>
        <v>0</v>
      </c>
      <c r="W138" s="30">
        <f>IF(W$5&gt;$B138,0,INDEX(Decrements!$G$6:$G$58,Census!$G138+W$5-18)/INDEX(Decrements!$G$6:$G$58,Census!$G138-17)*(INDEX(Decrements!$D$6:$D$58,Census!$G138+W$5-18)+IF(W$5=$B138,INDEX(Decrements!$F$6:$F$58,Census!$G138+W$5-18),0)+INDEX(Decrements!$E$6:$E$58,Census!$G138+W$5-18)*IF((Census!$F138+W$5)&gt;=Assumptions!$B$11,1,0))*MIN(15/26*Census!$D138*(1+Assumptions!$B$9)^W$5*(INT((Census!$F138+W$5))+IF((Census!$F138+W$5)-INT((Census!$F138+W$5))&gt;0.5,1,0)),Assumptions!$B$10))</f>
        <v>0</v>
      </c>
      <c r="X138" s="30">
        <f>IF(X$5&gt;$B138,0,INDEX(Decrements!$G$6:$G$58,Census!$G138+X$5-18)/INDEX(Decrements!$G$6:$G$58,Census!$G138-17)*(INDEX(Decrements!$D$6:$D$58,Census!$G138+X$5-18)+IF(X$5=$B138,INDEX(Decrements!$F$6:$F$58,Census!$G138+X$5-18),0)+INDEX(Decrements!$E$6:$E$58,Census!$G138+X$5-18)*IF((Census!$F138+X$5)&gt;=Assumptions!$B$11,1,0))*MIN(15/26*Census!$D138*(1+Assumptions!$B$9)^X$5*(INT((Census!$F138+X$5))+IF((Census!$F138+X$5)-INT((Census!$F138+X$5))&gt;0.5,1,0)),Assumptions!$B$10))</f>
        <v>0</v>
      </c>
      <c r="Y138" s="30">
        <f>IF(Y$5&gt;$B138,0,INDEX(Decrements!$G$6:$G$58,Census!$G138+Y$5-18)/INDEX(Decrements!$G$6:$G$58,Census!$G138-17)*(INDEX(Decrements!$D$6:$D$58,Census!$G138+Y$5-18)+IF(Y$5=$B138,INDEX(Decrements!$F$6:$F$58,Census!$G138+Y$5-18),0)+INDEX(Decrements!$E$6:$E$58,Census!$G138+Y$5-18)*IF((Census!$F138+Y$5)&gt;=Assumptions!$B$11,1,0))*MIN(15/26*Census!$D138*(1+Assumptions!$B$9)^Y$5*(INT((Census!$F138+Y$5))+IF((Census!$F138+Y$5)-INT((Census!$F138+Y$5))&gt;0.5,1,0)),Assumptions!$B$10))</f>
        <v>0</v>
      </c>
      <c r="Z138" s="30">
        <f>IF(Z$5&gt;$B138,0,INDEX(Decrements!$G$6:$G$58,Census!$G138+Z$5-18)/INDEX(Decrements!$G$6:$G$58,Census!$G138-17)*(INDEX(Decrements!$D$6:$D$58,Census!$G138+Z$5-18)+IF(Z$5=$B138,INDEX(Decrements!$F$6:$F$58,Census!$G138+Z$5-18),0)+INDEX(Decrements!$E$6:$E$58,Census!$G138+Z$5-18)*IF((Census!$F138+Z$5)&gt;=Assumptions!$B$11,1,0))*MIN(15/26*Census!$D138*(1+Assumptions!$B$9)^Z$5*(INT((Census!$F138+Z$5))+IF((Census!$F138+Z$5)-INT((Census!$F138+Z$5))&gt;0.5,1,0)),Assumptions!$B$10))</f>
        <v>0</v>
      </c>
      <c r="AA138" s="30">
        <f>IF(AA$5&gt;$B138,0,INDEX(Decrements!$G$6:$G$58,Census!$G138+AA$5-18)/INDEX(Decrements!$G$6:$G$58,Census!$G138-17)*(INDEX(Decrements!$D$6:$D$58,Census!$G138+AA$5-18)+IF(AA$5=$B138,INDEX(Decrements!$F$6:$F$58,Census!$G138+AA$5-18),0)+INDEX(Decrements!$E$6:$E$58,Census!$G138+AA$5-18)*IF((Census!$F138+AA$5)&gt;=Assumptions!$B$11,1,0))*MIN(15/26*Census!$D138*(1+Assumptions!$B$9)^AA$5*(INT((Census!$F138+AA$5))+IF((Census!$F138+AA$5)-INT((Census!$F138+AA$5))&gt;0.5,1,0)),Assumptions!$B$10))</f>
        <v>0</v>
      </c>
      <c r="AB138" s="30">
        <f>IF(AB$5&gt;$B138,0,INDEX(Decrements!$G$6:$G$58,Census!$G138+AB$5-18)/INDEX(Decrements!$G$6:$G$58,Census!$G138-17)*(INDEX(Decrements!$D$6:$D$58,Census!$G138+AB$5-18)+IF(AB$5=$B138,INDEX(Decrements!$F$6:$F$58,Census!$G138+AB$5-18),0)+INDEX(Decrements!$E$6:$E$58,Census!$G138+AB$5-18)*IF((Census!$F138+AB$5)&gt;=Assumptions!$B$11,1,0))*MIN(15/26*Census!$D138*(1+Assumptions!$B$9)^AB$5*(INT((Census!$F138+AB$5))+IF((Census!$F138+AB$5)-INT((Census!$F138+AB$5))&gt;0.5,1,0)),Assumptions!$B$10))</f>
        <v>0</v>
      </c>
      <c r="AC138" s="30">
        <f>IF(AC$5&gt;$B138,0,INDEX(Decrements!$G$6:$G$58,Census!$G138+AC$5-18)/INDEX(Decrements!$G$6:$G$58,Census!$G138-17)*(INDEX(Decrements!$D$6:$D$58,Census!$G138+AC$5-18)+IF(AC$5=$B138,INDEX(Decrements!$F$6:$F$58,Census!$G138+AC$5-18),0)+INDEX(Decrements!$E$6:$E$58,Census!$G138+AC$5-18)*IF((Census!$F138+AC$5)&gt;=Assumptions!$B$11,1,0))*MIN(15/26*Census!$D138*(1+Assumptions!$B$9)^AC$5*(INT((Census!$F138+AC$5))+IF((Census!$F138+AC$5)-INT((Census!$F138+AC$5))&gt;0.5,1,0)),Assumptions!$B$10))</f>
        <v>0</v>
      </c>
      <c r="AD138" s="30">
        <f>IF(AD$5&gt;$B138,0,INDEX(Decrements!$G$6:$G$58,Census!$G138+AD$5-18)/INDEX(Decrements!$G$6:$G$58,Census!$G138-17)*(INDEX(Decrements!$D$6:$D$58,Census!$G138+AD$5-18)+IF(AD$5=$B138,INDEX(Decrements!$F$6:$F$58,Census!$G138+AD$5-18),0)+INDEX(Decrements!$E$6:$E$58,Census!$G138+AD$5-18)*IF((Census!$F138+AD$5)&gt;=Assumptions!$B$11,1,0))*MIN(15/26*Census!$D138*(1+Assumptions!$B$9)^AD$5*(INT((Census!$F138+AD$5))+IF((Census!$F138+AD$5)-INT((Census!$F138+AD$5))&gt;0.5,1,0)),Assumptions!$B$10))</f>
        <v>0</v>
      </c>
      <c r="AE138" s="30">
        <f>IF(AE$5&gt;$B138,0,INDEX(Decrements!$G$6:$G$58,Census!$G138+AE$5-18)/INDEX(Decrements!$G$6:$G$58,Census!$G138-17)*(INDEX(Decrements!$D$6:$D$58,Census!$G138+AE$5-18)+IF(AE$5=$B138,INDEX(Decrements!$F$6:$F$58,Census!$G138+AE$5-18),0)+INDEX(Decrements!$E$6:$E$58,Census!$G138+AE$5-18)*IF((Census!$F138+AE$5)&gt;=Assumptions!$B$11,1,0))*MIN(15/26*Census!$D138*(1+Assumptions!$B$9)^AE$5*(INT((Census!$F138+AE$5))+IF((Census!$F138+AE$5)-INT((Census!$F138+AE$5))&gt;0.5,1,0)),Assumptions!$B$10))</f>
        <v>0</v>
      </c>
      <c r="AF138" s="30">
        <f>IF(AF$5&gt;$B138,0,INDEX(Decrements!$G$6:$G$58,Census!$G138+AF$5-18)/INDEX(Decrements!$G$6:$G$58,Census!$G138-17)*(INDEX(Decrements!$D$6:$D$58,Census!$G138+AF$5-18)+IF(AF$5=$B138,INDEX(Decrements!$F$6:$F$58,Census!$G138+AF$5-18),0)+INDEX(Decrements!$E$6:$E$58,Census!$G138+AF$5-18)*IF((Census!$F138+AF$5)&gt;=Assumptions!$B$11,1,0))*MIN(15/26*Census!$D138*(1+Assumptions!$B$9)^AF$5*(INT((Census!$F138+AF$5))+IF((Census!$F138+AF$5)-INT((Census!$F138+AF$5))&gt;0.5,1,0)),Assumptions!$B$10))</f>
        <v>0</v>
      </c>
      <c r="AG138" s="30">
        <f>IF(AG$5&gt;$B138,0,INDEX(Decrements!$G$6:$G$58,Census!$G138+AG$5-18)/INDEX(Decrements!$G$6:$G$58,Census!$G138-17)*(INDEX(Decrements!$D$6:$D$58,Census!$G138+AG$5-18)+IF(AG$5=$B138,INDEX(Decrements!$F$6:$F$58,Census!$G138+AG$5-18),0)+INDEX(Decrements!$E$6:$E$58,Census!$G138+AG$5-18)*IF((Census!$F138+AG$5)&gt;=Assumptions!$B$11,1,0))*MIN(15/26*Census!$D138*(1+Assumptions!$B$9)^AG$5*(INT((Census!$F138+AG$5))+IF((Census!$F138+AG$5)-INT((Census!$F138+AG$5))&gt;0.5,1,0)),Assumptions!$B$10))</f>
        <v>0</v>
      </c>
      <c r="AH138" s="30">
        <f>IF(AH$5&gt;$B138,0,INDEX(Decrements!$G$6:$G$58,Census!$G138+AH$5-18)/INDEX(Decrements!$G$6:$G$58,Census!$G138-17)*(INDEX(Decrements!$D$6:$D$58,Census!$G138+AH$5-18)+IF(AH$5=$B138,INDEX(Decrements!$F$6:$F$58,Census!$G138+AH$5-18),0)+INDEX(Decrements!$E$6:$E$58,Census!$G138+AH$5-18)*IF((Census!$F138+AH$5)&gt;=Assumptions!$B$11,1,0))*MIN(15/26*Census!$D138*(1+Assumptions!$B$9)^AH$5*(INT((Census!$F138+AH$5))+IF((Census!$F138+AH$5)-INT((Census!$F138+AH$5))&gt;0.5,1,0)),Assumptions!$B$10))</f>
        <v>0</v>
      </c>
      <c r="AI138" s="30">
        <f>IF(AI$5&gt;$B138,0,INDEX(Decrements!$G$6:$G$58,Census!$G138+AI$5-18)/INDEX(Decrements!$G$6:$G$58,Census!$G138-17)*(INDEX(Decrements!$D$6:$D$58,Census!$G138+AI$5-18)+IF(AI$5=$B138,INDEX(Decrements!$F$6:$F$58,Census!$G138+AI$5-18),0)+INDEX(Decrements!$E$6:$E$58,Census!$G138+AI$5-18)*IF((Census!$F138+AI$5)&gt;=Assumptions!$B$11,1,0))*MIN(15/26*Census!$D138*(1+Assumptions!$B$9)^AI$5*(INT((Census!$F138+AI$5))+IF((Census!$F138+AI$5)-INT((Census!$F138+AI$5))&gt;0.5,1,0)),Assumptions!$B$10))</f>
        <v>0</v>
      </c>
      <c r="AJ138" s="30">
        <f>IF(AJ$5&gt;$B138,0,INDEX(Decrements!$G$6:$G$58,Census!$G138+AJ$5-18)/INDEX(Decrements!$G$6:$G$58,Census!$G138-17)*(INDEX(Decrements!$D$6:$D$58,Census!$G138+AJ$5-18)+IF(AJ$5=$B138,INDEX(Decrements!$F$6:$F$58,Census!$G138+AJ$5-18),0)+INDEX(Decrements!$E$6:$E$58,Census!$G138+AJ$5-18)*IF((Census!$F138+AJ$5)&gt;=Assumptions!$B$11,1,0))*MIN(15/26*Census!$D138*(1+Assumptions!$B$9)^AJ$5*(INT((Census!$F138+AJ$5))+IF((Census!$F138+AJ$5)-INT((Census!$F138+AJ$5))&gt;0.5,1,0)),Assumptions!$B$10))</f>
        <v>0</v>
      </c>
      <c r="AK138" s="30">
        <f>IF(AK$5&gt;$B138,0,INDEX(Decrements!$G$6:$G$58,Census!$G138+AK$5-18)/INDEX(Decrements!$G$6:$G$58,Census!$G138-17)*(INDEX(Decrements!$D$6:$D$58,Census!$G138+AK$5-18)+IF(AK$5=$B138,INDEX(Decrements!$F$6:$F$58,Census!$G138+AK$5-18),0)+INDEX(Decrements!$E$6:$E$58,Census!$G138+AK$5-18)*IF((Census!$F138+AK$5)&gt;=Assumptions!$B$11,1,0))*MIN(15/26*Census!$D138*(1+Assumptions!$B$9)^AK$5*(INT((Census!$F138+AK$5))+IF((Census!$F138+AK$5)-INT((Census!$F138+AK$5))&gt;0.5,1,0)),Assumptions!$B$10))</f>
        <v>0</v>
      </c>
      <c r="AL138" s="30">
        <f>IF(AL$5&gt;$B138,0,INDEX(Decrements!$G$6:$G$58,Census!$G138+AL$5-18)/INDEX(Decrements!$G$6:$G$58,Census!$G138-17)*(INDEX(Decrements!$D$6:$D$58,Census!$G138+AL$5-18)+IF(AL$5=$B138,INDEX(Decrements!$F$6:$F$58,Census!$G138+AL$5-18),0)+INDEX(Decrements!$E$6:$E$58,Census!$G138+AL$5-18)*IF((Census!$F138+AL$5)&gt;=Assumptions!$B$11,1,0))*MIN(15/26*Census!$D138*(1+Assumptions!$B$9)^AL$5*(INT((Census!$F138+AL$5))+IF((Census!$F138+AL$5)-INT((Census!$F138+AL$5))&gt;0.5,1,0)),Assumptions!$B$10))</f>
        <v>0</v>
      </c>
      <c r="AM138" s="30">
        <f>IF(AM$5&gt;$B138,0,INDEX(Decrements!$G$6:$G$58,Census!$G138+AM$5-18)/INDEX(Decrements!$G$6:$G$58,Census!$G138-17)*(INDEX(Decrements!$D$6:$D$58,Census!$G138+AM$5-18)+IF(AM$5=$B138,INDEX(Decrements!$F$6:$F$58,Census!$G138+AM$5-18),0)+INDEX(Decrements!$E$6:$E$58,Census!$G138+AM$5-18)*IF((Census!$F138+AM$5)&gt;=Assumptions!$B$11,1,0))*MIN(15/26*Census!$D138*(1+Assumptions!$B$9)^AM$5*(INT((Census!$F138+AM$5))+IF((Census!$F138+AM$5)-INT((Census!$F138+AM$5))&gt;0.5,1,0)),Assumptions!$B$10))</f>
        <v>0</v>
      </c>
      <c r="AN138" s="30">
        <f>IF(AN$5&gt;$B138,0,INDEX(Decrements!$G$6:$G$58,Census!$G138+AN$5-18)/INDEX(Decrements!$G$6:$G$58,Census!$G138-17)*(INDEX(Decrements!$D$6:$D$58,Census!$G138+AN$5-18)+IF(AN$5=$B138,INDEX(Decrements!$F$6:$F$58,Census!$G138+AN$5-18),0)+INDEX(Decrements!$E$6:$E$58,Census!$G138+AN$5-18)*IF((Census!$F138+AN$5)&gt;=Assumptions!$B$11,1,0))*MIN(15/26*Census!$D138*(1+Assumptions!$B$9)^AN$5*(INT((Census!$F138+AN$5))+IF((Census!$F138+AN$5)-INT((Census!$F138+AN$5))&gt;0.5,1,0)),Assumptions!$B$10))</f>
        <v>0</v>
      </c>
      <c r="AO138" s="30">
        <f>IF(AO$5&gt;$B138,0,INDEX(Decrements!$G$6:$G$58,Census!$G138+AO$5-18)/INDEX(Decrements!$G$6:$G$58,Census!$G138-17)*(INDEX(Decrements!$D$6:$D$58,Census!$G138+AO$5-18)+IF(AO$5=$B138,INDEX(Decrements!$F$6:$F$58,Census!$G138+AO$5-18),0)+INDEX(Decrements!$E$6:$E$58,Census!$G138+AO$5-18)*IF((Census!$F138+AO$5)&gt;=Assumptions!$B$11,1,0))*MIN(15/26*Census!$D138*(1+Assumptions!$B$9)^AO$5*(INT((Census!$F138+AO$5))+IF((Census!$F138+AO$5)-INT((Census!$F138+AO$5))&gt;0.5,1,0)),Assumptions!$B$10))</f>
        <v>0</v>
      </c>
      <c r="AP138" s="30">
        <f>IF(AP$5&gt;$B138,0,INDEX(Decrements!$G$6:$G$58,Census!$G138+AP$5-18)/INDEX(Decrements!$G$6:$G$58,Census!$G138-17)*(INDEX(Decrements!$D$6:$D$58,Census!$G138+AP$5-18)+IF(AP$5=$B138,INDEX(Decrements!$F$6:$F$58,Census!$G138+AP$5-18),0)+INDEX(Decrements!$E$6:$E$58,Census!$G138+AP$5-18)*IF((Census!$F138+AP$5)&gt;=Assumptions!$B$11,1,0))*MIN(15/26*Census!$D138*(1+Assumptions!$B$9)^AP$5*(INT((Census!$F138+AP$5))+IF((Census!$F138+AP$5)-INT((Census!$F138+AP$5))&gt;0.5,1,0)),Assumptions!$B$10))</f>
        <v>0</v>
      </c>
      <c r="AQ138" s="30">
        <f>IF(AQ$5&gt;$B138,0,INDEX(Decrements!$G$6:$G$58,Census!$G138+AQ$5-18)/INDEX(Decrements!$G$6:$G$58,Census!$G138-17)*(INDEX(Decrements!$D$6:$D$58,Census!$G138+AQ$5-18)+IF(AQ$5=$B138,INDEX(Decrements!$F$6:$F$58,Census!$G138+AQ$5-18),0)+INDEX(Decrements!$E$6:$E$58,Census!$G138+AQ$5-18)*IF((Census!$F138+AQ$5)&gt;=Assumptions!$B$11,1,0))*MIN(15/26*Census!$D138*(1+Assumptions!$B$9)^AQ$5*(INT((Census!$F138+AQ$5))+IF((Census!$F138+AQ$5)-INT((Census!$F138+AQ$5))&gt;0.5,1,0)),Assumptions!$B$10))</f>
        <v>0</v>
      </c>
      <c r="AR138" s="30">
        <f>IF(AR$5&gt;$B138,0,INDEX(Decrements!$G$6:$G$58,Census!$G138+AR$5-18)/INDEX(Decrements!$G$6:$G$58,Census!$G138-17)*(INDEX(Decrements!$D$6:$D$58,Census!$G138+AR$5-18)+IF(AR$5=$B138,INDEX(Decrements!$F$6:$F$58,Census!$G138+AR$5-18),0)+INDEX(Decrements!$E$6:$E$58,Census!$G138+AR$5-18)*IF((Census!$F138+AR$5)&gt;=Assumptions!$B$11,1,0))*MIN(15/26*Census!$D138*(1+Assumptions!$B$9)^AR$5*(INT((Census!$F138+AR$5))+IF((Census!$F138+AR$5)-INT((Census!$F138+AR$5))&gt;0.5,1,0)),Assumptions!$B$10))</f>
        <v>0</v>
      </c>
      <c r="AS138" s="30">
        <f>IF(AS$5&gt;$B138,0,INDEX(Decrements!$G$6:$G$58,Census!$G138+AS$5-18)/INDEX(Decrements!$G$6:$G$58,Census!$G138-17)*(INDEX(Decrements!$D$6:$D$58,Census!$G138+AS$5-18)+IF(AS$5=$B138,INDEX(Decrements!$F$6:$F$58,Census!$G138+AS$5-18),0)+INDEX(Decrements!$E$6:$E$58,Census!$G138+AS$5-18)*IF((Census!$F138+AS$5)&gt;=Assumptions!$B$11,1,0))*MIN(15/26*Census!$D138*(1+Assumptions!$B$9)^AS$5*(INT((Census!$F138+AS$5))+IF((Census!$F138+AS$5)-INT((Census!$F138+AS$5))&gt;0.5,1,0)),Assumptions!$B$10))</f>
        <v>0</v>
      </c>
      <c r="AT138" s="30">
        <f>IF(AT$5&gt;$B138,0,INDEX(Decrements!$G$6:$G$58,Census!$G138+AT$5-18)/INDEX(Decrements!$G$6:$G$58,Census!$G138-17)*(INDEX(Decrements!$D$6:$D$58,Census!$G138+AT$5-18)+IF(AT$5=$B138,INDEX(Decrements!$F$6:$F$58,Census!$G138+AT$5-18),0)+INDEX(Decrements!$E$6:$E$58,Census!$G138+AT$5-18)*IF((Census!$F138+AT$5)&gt;=Assumptions!$B$11,1,0))*MIN(15/26*Census!$D138*(1+Assumptions!$B$9)^AT$5*(INT((Census!$F138+AT$5))+IF((Census!$F138+AT$5)-INT((Census!$F138+AT$5))&gt;0.5,1,0)),Assumptions!$B$10))</f>
        <v>0</v>
      </c>
      <c r="AU138" s="30">
        <f>IF(AU$5&gt;$B138,0,INDEX(Decrements!$G$6:$G$58,Census!$G138+AU$5-18)/INDEX(Decrements!$G$6:$G$58,Census!$G138-17)*(INDEX(Decrements!$D$6:$D$58,Census!$G138+AU$5-18)+IF(AU$5=$B138,INDEX(Decrements!$F$6:$F$58,Census!$G138+AU$5-18),0)+INDEX(Decrements!$E$6:$E$58,Census!$G138+AU$5-18)*IF((Census!$F138+AU$5)&gt;=Assumptions!$B$11,1,0))*MIN(15/26*Census!$D138*(1+Assumptions!$B$9)^AU$5*(INT((Census!$F138+AU$5))+IF((Census!$F138+AU$5)-INT((Census!$F138+AU$5))&gt;0.5,1,0)),Assumptions!$B$10))</f>
        <v>0</v>
      </c>
    </row>
    <row r="139" spans="1:47" x14ac:dyDescent="0.3">
      <c r="A139" s="10" t="str">
        <f>Census!A139</f>
        <v>E134</v>
      </c>
      <c r="B139" s="29">
        <f>Census!H139</f>
        <v>19</v>
      </c>
      <c r="C139" s="30">
        <f>IF(C$5&gt;$B139,0,INDEX(Decrements!$G$6:$G$58,Census!$G139+C$5-18)/INDEX(Decrements!$G$6:$G$58,Census!$G139-17)*(INDEX(Decrements!$D$6:$D$58,Census!$G139+C$5-18)+IF(C$5=$B139,INDEX(Decrements!$F$6:$F$58,Census!$G139+C$5-18),0)+INDEX(Decrements!$E$6:$E$58,Census!$G139+C$5-18)*IF((Census!$F139+C$5)&gt;=Assumptions!$B$11,1,0))*MIN(15/26*Census!$D139*(1+Assumptions!$B$9)^C$5*(INT((Census!$F139+C$5))+IF((Census!$F139+C$5)-INT((Census!$F139+C$5))&gt;0.5,1,0)),Assumptions!$B$10))</f>
        <v>24044.694206825745</v>
      </c>
      <c r="D139" s="30">
        <f>IF(D$5&gt;$B139,0,INDEX(Decrements!$G$6:$G$58,Census!$G139+D$5-18)/INDEX(Decrements!$G$6:$G$58,Census!$G139-17)*(INDEX(Decrements!$D$6:$D$58,Census!$G139+D$5-18)+IF(D$5=$B139,INDEX(Decrements!$F$6:$F$58,Census!$G139+D$5-18),0)+INDEX(Decrements!$E$6:$E$58,Census!$G139+D$5-18)*IF((Census!$F139+D$5)&gt;=Assumptions!$B$11,1,0))*MIN(15/26*Census!$D139*(1+Assumptions!$B$9)^D$5*(INT((Census!$F139+D$5))+IF((Census!$F139+D$5)-INT((Census!$F139+D$5))&gt;0.5,1,0)),Assumptions!$B$10))</f>
        <v>26738.575550436592</v>
      </c>
      <c r="E139" s="30">
        <f>IF(E$5&gt;$B139,0,INDEX(Decrements!$G$6:$G$58,Census!$G139+E$5-18)/INDEX(Decrements!$G$6:$G$58,Census!$G139-17)*(INDEX(Decrements!$D$6:$D$58,Census!$G139+E$5-18)+IF(E$5=$B139,INDEX(Decrements!$F$6:$F$58,Census!$G139+E$5-18),0)+INDEX(Decrements!$E$6:$E$58,Census!$G139+E$5-18)*IF((Census!$F139+E$5)&gt;=Assumptions!$B$11,1,0))*MIN(15/26*Census!$D139*(1+Assumptions!$B$9)^E$5*(INT((Census!$F139+E$5))+IF((Census!$F139+E$5)-INT((Census!$F139+E$5))&gt;0.5,1,0)),Assumptions!$B$10))</f>
        <v>29560.802481102146</v>
      </c>
      <c r="F139" s="30">
        <f>IF(F$5&gt;$B139,0,INDEX(Decrements!$G$6:$G$58,Census!$G139+F$5-18)/INDEX(Decrements!$G$6:$G$58,Census!$G139-17)*(INDEX(Decrements!$D$6:$D$58,Census!$G139+F$5-18)+IF(F$5=$B139,INDEX(Decrements!$F$6:$F$58,Census!$G139+F$5-18),0)+INDEX(Decrements!$E$6:$E$58,Census!$G139+F$5-18)*IF((Census!$F139+F$5)&gt;=Assumptions!$B$11,1,0))*MIN(15/26*Census!$D139*(1+Assumptions!$B$9)^F$5*(INT((Census!$F139+F$5))+IF((Census!$F139+F$5)-INT((Census!$F139+F$5))&gt;0.5,1,0)),Assumptions!$B$10))</f>
        <v>32517.137944246664</v>
      </c>
      <c r="G139" s="30">
        <f>IF(G$5&gt;$B139,0,INDEX(Decrements!$G$6:$G$58,Census!$G139+G$5-18)/INDEX(Decrements!$G$6:$G$58,Census!$G139-17)*(INDEX(Decrements!$D$6:$D$58,Census!$G139+G$5-18)+IF(G$5=$B139,INDEX(Decrements!$F$6:$F$58,Census!$G139+G$5-18),0)+INDEX(Decrements!$E$6:$E$58,Census!$G139+G$5-18)*IF((Census!$F139+G$5)&gt;=Assumptions!$B$11,1,0))*MIN(15/26*Census!$D139*(1+Assumptions!$B$9)^G$5*(INT((Census!$F139+G$5))+IF((Census!$F139+G$5)-INT((Census!$F139+G$5))&gt;0.5,1,0)),Assumptions!$B$10))</f>
        <v>21898.024817447524</v>
      </c>
      <c r="H139" s="30">
        <f>IF(H$5&gt;$B139,0,INDEX(Decrements!$G$6:$G$58,Census!$G139+H$5-18)/INDEX(Decrements!$G$6:$G$58,Census!$G139-17)*(INDEX(Decrements!$D$6:$D$58,Census!$G139+H$5-18)+IF(H$5=$B139,INDEX(Decrements!$F$6:$F$58,Census!$G139+H$5-18),0)+INDEX(Decrements!$E$6:$E$58,Census!$G139+H$5-18)*IF((Census!$F139+H$5)&gt;=Assumptions!$B$11,1,0))*MIN(15/26*Census!$D139*(1+Assumptions!$B$9)^H$5*(INT((Census!$F139+H$5))+IF((Census!$F139+H$5)-INT((Census!$F139+H$5))&gt;0.5,1,0)),Assumptions!$B$10))</f>
        <v>24440.183085316847</v>
      </c>
      <c r="I139" s="30">
        <f>IF(I$5&gt;$B139,0,INDEX(Decrements!$G$6:$G$58,Census!$G139+I$5-18)/INDEX(Decrements!$G$6:$G$58,Census!$G139-17)*(INDEX(Decrements!$D$6:$D$58,Census!$G139+I$5-18)+IF(I$5=$B139,INDEX(Decrements!$F$6:$F$58,Census!$G139+I$5-18),0)+INDEX(Decrements!$E$6:$E$58,Census!$G139+I$5-18)*IF((Census!$F139+I$5)&gt;=Assumptions!$B$11,1,0))*MIN(15/26*Census!$D139*(1+Assumptions!$B$9)^I$5*(INT((Census!$F139+I$5))+IF((Census!$F139+I$5)-INT((Census!$F139+I$5))&gt;0.5,1,0)),Assumptions!$B$10))</f>
        <v>27190.82682383377</v>
      </c>
      <c r="J139" s="30">
        <f>IF(J$5&gt;$B139,0,INDEX(Decrements!$G$6:$G$58,Census!$G139+J$5-18)/INDEX(Decrements!$G$6:$G$58,Census!$G139-17)*(INDEX(Decrements!$D$6:$D$58,Census!$G139+J$5-18)+IF(J$5=$B139,INDEX(Decrements!$F$6:$F$58,Census!$G139+J$5-18),0)+INDEX(Decrements!$E$6:$E$58,Census!$G139+J$5-18)*IF((Census!$F139+J$5)&gt;=Assumptions!$B$11,1,0))*MIN(15/26*Census!$D139*(1+Assumptions!$B$9)^J$5*(INT((Census!$F139+J$5))+IF((Census!$F139+J$5)-INT((Census!$F139+J$5))&gt;0.5,1,0)),Assumptions!$B$10))</f>
        <v>30166.983064909291</v>
      </c>
      <c r="K139" s="30">
        <f>IF(K$5&gt;$B139,0,INDEX(Decrements!$G$6:$G$58,Census!$G139+K$5-18)/INDEX(Decrements!$G$6:$G$58,Census!$G139-17)*(INDEX(Decrements!$D$6:$D$58,Census!$G139+K$5-18)+IF(K$5=$B139,INDEX(Decrements!$F$6:$F$58,Census!$G139+K$5-18),0)+INDEX(Decrements!$E$6:$E$58,Census!$G139+K$5-18)*IF((Census!$F139+K$5)&gt;=Assumptions!$B$11,1,0))*MIN(15/26*Census!$D139*(1+Assumptions!$B$9)^K$5*(INT((Census!$F139+K$5))+IF((Census!$F139+K$5)-INT((Census!$F139+K$5))&gt;0.5,1,0)),Assumptions!$B$10))</f>
        <v>33387.3102407763</v>
      </c>
      <c r="L139" s="30">
        <f>IF(L$5&gt;$B139,0,INDEX(Decrements!$G$6:$G$58,Census!$G139+L$5-18)/INDEX(Decrements!$G$6:$G$58,Census!$G139-17)*(INDEX(Decrements!$D$6:$D$58,Census!$G139+L$5-18)+IF(L$5=$B139,INDEX(Decrements!$F$6:$F$58,Census!$G139+L$5-18),0)+INDEX(Decrements!$E$6:$E$58,Census!$G139+L$5-18)*IF((Census!$F139+L$5)&gt;=Assumptions!$B$11,1,0))*MIN(15/26*Census!$D139*(1+Assumptions!$B$9)^L$5*(INT((Census!$F139+L$5))+IF((Census!$F139+L$5)-INT((Census!$F139+L$5))&gt;0.5,1,0)),Assumptions!$B$10))</f>
        <v>25653.803825569063</v>
      </c>
      <c r="M139" s="30">
        <f>IF(M$5&gt;$B139,0,INDEX(Decrements!$G$6:$G$58,Census!$G139+M$5-18)/INDEX(Decrements!$G$6:$G$58,Census!$G139-17)*(INDEX(Decrements!$D$6:$D$58,Census!$G139+M$5-18)+IF(M$5=$B139,INDEX(Decrements!$F$6:$F$58,Census!$G139+M$5-18),0)+INDEX(Decrements!$E$6:$E$58,Census!$G139+M$5-18)*IF((Census!$F139+M$5)&gt;=Assumptions!$B$11,1,0))*MIN(15/26*Census!$D139*(1+Assumptions!$B$9)^M$5*(INT((Census!$F139+M$5))+IF((Census!$F139+M$5)-INT((Census!$F139+M$5))&gt;0.5,1,0)),Assumptions!$B$10))</f>
        <v>28662.999334223423</v>
      </c>
      <c r="N139" s="30">
        <f>IF(N$5&gt;$B139,0,INDEX(Decrements!$G$6:$G$58,Census!$G139+N$5-18)/INDEX(Decrements!$G$6:$G$58,Census!$G139-17)*(INDEX(Decrements!$D$6:$D$58,Census!$G139+N$5-18)+IF(N$5=$B139,INDEX(Decrements!$F$6:$F$58,Census!$G139+N$5-18),0)+INDEX(Decrements!$E$6:$E$58,Census!$G139+N$5-18)*IF((Census!$F139+N$5)&gt;=Assumptions!$B$11,1,0))*MIN(15/26*Census!$D139*(1+Assumptions!$B$9)^N$5*(INT((Census!$F139+N$5))+IF((Census!$F139+N$5)-INT((Census!$F139+N$5))&gt;0.5,1,0)),Assumptions!$B$10))</f>
        <v>30578.148423989474</v>
      </c>
      <c r="O139" s="30">
        <f>IF(O$5&gt;$B139,0,INDEX(Decrements!$G$6:$G$58,Census!$G139+O$5-18)/INDEX(Decrements!$G$6:$G$58,Census!$G139-17)*(INDEX(Decrements!$D$6:$D$58,Census!$G139+O$5-18)+IF(O$5=$B139,INDEX(Decrements!$F$6:$F$58,Census!$G139+O$5-18),0)+INDEX(Decrements!$E$6:$E$58,Census!$G139+O$5-18)*IF((Census!$F139+O$5)&gt;=Assumptions!$B$11,1,0))*MIN(15/26*Census!$D139*(1+Assumptions!$B$9)^O$5*(INT((Census!$F139+O$5))+IF((Census!$F139+O$5)-INT((Census!$F139+O$5))&gt;0.5,1,0)),Assumptions!$B$10))</f>
        <v>30238.423622843071</v>
      </c>
      <c r="P139" s="30">
        <f>IF(P$5&gt;$B139,0,INDEX(Decrements!$G$6:$G$58,Census!$G139+P$5-18)/INDEX(Decrements!$G$6:$G$58,Census!$G139-17)*(INDEX(Decrements!$D$6:$D$58,Census!$G139+P$5-18)+IF(P$5=$B139,INDEX(Decrements!$F$6:$F$58,Census!$G139+P$5-18),0)+INDEX(Decrements!$E$6:$E$58,Census!$G139+P$5-18)*IF((Census!$F139+P$5)&gt;=Assumptions!$B$11,1,0))*MIN(15/26*Census!$D139*(1+Assumptions!$B$9)^P$5*(INT((Census!$F139+P$5))+IF((Census!$F139+P$5)-INT((Census!$F139+P$5))&gt;0.5,1,0)),Assumptions!$B$10))</f>
        <v>29925.305534460083</v>
      </c>
      <c r="Q139" s="30">
        <f>IF(Q$5&gt;$B139,0,INDEX(Decrements!$G$6:$G$58,Census!$G139+Q$5-18)/INDEX(Decrements!$G$6:$G$58,Census!$G139-17)*(INDEX(Decrements!$D$6:$D$58,Census!$G139+Q$5-18)+IF(Q$5=$B139,INDEX(Decrements!$F$6:$F$58,Census!$G139+Q$5-18),0)+INDEX(Decrements!$E$6:$E$58,Census!$G139+Q$5-18)*IF((Census!$F139+Q$5)&gt;=Assumptions!$B$11,1,0))*MIN(15/26*Census!$D139*(1+Assumptions!$B$9)^Q$5*(INT((Census!$F139+Q$5))+IF((Census!$F139+Q$5)-INT((Census!$F139+Q$5))&gt;0.5,1,0)),Assumptions!$B$10))</f>
        <v>17480.515239859844</v>
      </c>
      <c r="R139" s="30">
        <f>IF(R$5&gt;$B139,0,INDEX(Decrements!$G$6:$G$58,Census!$G139+R$5-18)/INDEX(Decrements!$G$6:$G$58,Census!$G139-17)*(INDEX(Decrements!$D$6:$D$58,Census!$G139+R$5-18)+IF(R$5=$B139,INDEX(Decrements!$F$6:$F$58,Census!$G139+R$5-18),0)+INDEX(Decrements!$E$6:$E$58,Census!$G139+R$5-18)*IF((Census!$F139+R$5)&gt;=Assumptions!$B$11,1,0))*MIN(15/26*Census!$D139*(1+Assumptions!$B$9)^R$5*(INT((Census!$F139+R$5))+IF((Census!$F139+R$5)-INT((Census!$F139+R$5))&gt;0.5,1,0)),Assumptions!$B$10))</f>
        <v>17700.91443221294</v>
      </c>
      <c r="S139" s="30">
        <f>IF(S$5&gt;$B139,0,INDEX(Decrements!$G$6:$G$58,Census!$G139+S$5-18)/INDEX(Decrements!$G$6:$G$58,Census!$G139-17)*(INDEX(Decrements!$D$6:$D$58,Census!$G139+S$5-18)+IF(S$5=$B139,INDEX(Decrements!$F$6:$F$58,Census!$G139+S$5-18),0)+INDEX(Decrements!$E$6:$E$58,Census!$G139+S$5-18)*IF((Census!$F139+S$5)&gt;=Assumptions!$B$11,1,0))*MIN(15/26*Census!$D139*(1+Assumptions!$B$9)^S$5*(INT((Census!$F139+S$5))+IF((Census!$F139+S$5)-INT((Census!$F139+S$5))&gt;0.5,1,0)),Assumptions!$B$10))</f>
        <v>17950.475127238078</v>
      </c>
      <c r="T139" s="30">
        <f>IF(T$5&gt;$B139,0,INDEX(Decrements!$G$6:$G$58,Census!$G139+T$5-18)/INDEX(Decrements!$G$6:$G$58,Census!$G139-17)*(INDEX(Decrements!$D$6:$D$58,Census!$G139+T$5-18)+IF(T$5=$B139,INDEX(Decrements!$F$6:$F$58,Census!$G139+T$5-18),0)+INDEX(Decrements!$E$6:$E$58,Census!$G139+T$5-18)*IF((Census!$F139+T$5)&gt;=Assumptions!$B$11,1,0))*MIN(15/26*Census!$D139*(1+Assumptions!$B$9)^T$5*(INT((Census!$F139+T$5))+IF((Census!$F139+T$5)-INT((Census!$F139+T$5))&gt;0.5,1,0)),Assumptions!$B$10))</f>
        <v>18230.893468199578</v>
      </c>
      <c r="U139" s="30">
        <f>IF(U$5&gt;$B139,0,INDEX(Decrements!$G$6:$G$58,Census!$G139+U$5-18)/INDEX(Decrements!$G$6:$G$58,Census!$G139-17)*(INDEX(Decrements!$D$6:$D$58,Census!$G139+U$5-18)+IF(U$5=$B139,INDEX(Decrements!$F$6:$F$58,Census!$G139+U$5-18),0)+INDEX(Decrements!$E$6:$E$58,Census!$G139+U$5-18)*IF((Census!$F139+U$5)&gt;=Assumptions!$B$11,1,0))*MIN(15/26*Census!$D139*(1+Assumptions!$B$9)^U$5*(INT((Census!$F139+U$5))+IF((Census!$F139+U$5)-INT((Census!$F139+U$5))&gt;0.5,1,0)),Assumptions!$B$10))</f>
        <v>1149843.3512214439</v>
      </c>
      <c r="V139" s="30">
        <f>IF(V$5&gt;$B139,0,INDEX(Decrements!$G$6:$G$58,Census!$G139+V$5-18)/INDEX(Decrements!$G$6:$G$58,Census!$G139-17)*(INDEX(Decrements!$D$6:$D$58,Census!$G139+V$5-18)+IF(V$5=$B139,INDEX(Decrements!$F$6:$F$58,Census!$G139+V$5-18),0)+INDEX(Decrements!$E$6:$E$58,Census!$G139+V$5-18)*IF((Census!$F139+V$5)&gt;=Assumptions!$B$11,1,0))*MIN(15/26*Census!$D139*(1+Assumptions!$B$9)^V$5*(INT((Census!$F139+V$5))+IF((Census!$F139+V$5)-INT((Census!$F139+V$5))&gt;0.5,1,0)),Assumptions!$B$10))</f>
        <v>0</v>
      </c>
      <c r="W139" s="30">
        <f>IF(W$5&gt;$B139,0,INDEX(Decrements!$G$6:$G$58,Census!$G139+W$5-18)/INDEX(Decrements!$G$6:$G$58,Census!$G139-17)*(INDEX(Decrements!$D$6:$D$58,Census!$G139+W$5-18)+IF(W$5=$B139,INDEX(Decrements!$F$6:$F$58,Census!$G139+W$5-18),0)+INDEX(Decrements!$E$6:$E$58,Census!$G139+W$5-18)*IF((Census!$F139+W$5)&gt;=Assumptions!$B$11,1,0))*MIN(15/26*Census!$D139*(1+Assumptions!$B$9)^W$5*(INT((Census!$F139+W$5))+IF((Census!$F139+W$5)-INT((Census!$F139+W$5))&gt;0.5,1,0)),Assumptions!$B$10))</f>
        <v>0</v>
      </c>
      <c r="X139" s="30">
        <f>IF(X$5&gt;$B139,0,INDEX(Decrements!$G$6:$G$58,Census!$G139+X$5-18)/INDEX(Decrements!$G$6:$G$58,Census!$G139-17)*(INDEX(Decrements!$D$6:$D$58,Census!$G139+X$5-18)+IF(X$5=$B139,INDEX(Decrements!$F$6:$F$58,Census!$G139+X$5-18),0)+INDEX(Decrements!$E$6:$E$58,Census!$G139+X$5-18)*IF((Census!$F139+X$5)&gt;=Assumptions!$B$11,1,0))*MIN(15/26*Census!$D139*(1+Assumptions!$B$9)^X$5*(INT((Census!$F139+X$5))+IF((Census!$F139+X$5)-INT((Census!$F139+X$5))&gt;0.5,1,0)),Assumptions!$B$10))</f>
        <v>0</v>
      </c>
      <c r="Y139" s="30">
        <f>IF(Y$5&gt;$B139,0,INDEX(Decrements!$G$6:$G$58,Census!$G139+Y$5-18)/INDEX(Decrements!$G$6:$G$58,Census!$G139-17)*(INDEX(Decrements!$D$6:$D$58,Census!$G139+Y$5-18)+IF(Y$5=$B139,INDEX(Decrements!$F$6:$F$58,Census!$G139+Y$5-18),0)+INDEX(Decrements!$E$6:$E$58,Census!$G139+Y$5-18)*IF((Census!$F139+Y$5)&gt;=Assumptions!$B$11,1,0))*MIN(15/26*Census!$D139*(1+Assumptions!$B$9)^Y$5*(INT((Census!$F139+Y$5))+IF((Census!$F139+Y$5)-INT((Census!$F139+Y$5))&gt;0.5,1,0)),Assumptions!$B$10))</f>
        <v>0</v>
      </c>
      <c r="Z139" s="30">
        <f>IF(Z$5&gt;$B139,0,INDEX(Decrements!$G$6:$G$58,Census!$G139+Z$5-18)/INDEX(Decrements!$G$6:$G$58,Census!$G139-17)*(INDEX(Decrements!$D$6:$D$58,Census!$G139+Z$5-18)+IF(Z$5=$B139,INDEX(Decrements!$F$6:$F$58,Census!$G139+Z$5-18),0)+INDEX(Decrements!$E$6:$E$58,Census!$G139+Z$5-18)*IF((Census!$F139+Z$5)&gt;=Assumptions!$B$11,1,0))*MIN(15/26*Census!$D139*(1+Assumptions!$B$9)^Z$5*(INT((Census!$F139+Z$5))+IF((Census!$F139+Z$5)-INT((Census!$F139+Z$5))&gt;0.5,1,0)),Assumptions!$B$10))</f>
        <v>0</v>
      </c>
      <c r="AA139" s="30">
        <f>IF(AA$5&gt;$B139,0,INDEX(Decrements!$G$6:$G$58,Census!$G139+AA$5-18)/INDEX(Decrements!$G$6:$G$58,Census!$G139-17)*(INDEX(Decrements!$D$6:$D$58,Census!$G139+AA$5-18)+IF(AA$5=$B139,INDEX(Decrements!$F$6:$F$58,Census!$G139+AA$5-18),0)+INDEX(Decrements!$E$6:$E$58,Census!$G139+AA$5-18)*IF((Census!$F139+AA$5)&gt;=Assumptions!$B$11,1,0))*MIN(15/26*Census!$D139*(1+Assumptions!$B$9)^AA$5*(INT((Census!$F139+AA$5))+IF((Census!$F139+AA$5)-INT((Census!$F139+AA$5))&gt;0.5,1,0)),Assumptions!$B$10))</f>
        <v>0</v>
      </c>
      <c r="AB139" s="30">
        <f>IF(AB$5&gt;$B139,0,INDEX(Decrements!$G$6:$G$58,Census!$G139+AB$5-18)/INDEX(Decrements!$G$6:$G$58,Census!$G139-17)*(INDEX(Decrements!$D$6:$D$58,Census!$G139+AB$5-18)+IF(AB$5=$B139,INDEX(Decrements!$F$6:$F$58,Census!$G139+AB$5-18),0)+INDEX(Decrements!$E$6:$E$58,Census!$G139+AB$5-18)*IF((Census!$F139+AB$5)&gt;=Assumptions!$B$11,1,0))*MIN(15/26*Census!$D139*(1+Assumptions!$B$9)^AB$5*(INT((Census!$F139+AB$5))+IF((Census!$F139+AB$5)-INT((Census!$F139+AB$5))&gt;0.5,1,0)),Assumptions!$B$10))</f>
        <v>0</v>
      </c>
      <c r="AC139" s="30">
        <f>IF(AC$5&gt;$B139,0,INDEX(Decrements!$G$6:$G$58,Census!$G139+AC$5-18)/INDEX(Decrements!$G$6:$G$58,Census!$G139-17)*(INDEX(Decrements!$D$6:$D$58,Census!$G139+AC$5-18)+IF(AC$5=$B139,INDEX(Decrements!$F$6:$F$58,Census!$G139+AC$5-18),0)+INDEX(Decrements!$E$6:$E$58,Census!$G139+AC$5-18)*IF((Census!$F139+AC$5)&gt;=Assumptions!$B$11,1,0))*MIN(15/26*Census!$D139*(1+Assumptions!$B$9)^AC$5*(INT((Census!$F139+AC$5))+IF((Census!$F139+AC$5)-INT((Census!$F139+AC$5))&gt;0.5,1,0)),Assumptions!$B$10))</f>
        <v>0</v>
      </c>
      <c r="AD139" s="30">
        <f>IF(AD$5&gt;$B139,0,INDEX(Decrements!$G$6:$G$58,Census!$G139+AD$5-18)/INDEX(Decrements!$G$6:$G$58,Census!$G139-17)*(INDEX(Decrements!$D$6:$D$58,Census!$G139+AD$5-18)+IF(AD$5=$B139,INDEX(Decrements!$F$6:$F$58,Census!$G139+AD$5-18),0)+INDEX(Decrements!$E$6:$E$58,Census!$G139+AD$5-18)*IF((Census!$F139+AD$5)&gt;=Assumptions!$B$11,1,0))*MIN(15/26*Census!$D139*(1+Assumptions!$B$9)^AD$5*(INT((Census!$F139+AD$5))+IF((Census!$F139+AD$5)-INT((Census!$F139+AD$5))&gt;0.5,1,0)),Assumptions!$B$10))</f>
        <v>0</v>
      </c>
      <c r="AE139" s="30">
        <f>IF(AE$5&gt;$B139,0,INDEX(Decrements!$G$6:$G$58,Census!$G139+AE$5-18)/INDEX(Decrements!$G$6:$G$58,Census!$G139-17)*(INDEX(Decrements!$D$6:$D$58,Census!$G139+AE$5-18)+IF(AE$5=$B139,INDEX(Decrements!$F$6:$F$58,Census!$G139+AE$5-18),0)+INDEX(Decrements!$E$6:$E$58,Census!$G139+AE$5-18)*IF((Census!$F139+AE$5)&gt;=Assumptions!$B$11,1,0))*MIN(15/26*Census!$D139*(1+Assumptions!$B$9)^AE$5*(INT((Census!$F139+AE$5))+IF((Census!$F139+AE$5)-INT((Census!$F139+AE$5))&gt;0.5,1,0)),Assumptions!$B$10))</f>
        <v>0</v>
      </c>
      <c r="AF139" s="30">
        <f>IF(AF$5&gt;$B139,0,INDEX(Decrements!$G$6:$G$58,Census!$G139+AF$5-18)/INDEX(Decrements!$G$6:$G$58,Census!$G139-17)*(INDEX(Decrements!$D$6:$D$58,Census!$G139+AF$5-18)+IF(AF$5=$B139,INDEX(Decrements!$F$6:$F$58,Census!$G139+AF$5-18),0)+INDEX(Decrements!$E$6:$E$58,Census!$G139+AF$5-18)*IF((Census!$F139+AF$5)&gt;=Assumptions!$B$11,1,0))*MIN(15/26*Census!$D139*(1+Assumptions!$B$9)^AF$5*(INT((Census!$F139+AF$5))+IF((Census!$F139+AF$5)-INT((Census!$F139+AF$5))&gt;0.5,1,0)),Assumptions!$B$10))</f>
        <v>0</v>
      </c>
      <c r="AG139" s="30">
        <f>IF(AG$5&gt;$B139,0,INDEX(Decrements!$G$6:$G$58,Census!$G139+AG$5-18)/INDEX(Decrements!$G$6:$G$58,Census!$G139-17)*(INDEX(Decrements!$D$6:$D$58,Census!$G139+AG$5-18)+IF(AG$5=$B139,INDEX(Decrements!$F$6:$F$58,Census!$G139+AG$5-18),0)+INDEX(Decrements!$E$6:$E$58,Census!$G139+AG$5-18)*IF((Census!$F139+AG$5)&gt;=Assumptions!$B$11,1,0))*MIN(15/26*Census!$D139*(1+Assumptions!$B$9)^AG$5*(INT((Census!$F139+AG$5))+IF((Census!$F139+AG$5)-INT((Census!$F139+AG$5))&gt;0.5,1,0)),Assumptions!$B$10))</f>
        <v>0</v>
      </c>
      <c r="AH139" s="30">
        <f>IF(AH$5&gt;$B139,0,INDEX(Decrements!$G$6:$G$58,Census!$G139+AH$5-18)/INDEX(Decrements!$G$6:$G$58,Census!$G139-17)*(INDEX(Decrements!$D$6:$D$58,Census!$G139+AH$5-18)+IF(AH$5=$B139,INDEX(Decrements!$F$6:$F$58,Census!$G139+AH$5-18),0)+INDEX(Decrements!$E$6:$E$58,Census!$G139+AH$5-18)*IF((Census!$F139+AH$5)&gt;=Assumptions!$B$11,1,0))*MIN(15/26*Census!$D139*(1+Assumptions!$B$9)^AH$5*(INT((Census!$F139+AH$5))+IF((Census!$F139+AH$5)-INT((Census!$F139+AH$5))&gt;0.5,1,0)),Assumptions!$B$10))</f>
        <v>0</v>
      </c>
      <c r="AI139" s="30">
        <f>IF(AI$5&gt;$B139,0,INDEX(Decrements!$G$6:$G$58,Census!$G139+AI$5-18)/INDEX(Decrements!$G$6:$G$58,Census!$G139-17)*(INDEX(Decrements!$D$6:$D$58,Census!$G139+AI$5-18)+IF(AI$5=$B139,INDEX(Decrements!$F$6:$F$58,Census!$G139+AI$5-18),0)+INDEX(Decrements!$E$6:$E$58,Census!$G139+AI$5-18)*IF((Census!$F139+AI$5)&gt;=Assumptions!$B$11,1,0))*MIN(15/26*Census!$D139*(1+Assumptions!$B$9)^AI$5*(INT((Census!$F139+AI$5))+IF((Census!$F139+AI$5)-INT((Census!$F139+AI$5))&gt;0.5,1,0)),Assumptions!$B$10))</f>
        <v>0</v>
      </c>
      <c r="AJ139" s="30">
        <f>IF(AJ$5&gt;$B139,0,INDEX(Decrements!$G$6:$G$58,Census!$G139+AJ$5-18)/INDEX(Decrements!$G$6:$G$58,Census!$G139-17)*(INDEX(Decrements!$D$6:$D$58,Census!$G139+AJ$5-18)+IF(AJ$5=$B139,INDEX(Decrements!$F$6:$F$58,Census!$G139+AJ$5-18),0)+INDEX(Decrements!$E$6:$E$58,Census!$G139+AJ$5-18)*IF((Census!$F139+AJ$5)&gt;=Assumptions!$B$11,1,0))*MIN(15/26*Census!$D139*(1+Assumptions!$B$9)^AJ$5*(INT((Census!$F139+AJ$5))+IF((Census!$F139+AJ$5)-INT((Census!$F139+AJ$5))&gt;0.5,1,0)),Assumptions!$B$10))</f>
        <v>0</v>
      </c>
      <c r="AK139" s="30">
        <f>IF(AK$5&gt;$B139,0,INDEX(Decrements!$G$6:$G$58,Census!$G139+AK$5-18)/INDEX(Decrements!$G$6:$G$58,Census!$G139-17)*(INDEX(Decrements!$D$6:$D$58,Census!$G139+AK$5-18)+IF(AK$5=$B139,INDEX(Decrements!$F$6:$F$58,Census!$G139+AK$5-18),0)+INDEX(Decrements!$E$6:$E$58,Census!$G139+AK$5-18)*IF((Census!$F139+AK$5)&gt;=Assumptions!$B$11,1,0))*MIN(15/26*Census!$D139*(1+Assumptions!$B$9)^AK$5*(INT((Census!$F139+AK$5))+IF((Census!$F139+AK$5)-INT((Census!$F139+AK$5))&gt;0.5,1,0)),Assumptions!$B$10))</f>
        <v>0</v>
      </c>
      <c r="AL139" s="30">
        <f>IF(AL$5&gt;$B139,0,INDEX(Decrements!$G$6:$G$58,Census!$G139+AL$5-18)/INDEX(Decrements!$G$6:$G$58,Census!$G139-17)*(INDEX(Decrements!$D$6:$D$58,Census!$G139+AL$5-18)+IF(AL$5=$B139,INDEX(Decrements!$F$6:$F$58,Census!$G139+AL$5-18),0)+INDEX(Decrements!$E$6:$E$58,Census!$G139+AL$5-18)*IF((Census!$F139+AL$5)&gt;=Assumptions!$B$11,1,0))*MIN(15/26*Census!$D139*(1+Assumptions!$B$9)^AL$5*(INT((Census!$F139+AL$5))+IF((Census!$F139+AL$5)-INT((Census!$F139+AL$5))&gt;0.5,1,0)),Assumptions!$B$10))</f>
        <v>0</v>
      </c>
      <c r="AM139" s="30">
        <f>IF(AM$5&gt;$B139,0,INDEX(Decrements!$G$6:$G$58,Census!$G139+AM$5-18)/INDEX(Decrements!$G$6:$G$58,Census!$G139-17)*(INDEX(Decrements!$D$6:$D$58,Census!$G139+AM$5-18)+IF(AM$5=$B139,INDEX(Decrements!$F$6:$F$58,Census!$G139+AM$5-18),0)+INDEX(Decrements!$E$6:$E$58,Census!$G139+AM$5-18)*IF((Census!$F139+AM$5)&gt;=Assumptions!$B$11,1,0))*MIN(15/26*Census!$D139*(1+Assumptions!$B$9)^AM$5*(INT((Census!$F139+AM$5))+IF((Census!$F139+AM$5)-INT((Census!$F139+AM$5))&gt;0.5,1,0)),Assumptions!$B$10))</f>
        <v>0</v>
      </c>
      <c r="AN139" s="30">
        <f>IF(AN$5&gt;$B139,0,INDEX(Decrements!$G$6:$G$58,Census!$G139+AN$5-18)/INDEX(Decrements!$G$6:$G$58,Census!$G139-17)*(INDEX(Decrements!$D$6:$D$58,Census!$G139+AN$5-18)+IF(AN$5=$B139,INDEX(Decrements!$F$6:$F$58,Census!$G139+AN$5-18),0)+INDEX(Decrements!$E$6:$E$58,Census!$G139+AN$5-18)*IF((Census!$F139+AN$5)&gt;=Assumptions!$B$11,1,0))*MIN(15/26*Census!$D139*(1+Assumptions!$B$9)^AN$5*(INT((Census!$F139+AN$5))+IF((Census!$F139+AN$5)-INT((Census!$F139+AN$5))&gt;0.5,1,0)),Assumptions!$B$10))</f>
        <v>0</v>
      </c>
      <c r="AO139" s="30">
        <f>IF(AO$5&gt;$B139,0,INDEX(Decrements!$G$6:$G$58,Census!$G139+AO$5-18)/INDEX(Decrements!$G$6:$G$58,Census!$G139-17)*(INDEX(Decrements!$D$6:$D$58,Census!$G139+AO$5-18)+IF(AO$5=$B139,INDEX(Decrements!$F$6:$F$58,Census!$G139+AO$5-18),0)+INDEX(Decrements!$E$6:$E$58,Census!$G139+AO$5-18)*IF((Census!$F139+AO$5)&gt;=Assumptions!$B$11,1,0))*MIN(15/26*Census!$D139*(1+Assumptions!$B$9)^AO$5*(INT((Census!$F139+AO$5))+IF((Census!$F139+AO$5)-INT((Census!$F139+AO$5))&gt;0.5,1,0)),Assumptions!$B$10))</f>
        <v>0</v>
      </c>
      <c r="AP139" s="30">
        <f>IF(AP$5&gt;$B139,0,INDEX(Decrements!$G$6:$G$58,Census!$G139+AP$5-18)/INDEX(Decrements!$G$6:$G$58,Census!$G139-17)*(INDEX(Decrements!$D$6:$D$58,Census!$G139+AP$5-18)+IF(AP$5=$B139,INDEX(Decrements!$F$6:$F$58,Census!$G139+AP$5-18),0)+INDEX(Decrements!$E$6:$E$58,Census!$G139+AP$5-18)*IF((Census!$F139+AP$5)&gt;=Assumptions!$B$11,1,0))*MIN(15/26*Census!$D139*(1+Assumptions!$B$9)^AP$5*(INT((Census!$F139+AP$5))+IF((Census!$F139+AP$5)-INT((Census!$F139+AP$5))&gt;0.5,1,0)),Assumptions!$B$10))</f>
        <v>0</v>
      </c>
      <c r="AQ139" s="30">
        <f>IF(AQ$5&gt;$B139,0,INDEX(Decrements!$G$6:$G$58,Census!$G139+AQ$5-18)/INDEX(Decrements!$G$6:$G$58,Census!$G139-17)*(INDEX(Decrements!$D$6:$D$58,Census!$G139+AQ$5-18)+IF(AQ$5=$B139,INDEX(Decrements!$F$6:$F$58,Census!$G139+AQ$5-18),0)+INDEX(Decrements!$E$6:$E$58,Census!$G139+AQ$5-18)*IF((Census!$F139+AQ$5)&gt;=Assumptions!$B$11,1,0))*MIN(15/26*Census!$D139*(1+Assumptions!$B$9)^AQ$5*(INT((Census!$F139+AQ$5))+IF((Census!$F139+AQ$5)-INT((Census!$F139+AQ$5))&gt;0.5,1,0)),Assumptions!$B$10))</f>
        <v>0</v>
      </c>
      <c r="AR139" s="30">
        <f>IF(AR$5&gt;$B139,0,INDEX(Decrements!$G$6:$G$58,Census!$G139+AR$5-18)/INDEX(Decrements!$G$6:$G$58,Census!$G139-17)*(INDEX(Decrements!$D$6:$D$58,Census!$G139+AR$5-18)+IF(AR$5=$B139,INDEX(Decrements!$F$6:$F$58,Census!$G139+AR$5-18),0)+INDEX(Decrements!$E$6:$E$58,Census!$G139+AR$5-18)*IF((Census!$F139+AR$5)&gt;=Assumptions!$B$11,1,0))*MIN(15/26*Census!$D139*(1+Assumptions!$B$9)^AR$5*(INT((Census!$F139+AR$5))+IF((Census!$F139+AR$5)-INT((Census!$F139+AR$5))&gt;0.5,1,0)),Assumptions!$B$10))</f>
        <v>0</v>
      </c>
      <c r="AS139" s="30">
        <f>IF(AS$5&gt;$B139,0,INDEX(Decrements!$G$6:$G$58,Census!$G139+AS$5-18)/INDEX(Decrements!$G$6:$G$58,Census!$G139-17)*(INDEX(Decrements!$D$6:$D$58,Census!$G139+AS$5-18)+IF(AS$5=$B139,INDEX(Decrements!$F$6:$F$58,Census!$G139+AS$5-18),0)+INDEX(Decrements!$E$6:$E$58,Census!$G139+AS$5-18)*IF((Census!$F139+AS$5)&gt;=Assumptions!$B$11,1,0))*MIN(15/26*Census!$D139*(1+Assumptions!$B$9)^AS$5*(INT((Census!$F139+AS$5))+IF((Census!$F139+AS$5)-INT((Census!$F139+AS$5))&gt;0.5,1,0)),Assumptions!$B$10))</f>
        <v>0</v>
      </c>
      <c r="AT139" s="30">
        <f>IF(AT$5&gt;$B139,0,INDEX(Decrements!$G$6:$G$58,Census!$G139+AT$5-18)/INDEX(Decrements!$G$6:$G$58,Census!$G139-17)*(INDEX(Decrements!$D$6:$D$58,Census!$G139+AT$5-18)+IF(AT$5=$B139,INDEX(Decrements!$F$6:$F$58,Census!$G139+AT$5-18),0)+INDEX(Decrements!$E$6:$E$58,Census!$G139+AT$5-18)*IF((Census!$F139+AT$5)&gt;=Assumptions!$B$11,1,0))*MIN(15/26*Census!$D139*(1+Assumptions!$B$9)^AT$5*(INT((Census!$F139+AT$5))+IF((Census!$F139+AT$5)-INT((Census!$F139+AT$5))&gt;0.5,1,0)),Assumptions!$B$10))</f>
        <v>0</v>
      </c>
      <c r="AU139" s="30">
        <f>IF(AU$5&gt;$B139,0,INDEX(Decrements!$G$6:$G$58,Census!$G139+AU$5-18)/INDEX(Decrements!$G$6:$G$58,Census!$G139-17)*(INDEX(Decrements!$D$6:$D$58,Census!$G139+AU$5-18)+IF(AU$5=$B139,INDEX(Decrements!$F$6:$F$58,Census!$G139+AU$5-18),0)+INDEX(Decrements!$E$6:$E$58,Census!$G139+AU$5-18)*IF((Census!$F139+AU$5)&gt;=Assumptions!$B$11,1,0))*MIN(15/26*Census!$D139*(1+Assumptions!$B$9)^AU$5*(INT((Census!$F139+AU$5))+IF((Census!$F139+AU$5)-INT((Census!$F139+AU$5))&gt;0.5,1,0)),Assumptions!$B$10))</f>
        <v>0</v>
      </c>
    </row>
    <row r="140" spans="1:47" x14ac:dyDescent="0.3">
      <c r="A140" s="10" t="str">
        <f>Census!A140</f>
        <v>E135</v>
      </c>
      <c r="B140" s="29">
        <f>Census!H140</f>
        <v>17</v>
      </c>
      <c r="C140" s="30">
        <f>IF(C$5&gt;$B140,0,INDEX(Decrements!$G$6:$G$58,Census!$G140+C$5-18)/INDEX(Decrements!$G$6:$G$58,Census!$G140-17)*(INDEX(Decrements!$D$6:$D$58,Census!$G140+C$5-18)+IF(C$5=$B140,INDEX(Decrements!$F$6:$F$58,Census!$G140+C$5-18),0)+INDEX(Decrements!$E$6:$E$58,Census!$G140+C$5-18)*IF((Census!$F140+C$5)&gt;=Assumptions!$B$11,1,0))*MIN(15/26*Census!$D140*(1+Assumptions!$B$9)^C$5*(INT((Census!$F140+C$5))+IF((Census!$F140+C$5)-INT((Census!$F140+C$5))&gt;0.5,1,0)),Assumptions!$B$10))</f>
        <v>96227.710874429642</v>
      </c>
      <c r="D140" s="30">
        <f>IF(D$5&gt;$B140,0,INDEX(Decrements!$G$6:$G$58,Census!$G140+D$5-18)/INDEX(Decrements!$G$6:$G$58,Census!$G140-17)*(INDEX(Decrements!$D$6:$D$58,Census!$G140+D$5-18)+IF(D$5=$B140,INDEX(Decrements!$F$6:$F$58,Census!$G140+D$5-18),0)+INDEX(Decrements!$E$6:$E$58,Census!$G140+D$5-18)*IF((Census!$F140+D$5)&gt;=Assumptions!$B$11,1,0))*MIN(15/26*Census!$D140*(1+Assumptions!$B$9)^D$5*(INT((Census!$F140+D$5))+IF((Census!$F140+D$5)-INT((Census!$F140+D$5))&gt;0.5,1,0)),Assumptions!$B$10))</f>
        <v>98065.623210858903</v>
      </c>
      <c r="E140" s="30">
        <f>IF(E$5&gt;$B140,0,INDEX(Decrements!$G$6:$G$58,Census!$G140+E$5-18)/INDEX(Decrements!$G$6:$G$58,Census!$G140-17)*(INDEX(Decrements!$D$6:$D$58,Census!$G140+E$5-18)+IF(E$5=$B140,INDEX(Decrements!$F$6:$F$58,Census!$G140+E$5-18),0)+INDEX(Decrements!$E$6:$E$58,Census!$G140+E$5-18)*IF((Census!$F140+E$5)&gt;=Assumptions!$B$11,1,0))*MIN(15/26*Census!$D140*(1+Assumptions!$B$9)^E$5*(INT((Census!$F140+E$5))+IF((Census!$F140+E$5)-INT((Census!$F140+E$5))&gt;0.5,1,0)),Assumptions!$B$10))</f>
        <v>57326.700182317247</v>
      </c>
      <c r="F140" s="30">
        <f>IF(F$5&gt;$B140,0,INDEX(Decrements!$G$6:$G$58,Census!$G140+F$5-18)/INDEX(Decrements!$G$6:$G$58,Census!$G140-17)*(INDEX(Decrements!$D$6:$D$58,Census!$G140+F$5-18)+IF(F$5=$B140,INDEX(Decrements!$F$6:$F$58,Census!$G140+F$5-18),0)+INDEX(Decrements!$E$6:$E$58,Census!$G140+F$5-18)*IF((Census!$F140+F$5)&gt;=Assumptions!$B$11,1,0))*MIN(15/26*Census!$D140*(1+Assumptions!$B$9)^F$5*(INT((Census!$F140+F$5))+IF((Census!$F140+F$5)-INT((Census!$F140+F$5))&gt;0.5,1,0)),Assumptions!$B$10))</f>
        <v>55757.560066783451</v>
      </c>
      <c r="G140" s="30">
        <f>IF(G$5&gt;$B140,0,INDEX(Decrements!$G$6:$G$58,Census!$G140+G$5-18)/INDEX(Decrements!$G$6:$G$58,Census!$G140-17)*(INDEX(Decrements!$D$6:$D$58,Census!$G140+G$5-18)+IF(G$5=$B140,INDEX(Decrements!$F$6:$F$58,Census!$G140+G$5-18),0)+INDEX(Decrements!$E$6:$E$58,Census!$G140+G$5-18)*IF((Census!$F140+G$5)&gt;=Assumptions!$B$11,1,0))*MIN(15/26*Census!$D140*(1+Assumptions!$B$9)^G$5*(INT((Census!$F140+G$5))+IF((Census!$F140+G$5)-INT((Census!$F140+G$5))&gt;0.5,1,0)),Assumptions!$B$10))</f>
        <v>54246.832008304336</v>
      </c>
      <c r="H140" s="30">
        <f>IF(H$5&gt;$B140,0,INDEX(Decrements!$G$6:$G$58,Census!$G140+H$5-18)/INDEX(Decrements!$G$6:$G$58,Census!$G140-17)*(INDEX(Decrements!$D$6:$D$58,Census!$G140+H$5-18)+IF(H$5=$B140,INDEX(Decrements!$F$6:$F$58,Census!$G140+H$5-18),0)+INDEX(Decrements!$E$6:$E$58,Census!$G140+H$5-18)*IF((Census!$F140+H$5)&gt;=Assumptions!$B$11,1,0))*MIN(15/26*Census!$D140*(1+Assumptions!$B$9)^H$5*(INT((Census!$F140+H$5))+IF((Census!$F140+H$5)-INT((Census!$F140+H$5))&gt;0.5,1,0)),Assumptions!$B$10))</f>
        <v>52793.322513867759</v>
      </c>
      <c r="I140" s="30">
        <f>IF(I$5&gt;$B140,0,INDEX(Decrements!$G$6:$G$58,Census!$G140+I$5-18)/INDEX(Decrements!$G$6:$G$58,Census!$G140-17)*(INDEX(Decrements!$D$6:$D$58,Census!$G140+I$5-18)+IF(I$5=$B140,INDEX(Decrements!$F$6:$F$58,Census!$G140+I$5-18),0)+INDEX(Decrements!$E$6:$E$58,Census!$G140+I$5-18)*IF((Census!$F140+I$5)&gt;=Assumptions!$B$11,1,0))*MIN(15/26*Census!$D140*(1+Assumptions!$B$9)^I$5*(INT((Census!$F140+I$5))+IF((Census!$F140+I$5)-INT((Census!$F140+I$5))&gt;0.5,1,0)),Assumptions!$B$10))</f>
        <v>51395.890824007729</v>
      </c>
      <c r="J140" s="30">
        <f>IF(J$5&gt;$B140,0,INDEX(Decrements!$G$6:$G$58,Census!$G140+J$5-18)/INDEX(Decrements!$G$6:$G$58,Census!$G140-17)*(INDEX(Decrements!$D$6:$D$58,Census!$G140+J$5-18)+IF(J$5=$B140,INDEX(Decrements!$F$6:$F$58,Census!$G140+J$5-18),0)+INDEX(Decrements!$E$6:$E$58,Census!$G140+J$5-18)*IF((Census!$F140+J$5)&gt;=Assumptions!$B$11,1,0))*MIN(15/26*Census!$D140*(1+Assumptions!$B$9)^J$5*(INT((Census!$F140+J$5))+IF((Census!$F140+J$5)-INT((Census!$F140+J$5))&gt;0.5,1,0)),Assumptions!$B$10))</f>
        <v>34824.563376348742</v>
      </c>
      <c r="K140" s="30">
        <f>IF(K$5&gt;$B140,0,INDEX(Decrements!$G$6:$G$58,Census!$G140+K$5-18)/INDEX(Decrements!$G$6:$G$58,Census!$G140-17)*(INDEX(Decrements!$D$6:$D$58,Census!$G140+K$5-18)+IF(K$5=$B140,INDEX(Decrements!$F$6:$F$58,Census!$G140+K$5-18),0)+INDEX(Decrements!$E$6:$E$58,Census!$G140+K$5-18)*IF((Census!$F140+K$5)&gt;=Assumptions!$B$11,1,0))*MIN(15/26*Census!$D140*(1+Assumptions!$B$9)^K$5*(INT((Census!$F140+K$5))+IF((Census!$F140+K$5)-INT((Census!$F140+K$5))&gt;0.5,1,0)),Assumptions!$B$10))</f>
        <v>34389.701221236632</v>
      </c>
      <c r="L140" s="30">
        <f>IF(L$5&gt;$B140,0,INDEX(Decrements!$G$6:$G$58,Census!$G140+L$5-18)/INDEX(Decrements!$G$6:$G$58,Census!$G140-17)*(INDEX(Decrements!$D$6:$D$58,Census!$G140+L$5-18)+IF(L$5=$B140,INDEX(Decrements!$F$6:$F$58,Census!$G140+L$5-18),0)+INDEX(Decrements!$E$6:$E$58,Census!$G140+L$5-18)*IF((Census!$F140+L$5)&gt;=Assumptions!$B$11,1,0))*MIN(15/26*Census!$D140*(1+Assumptions!$B$9)^L$5*(INT((Census!$F140+L$5))+IF((Census!$F140+L$5)-INT((Census!$F140+L$5))&gt;0.5,1,0)),Assumptions!$B$10))</f>
        <v>33983.193882101266</v>
      </c>
      <c r="M140" s="30">
        <f>IF(M$5&gt;$B140,0,INDEX(Decrements!$G$6:$G$58,Census!$G140+M$5-18)/INDEX(Decrements!$G$6:$G$58,Census!$G140-17)*(INDEX(Decrements!$D$6:$D$58,Census!$G140+M$5-18)+IF(M$5=$B140,INDEX(Decrements!$F$6:$F$58,Census!$G140+M$5-18),0)+INDEX(Decrements!$E$6:$E$58,Census!$G140+M$5-18)*IF((Census!$F140+M$5)&gt;=Assumptions!$B$11,1,0))*MIN(15/26*Census!$D140*(1+Assumptions!$B$9)^M$5*(INT((Census!$F140+M$5))+IF((Census!$F140+M$5)-INT((Census!$F140+M$5))&gt;0.5,1,0)),Assumptions!$B$10))</f>
        <v>33605.638850847026</v>
      </c>
      <c r="N140" s="30">
        <f>IF(N$5&gt;$B140,0,INDEX(Decrements!$G$6:$G$58,Census!$G140+N$5-18)/INDEX(Decrements!$G$6:$G$58,Census!$G140-17)*(INDEX(Decrements!$D$6:$D$58,Census!$G140+N$5-18)+IF(N$5=$B140,INDEX(Decrements!$F$6:$F$58,Census!$G140+N$5-18),0)+INDEX(Decrements!$E$6:$E$58,Census!$G140+N$5-18)*IF((Census!$F140+N$5)&gt;=Assumptions!$B$11,1,0))*MIN(15/26*Census!$D140*(1+Assumptions!$B$9)^N$5*(INT((Census!$F140+N$5))+IF((Census!$F140+N$5)-INT((Census!$F140+N$5))&gt;0.5,1,0)),Assumptions!$B$10))</f>
        <v>33257.653336551986</v>
      </c>
      <c r="O140" s="30">
        <f>IF(O$5&gt;$B140,0,INDEX(Decrements!$G$6:$G$58,Census!$G140+O$5-18)/INDEX(Decrements!$G$6:$G$58,Census!$G140-17)*(INDEX(Decrements!$D$6:$D$58,Census!$G140+O$5-18)+IF(O$5=$B140,INDEX(Decrements!$F$6:$F$58,Census!$G140+O$5-18),0)+INDEX(Decrements!$E$6:$E$58,Census!$G140+O$5-18)*IF((Census!$F140+O$5)&gt;=Assumptions!$B$11,1,0))*MIN(15/26*Census!$D140*(1+Assumptions!$B$9)^O$5*(INT((Census!$F140+O$5))+IF((Census!$F140+O$5)-INT((Census!$F140+O$5))&gt;0.5,1,0)),Assumptions!$B$10))</f>
        <v>19427.067012636318</v>
      </c>
      <c r="P140" s="30">
        <f>IF(P$5&gt;$B140,0,INDEX(Decrements!$G$6:$G$58,Census!$G140+P$5-18)/INDEX(Decrements!$G$6:$G$58,Census!$G140-17)*(INDEX(Decrements!$D$6:$D$58,Census!$G140+P$5-18)+IF(P$5=$B140,INDEX(Decrements!$F$6:$F$58,Census!$G140+P$5-18),0)+INDEX(Decrements!$E$6:$E$58,Census!$G140+P$5-18)*IF((Census!$F140+P$5)&gt;=Assumptions!$B$11,1,0))*MIN(15/26*Census!$D140*(1+Assumptions!$B$9)^P$5*(INT((Census!$F140+P$5))+IF((Census!$F140+P$5)-INT((Census!$F140+P$5))&gt;0.5,1,0)),Assumptions!$B$10))</f>
        <v>19672.008870506226</v>
      </c>
      <c r="Q140" s="30">
        <f>IF(Q$5&gt;$B140,0,INDEX(Decrements!$G$6:$G$58,Census!$G140+Q$5-18)/INDEX(Decrements!$G$6:$G$58,Census!$G140-17)*(INDEX(Decrements!$D$6:$D$58,Census!$G140+Q$5-18)+IF(Q$5=$B140,INDEX(Decrements!$F$6:$F$58,Census!$G140+Q$5-18),0)+INDEX(Decrements!$E$6:$E$58,Census!$G140+Q$5-18)*IF((Census!$F140+Q$5)&gt;=Assumptions!$B$11,1,0))*MIN(15/26*Census!$D140*(1+Assumptions!$B$9)^Q$5*(INT((Census!$F140+Q$5))+IF((Census!$F140+Q$5)-INT((Census!$F140+Q$5))&gt;0.5,1,0)),Assumptions!$B$10))</f>
        <v>19949.359525189353</v>
      </c>
      <c r="R140" s="30">
        <f>IF(R$5&gt;$B140,0,INDEX(Decrements!$G$6:$G$58,Census!$G140+R$5-18)/INDEX(Decrements!$G$6:$G$58,Census!$G140-17)*(INDEX(Decrements!$D$6:$D$58,Census!$G140+R$5-18)+IF(R$5=$B140,INDEX(Decrements!$F$6:$F$58,Census!$G140+R$5-18),0)+INDEX(Decrements!$E$6:$E$58,Census!$G140+R$5-18)*IF((Census!$F140+R$5)&gt;=Assumptions!$B$11,1,0))*MIN(15/26*Census!$D140*(1+Assumptions!$B$9)^R$5*(INT((Census!$F140+R$5))+IF((Census!$F140+R$5)-INT((Census!$F140+R$5))&gt;0.5,1,0)),Assumptions!$B$10))</f>
        <v>20261.00399485631</v>
      </c>
      <c r="S140" s="30">
        <f>IF(S$5&gt;$B140,0,INDEX(Decrements!$G$6:$G$58,Census!$G140+S$5-18)/INDEX(Decrements!$G$6:$G$58,Census!$G140-17)*(INDEX(Decrements!$D$6:$D$58,Census!$G140+S$5-18)+IF(S$5=$B140,INDEX(Decrements!$F$6:$F$58,Census!$G140+S$5-18),0)+INDEX(Decrements!$E$6:$E$58,Census!$G140+S$5-18)*IF((Census!$F140+S$5)&gt;=Assumptions!$B$11,1,0))*MIN(15/26*Census!$D140*(1+Assumptions!$B$9)^S$5*(INT((Census!$F140+S$5))+IF((Census!$F140+S$5)-INT((Census!$F140+S$5))&gt;0.5,1,0)),Assumptions!$B$10))</f>
        <v>1277884.7494882199</v>
      </c>
      <c r="T140" s="30">
        <f>IF(T$5&gt;$B140,0,INDEX(Decrements!$G$6:$G$58,Census!$G140+T$5-18)/INDEX(Decrements!$G$6:$G$58,Census!$G140-17)*(INDEX(Decrements!$D$6:$D$58,Census!$G140+T$5-18)+IF(T$5=$B140,INDEX(Decrements!$F$6:$F$58,Census!$G140+T$5-18),0)+INDEX(Decrements!$E$6:$E$58,Census!$G140+T$5-18)*IF((Census!$F140+T$5)&gt;=Assumptions!$B$11,1,0))*MIN(15/26*Census!$D140*(1+Assumptions!$B$9)^T$5*(INT((Census!$F140+T$5))+IF((Census!$F140+T$5)-INT((Census!$F140+T$5))&gt;0.5,1,0)),Assumptions!$B$10))</f>
        <v>0</v>
      </c>
      <c r="U140" s="30">
        <f>IF(U$5&gt;$B140,0,INDEX(Decrements!$G$6:$G$58,Census!$G140+U$5-18)/INDEX(Decrements!$G$6:$G$58,Census!$G140-17)*(INDEX(Decrements!$D$6:$D$58,Census!$G140+U$5-18)+IF(U$5=$B140,INDEX(Decrements!$F$6:$F$58,Census!$G140+U$5-18),0)+INDEX(Decrements!$E$6:$E$58,Census!$G140+U$5-18)*IF((Census!$F140+U$5)&gt;=Assumptions!$B$11,1,0))*MIN(15/26*Census!$D140*(1+Assumptions!$B$9)^U$5*(INT((Census!$F140+U$5))+IF((Census!$F140+U$5)-INT((Census!$F140+U$5))&gt;0.5,1,0)),Assumptions!$B$10))</f>
        <v>0</v>
      </c>
      <c r="V140" s="30">
        <f>IF(V$5&gt;$B140,0,INDEX(Decrements!$G$6:$G$58,Census!$G140+V$5-18)/INDEX(Decrements!$G$6:$G$58,Census!$G140-17)*(INDEX(Decrements!$D$6:$D$58,Census!$G140+V$5-18)+IF(V$5=$B140,INDEX(Decrements!$F$6:$F$58,Census!$G140+V$5-18),0)+INDEX(Decrements!$E$6:$E$58,Census!$G140+V$5-18)*IF((Census!$F140+V$5)&gt;=Assumptions!$B$11,1,0))*MIN(15/26*Census!$D140*(1+Assumptions!$B$9)^V$5*(INT((Census!$F140+V$5))+IF((Census!$F140+V$5)-INT((Census!$F140+V$5))&gt;0.5,1,0)),Assumptions!$B$10))</f>
        <v>0</v>
      </c>
      <c r="W140" s="30">
        <f>IF(W$5&gt;$B140,0,INDEX(Decrements!$G$6:$G$58,Census!$G140+W$5-18)/INDEX(Decrements!$G$6:$G$58,Census!$G140-17)*(INDEX(Decrements!$D$6:$D$58,Census!$G140+W$5-18)+IF(W$5=$B140,INDEX(Decrements!$F$6:$F$58,Census!$G140+W$5-18),0)+INDEX(Decrements!$E$6:$E$58,Census!$G140+W$5-18)*IF((Census!$F140+W$5)&gt;=Assumptions!$B$11,1,0))*MIN(15/26*Census!$D140*(1+Assumptions!$B$9)^W$5*(INT((Census!$F140+W$5))+IF((Census!$F140+W$5)-INT((Census!$F140+W$5))&gt;0.5,1,0)),Assumptions!$B$10))</f>
        <v>0</v>
      </c>
      <c r="X140" s="30">
        <f>IF(X$5&gt;$B140,0,INDEX(Decrements!$G$6:$G$58,Census!$G140+X$5-18)/INDEX(Decrements!$G$6:$G$58,Census!$G140-17)*(INDEX(Decrements!$D$6:$D$58,Census!$G140+X$5-18)+IF(X$5=$B140,INDEX(Decrements!$F$6:$F$58,Census!$G140+X$5-18),0)+INDEX(Decrements!$E$6:$E$58,Census!$G140+X$5-18)*IF((Census!$F140+X$5)&gt;=Assumptions!$B$11,1,0))*MIN(15/26*Census!$D140*(1+Assumptions!$B$9)^X$5*(INT((Census!$F140+X$5))+IF((Census!$F140+X$5)-INT((Census!$F140+X$5))&gt;0.5,1,0)),Assumptions!$B$10))</f>
        <v>0</v>
      </c>
      <c r="Y140" s="30">
        <f>IF(Y$5&gt;$B140,0,INDEX(Decrements!$G$6:$G$58,Census!$G140+Y$5-18)/INDEX(Decrements!$G$6:$G$58,Census!$G140-17)*(INDEX(Decrements!$D$6:$D$58,Census!$G140+Y$5-18)+IF(Y$5=$B140,INDEX(Decrements!$F$6:$F$58,Census!$G140+Y$5-18),0)+INDEX(Decrements!$E$6:$E$58,Census!$G140+Y$5-18)*IF((Census!$F140+Y$5)&gt;=Assumptions!$B$11,1,0))*MIN(15/26*Census!$D140*(1+Assumptions!$B$9)^Y$5*(INT((Census!$F140+Y$5))+IF((Census!$F140+Y$5)-INT((Census!$F140+Y$5))&gt;0.5,1,0)),Assumptions!$B$10))</f>
        <v>0</v>
      </c>
      <c r="Z140" s="30">
        <f>IF(Z$5&gt;$B140,0,INDEX(Decrements!$G$6:$G$58,Census!$G140+Z$5-18)/INDEX(Decrements!$G$6:$G$58,Census!$G140-17)*(INDEX(Decrements!$D$6:$D$58,Census!$G140+Z$5-18)+IF(Z$5=$B140,INDEX(Decrements!$F$6:$F$58,Census!$G140+Z$5-18),0)+INDEX(Decrements!$E$6:$E$58,Census!$G140+Z$5-18)*IF((Census!$F140+Z$5)&gt;=Assumptions!$B$11,1,0))*MIN(15/26*Census!$D140*(1+Assumptions!$B$9)^Z$5*(INT((Census!$F140+Z$5))+IF((Census!$F140+Z$5)-INT((Census!$F140+Z$5))&gt;0.5,1,0)),Assumptions!$B$10))</f>
        <v>0</v>
      </c>
      <c r="AA140" s="30">
        <f>IF(AA$5&gt;$B140,0,INDEX(Decrements!$G$6:$G$58,Census!$G140+AA$5-18)/INDEX(Decrements!$G$6:$G$58,Census!$G140-17)*(INDEX(Decrements!$D$6:$D$58,Census!$G140+AA$5-18)+IF(AA$5=$B140,INDEX(Decrements!$F$6:$F$58,Census!$G140+AA$5-18),0)+INDEX(Decrements!$E$6:$E$58,Census!$G140+AA$5-18)*IF((Census!$F140+AA$5)&gt;=Assumptions!$B$11,1,0))*MIN(15/26*Census!$D140*(1+Assumptions!$B$9)^AA$5*(INT((Census!$F140+AA$5))+IF((Census!$F140+AA$5)-INT((Census!$F140+AA$5))&gt;0.5,1,0)),Assumptions!$B$10))</f>
        <v>0</v>
      </c>
      <c r="AB140" s="30">
        <f>IF(AB$5&gt;$B140,0,INDEX(Decrements!$G$6:$G$58,Census!$G140+AB$5-18)/INDEX(Decrements!$G$6:$G$58,Census!$G140-17)*(INDEX(Decrements!$D$6:$D$58,Census!$G140+AB$5-18)+IF(AB$5=$B140,INDEX(Decrements!$F$6:$F$58,Census!$G140+AB$5-18),0)+INDEX(Decrements!$E$6:$E$58,Census!$G140+AB$5-18)*IF((Census!$F140+AB$5)&gt;=Assumptions!$B$11,1,0))*MIN(15/26*Census!$D140*(1+Assumptions!$B$9)^AB$5*(INT((Census!$F140+AB$5))+IF((Census!$F140+AB$5)-INT((Census!$F140+AB$5))&gt;0.5,1,0)),Assumptions!$B$10))</f>
        <v>0</v>
      </c>
      <c r="AC140" s="30">
        <f>IF(AC$5&gt;$B140,0,INDEX(Decrements!$G$6:$G$58,Census!$G140+AC$5-18)/INDEX(Decrements!$G$6:$G$58,Census!$G140-17)*(INDEX(Decrements!$D$6:$D$58,Census!$G140+AC$5-18)+IF(AC$5=$B140,INDEX(Decrements!$F$6:$F$58,Census!$G140+AC$5-18),0)+INDEX(Decrements!$E$6:$E$58,Census!$G140+AC$5-18)*IF((Census!$F140+AC$5)&gt;=Assumptions!$B$11,1,0))*MIN(15/26*Census!$D140*(1+Assumptions!$B$9)^AC$5*(INT((Census!$F140+AC$5))+IF((Census!$F140+AC$5)-INT((Census!$F140+AC$5))&gt;0.5,1,0)),Assumptions!$B$10))</f>
        <v>0</v>
      </c>
      <c r="AD140" s="30">
        <f>IF(AD$5&gt;$B140,0,INDEX(Decrements!$G$6:$G$58,Census!$G140+AD$5-18)/INDEX(Decrements!$G$6:$G$58,Census!$G140-17)*(INDEX(Decrements!$D$6:$D$58,Census!$G140+AD$5-18)+IF(AD$5=$B140,INDEX(Decrements!$F$6:$F$58,Census!$G140+AD$5-18),0)+INDEX(Decrements!$E$6:$E$58,Census!$G140+AD$5-18)*IF((Census!$F140+AD$5)&gt;=Assumptions!$B$11,1,0))*MIN(15/26*Census!$D140*(1+Assumptions!$B$9)^AD$5*(INT((Census!$F140+AD$5))+IF((Census!$F140+AD$5)-INT((Census!$F140+AD$5))&gt;0.5,1,0)),Assumptions!$B$10))</f>
        <v>0</v>
      </c>
      <c r="AE140" s="30">
        <f>IF(AE$5&gt;$B140,0,INDEX(Decrements!$G$6:$G$58,Census!$G140+AE$5-18)/INDEX(Decrements!$G$6:$G$58,Census!$G140-17)*(INDEX(Decrements!$D$6:$D$58,Census!$G140+AE$5-18)+IF(AE$5=$B140,INDEX(Decrements!$F$6:$F$58,Census!$G140+AE$5-18),0)+INDEX(Decrements!$E$6:$E$58,Census!$G140+AE$5-18)*IF((Census!$F140+AE$5)&gt;=Assumptions!$B$11,1,0))*MIN(15/26*Census!$D140*(1+Assumptions!$B$9)^AE$5*(INT((Census!$F140+AE$5))+IF((Census!$F140+AE$5)-INT((Census!$F140+AE$5))&gt;0.5,1,0)),Assumptions!$B$10))</f>
        <v>0</v>
      </c>
      <c r="AF140" s="30">
        <f>IF(AF$5&gt;$B140,0,INDEX(Decrements!$G$6:$G$58,Census!$G140+AF$5-18)/INDEX(Decrements!$G$6:$G$58,Census!$G140-17)*(INDEX(Decrements!$D$6:$D$58,Census!$G140+AF$5-18)+IF(AF$5=$B140,INDEX(Decrements!$F$6:$F$58,Census!$G140+AF$5-18),0)+INDEX(Decrements!$E$6:$E$58,Census!$G140+AF$5-18)*IF((Census!$F140+AF$5)&gt;=Assumptions!$B$11,1,0))*MIN(15/26*Census!$D140*(1+Assumptions!$B$9)^AF$5*(INT((Census!$F140+AF$5))+IF((Census!$F140+AF$5)-INT((Census!$F140+AF$5))&gt;0.5,1,0)),Assumptions!$B$10))</f>
        <v>0</v>
      </c>
      <c r="AG140" s="30">
        <f>IF(AG$5&gt;$B140,0,INDEX(Decrements!$G$6:$G$58,Census!$G140+AG$5-18)/INDEX(Decrements!$G$6:$G$58,Census!$G140-17)*(INDEX(Decrements!$D$6:$D$58,Census!$G140+AG$5-18)+IF(AG$5=$B140,INDEX(Decrements!$F$6:$F$58,Census!$G140+AG$5-18),0)+INDEX(Decrements!$E$6:$E$58,Census!$G140+AG$5-18)*IF((Census!$F140+AG$5)&gt;=Assumptions!$B$11,1,0))*MIN(15/26*Census!$D140*(1+Assumptions!$B$9)^AG$5*(INT((Census!$F140+AG$5))+IF((Census!$F140+AG$5)-INT((Census!$F140+AG$5))&gt;0.5,1,0)),Assumptions!$B$10))</f>
        <v>0</v>
      </c>
      <c r="AH140" s="30">
        <f>IF(AH$5&gt;$B140,0,INDEX(Decrements!$G$6:$G$58,Census!$G140+AH$5-18)/INDEX(Decrements!$G$6:$G$58,Census!$G140-17)*(INDEX(Decrements!$D$6:$D$58,Census!$G140+AH$5-18)+IF(AH$5=$B140,INDEX(Decrements!$F$6:$F$58,Census!$G140+AH$5-18),0)+INDEX(Decrements!$E$6:$E$58,Census!$G140+AH$5-18)*IF((Census!$F140+AH$5)&gt;=Assumptions!$B$11,1,0))*MIN(15/26*Census!$D140*(1+Assumptions!$B$9)^AH$5*(INT((Census!$F140+AH$5))+IF((Census!$F140+AH$5)-INT((Census!$F140+AH$5))&gt;0.5,1,0)),Assumptions!$B$10))</f>
        <v>0</v>
      </c>
      <c r="AI140" s="30">
        <f>IF(AI$5&gt;$B140,0,INDEX(Decrements!$G$6:$G$58,Census!$G140+AI$5-18)/INDEX(Decrements!$G$6:$G$58,Census!$G140-17)*(INDEX(Decrements!$D$6:$D$58,Census!$G140+AI$5-18)+IF(AI$5=$B140,INDEX(Decrements!$F$6:$F$58,Census!$G140+AI$5-18),0)+INDEX(Decrements!$E$6:$E$58,Census!$G140+AI$5-18)*IF((Census!$F140+AI$5)&gt;=Assumptions!$B$11,1,0))*MIN(15/26*Census!$D140*(1+Assumptions!$B$9)^AI$5*(INT((Census!$F140+AI$5))+IF((Census!$F140+AI$5)-INT((Census!$F140+AI$5))&gt;0.5,1,0)),Assumptions!$B$10))</f>
        <v>0</v>
      </c>
      <c r="AJ140" s="30">
        <f>IF(AJ$5&gt;$B140,0,INDEX(Decrements!$G$6:$G$58,Census!$G140+AJ$5-18)/INDEX(Decrements!$G$6:$G$58,Census!$G140-17)*(INDEX(Decrements!$D$6:$D$58,Census!$G140+AJ$5-18)+IF(AJ$5=$B140,INDEX(Decrements!$F$6:$F$58,Census!$G140+AJ$5-18),0)+INDEX(Decrements!$E$6:$E$58,Census!$G140+AJ$5-18)*IF((Census!$F140+AJ$5)&gt;=Assumptions!$B$11,1,0))*MIN(15/26*Census!$D140*(1+Assumptions!$B$9)^AJ$5*(INT((Census!$F140+AJ$5))+IF((Census!$F140+AJ$5)-INT((Census!$F140+AJ$5))&gt;0.5,1,0)),Assumptions!$B$10))</f>
        <v>0</v>
      </c>
      <c r="AK140" s="30">
        <f>IF(AK$5&gt;$B140,0,INDEX(Decrements!$G$6:$G$58,Census!$G140+AK$5-18)/INDEX(Decrements!$G$6:$G$58,Census!$G140-17)*(INDEX(Decrements!$D$6:$D$58,Census!$G140+AK$5-18)+IF(AK$5=$B140,INDEX(Decrements!$F$6:$F$58,Census!$G140+AK$5-18),0)+INDEX(Decrements!$E$6:$E$58,Census!$G140+AK$5-18)*IF((Census!$F140+AK$5)&gt;=Assumptions!$B$11,1,0))*MIN(15/26*Census!$D140*(1+Assumptions!$B$9)^AK$5*(INT((Census!$F140+AK$5))+IF((Census!$F140+AK$5)-INT((Census!$F140+AK$5))&gt;0.5,1,0)),Assumptions!$B$10))</f>
        <v>0</v>
      </c>
      <c r="AL140" s="30">
        <f>IF(AL$5&gt;$B140,0,INDEX(Decrements!$G$6:$G$58,Census!$G140+AL$5-18)/INDEX(Decrements!$G$6:$G$58,Census!$G140-17)*(INDEX(Decrements!$D$6:$D$58,Census!$G140+AL$5-18)+IF(AL$5=$B140,INDEX(Decrements!$F$6:$F$58,Census!$G140+AL$5-18),0)+INDEX(Decrements!$E$6:$E$58,Census!$G140+AL$5-18)*IF((Census!$F140+AL$5)&gt;=Assumptions!$B$11,1,0))*MIN(15/26*Census!$D140*(1+Assumptions!$B$9)^AL$5*(INT((Census!$F140+AL$5))+IF((Census!$F140+AL$5)-INT((Census!$F140+AL$5))&gt;0.5,1,0)),Assumptions!$B$10))</f>
        <v>0</v>
      </c>
      <c r="AM140" s="30">
        <f>IF(AM$5&gt;$B140,0,INDEX(Decrements!$G$6:$G$58,Census!$G140+AM$5-18)/INDEX(Decrements!$G$6:$G$58,Census!$G140-17)*(INDEX(Decrements!$D$6:$D$58,Census!$G140+AM$5-18)+IF(AM$5=$B140,INDEX(Decrements!$F$6:$F$58,Census!$G140+AM$5-18),0)+INDEX(Decrements!$E$6:$E$58,Census!$G140+AM$5-18)*IF((Census!$F140+AM$5)&gt;=Assumptions!$B$11,1,0))*MIN(15/26*Census!$D140*(1+Assumptions!$B$9)^AM$5*(INT((Census!$F140+AM$5))+IF((Census!$F140+AM$5)-INT((Census!$F140+AM$5))&gt;0.5,1,0)),Assumptions!$B$10))</f>
        <v>0</v>
      </c>
      <c r="AN140" s="30">
        <f>IF(AN$5&gt;$B140,0,INDEX(Decrements!$G$6:$G$58,Census!$G140+AN$5-18)/INDEX(Decrements!$G$6:$G$58,Census!$G140-17)*(INDEX(Decrements!$D$6:$D$58,Census!$G140+AN$5-18)+IF(AN$5=$B140,INDEX(Decrements!$F$6:$F$58,Census!$G140+AN$5-18),0)+INDEX(Decrements!$E$6:$E$58,Census!$G140+AN$5-18)*IF((Census!$F140+AN$5)&gt;=Assumptions!$B$11,1,0))*MIN(15/26*Census!$D140*(1+Assumptions!$B$9)^AN$5*(INT((Census!$F140+AN$5))+IF((Census!$F140+AN$5)-INT((Census!$F140+AN$5))&gt;0.5,1,0)),Assumptions!$B$10))</f>
        <v>0</v>
      </c>
      <c r="AO140" s="30">
        <f>IF(AO$5&gt;$B140,0,INDEX(Decrements!$G$6:$G$58,Census!$G140+AO$5-18)/INDEX(Decrements!$G$6:$G$58,Census!$G140-17)*(INDEX(Decrements!$D$6:$D$58,Census!$G140+AO$5-18)+IF(AO$5=$B140,INDEX(Decrements!$F$6:$F$58,Census!$G140+AO$5-18),0)+INDEX(Decrements!$E$6:$E$58,Census!$G140+AO$5-18)*IF((Census!$F140+AO$5)&gt;=Assumptions!$B$11,1,0))*MIN(15/26*Census!$D140*(1+Assumptions!$B$9)^AO$5*(INT((Census!$F140+AO$5))+IF((Census!$F140+AO$5)-INT((Census!$F140+AO$5))&gt;0.5,1,0)),Assumptions!$B$10))</f>
        <v>0</v>
      </c>
      <c r="AP140" s="30">
        <f>IF(AP$5&gt;$B140,0,INDEX(Decrements!$G$6:$G$58,Census!$G140+AP$5-18)/INDEX(Decrements!$G$6:$G$58,Census!$G140-17)*(INDEX(Decrements!$D$6:$D$58,Census!$G140+AP$5-18)+IF(AP$5=$B140,INDEX(Decrements!$F$6:$F$58,Census!$G140+AP$5-18),0)+INDEX(Decrements!$E$6:$E$58,Census!$G140+AP$5-18)*IF((Census!$F140+AP$5)&gt;=Assumptions!$B$11,1,0))*MIN(15/26*Census!$D140*(1+Assumptions!$B$9)^AP$5*(INT((Census!$F140+AP$5))+IF((Census!$F140+AP$5)-INT((Census!$F140+AP$5))&gt;0.5,1,0)),Assumptions!$B$10))</f>
        <v>0</v>
      </c>
      <c r="AQ140" s="30">
        <f>IF(AQ$5&gt;$B140,0,INDEX(Decrements!$G$6:$G$58,Census!$G140+AQ$5-18)/INDEX(Decrements!$G$6:$G$58,Census!$G140-17)*(INDEX(Decrements!$D$6:$D$58,Census!$G140+AQ$5-18)+IF(AQ$5=$B140,INDEX(Decrements!$F$6:$F$58,Census!$G140+AQ$5-18),0)+INDEX(Decrements!$E$6:$E$58,Census!$G140+AQ$5-18)*IF((Census!$F140+AQ$5)&gt;=Assumptions!$B$11,1,0))*MIN(15/26*Census!$D140*(1+Assumptions!$B$9)^AQ$5*(INT((Census!$F140+AQ$5))+IF((Census!$F140+AQ$5)-INT((Census!$F140+AQ$5))&gt;0.5,1,0)),Assumptions!$B$10))</f>
        <v>0</v>
      </c>
      <c r="AR140" s="30">
        <f>IF(AR$5&gt;$B140,0,INDEX(Decrements!$G$6:$G$58,Census!$G140+AR$5-18)/INDEX(Decrements!$G$6:$G$58,Census!$G140-17)*(INDEX(Decrements!$D$6:$D$58,Census!$G140+AR$5-18)+IF(AR$5=$B140,INDEX(Decrements!$F$6:$F$58,Census!$G140+AR$5-18),0)+INDEX(Decrements!$E$6:$E$58,Census!$G140+AR$5-18)*IF((Census!$F140+AR$5)&gt;=Assumptions!$B$11,1,0))*MIN(15/26*Census!$D140*(1+Assumptions!$B$9)^AR$5*(INT((Census!$F140+AR$5))+IF((Census!$F140+AR$5)-INT((Census!$F140+AR$5))&gt;0.5,1,0)),Assumptions!$B$10))</f>
        <v>0</v>
      </c>
      <c r="AS140" s="30">
        <f>IF(AS$5&gt;$B140,0,INDEX(Decrements!$G$6:$G$58,Census!$G140+AS$5-18)/INDEX(Decrements!$G$6:$G$58,Census!$G140-17)*(INDEX(Decrements!$D$6:$D$58,Census!$G140+AS$5-18)+IF(AS$5=$B140,INDEX(Decrements!$F$6:$F$58,Census!$G140+AS$5-18),0)+INDEX(Decrements!$E$6:$E$58,Census!$G140+AS$5-18)*IF((Census!$F140+AS$5)&gt;=Assumptions!$B$11,1,0))*MIN(15/26*Census!$D140*(1+Assumptions!$B$9)^AS$5*(INT((Census!$F140+AS$5))+IF((Census!$F140+AS$5)-INT((Census!$F140+AS$5))&gt;0.5,1,0)),Assumptions!$B$10))</f>
        <v>0</v>
      </c>
      <c r="AT140" s="30">
        <f>IF(AT$5&gt;$B140,0,INDEX(Decrements!$G$6:$G$58,Census!$G140+AT$5-18)/INDEX(Decrements!$G$6:$G$58,Census!$G140-17)*(INDEX(Decrements!$D$6:$D$58,Census!$G140+AT$5-18)+IF(AT$5=$B140,INDEX(Decrements!$F$6:$F$58,Census!$G140+AT$5-18),0)+INDEX(Decrements!$E$6:$E$58,Census!$G140+AT$5-18)*IF((Census!$F140+AT$5)&gt;=Assumptions!$B$11,1,0))*MIN(15/26*Census!$D140*(1+Assumptions!$B$9)^AT$5*(INT((Census!$F140+AT$5))+IF((Census!$F140+AT$5)-INT((Census!$F140+AT$5))&gt;0.5,1,0)),Assumptions!$B$10))</f>
        <v>0</v>
      </c>
      <c r="AU140" s="30">
        <f>IF(AU$5&gt;$B140,0,INDEX(Decrements!$G$6:$G$58,Census!$G140+AU$5-18)/INDEX(Decrements!$G$6:$G$58,Census!$G140-17)*(INDEX(Decrements!$D$6:$D$58,Census!$G140+AU$5-18)+IF(AU$5=$B140,INDEX(Decrements!$F$6:$F$58,Census!$G140+AU$5-18),0)+INDEX(Decrements!$E$6:$E$58,Census!$G140+AU$5-18)*IF((Census!$F140+AU$5)&gt;=Assumptions!$B$11,1,0))*MIN(15/26*Census!$D140*(1+Assumptions!$B$9)^AU$5*(INT((Census!$F140+AU$5))+IF((Census!$F140+AU$5)-INT((Census!$F140+AU$5))&gt;0.5,1,0)),Assumptions!$B$10))</f>
        <v>0</v>
      </c>
    </row>
    <row r="141" spans="1:47" x14ac:dyDescent="0.3">
      <c r="A141" s="10" t="str">
        <f>Census!A141</f>
        <v>E136</v>
      </c>
      <c r="B141" s="29">
        <f>Census!H141</f>
        <v>30</v>
      </c>
      <c r="C141" s="30">
        <f>IF(C$5&gt;$B141,0,INDEX(Decrements!$G$6:$G$58,Census!$G141+C$5-18)/INDEX(Decrements!$G$6:$G$58,Census!$G141-17)*(INDEX(Decrements!$D$6:$D$58,Census!$G141+C$5-18)+IF(C$5=$B141,INDEX(Decrements!$F$6:$F$58,Census!$G141+C$5-18),0)+INDEX(Decrements!$E$6:$E$58,Census!$G141+C$5-18)*IF((Census!$F141+C$5)&gt;=Assumptions!$B$11,1,0))*MIN(15/26*Census!$D141*(1+Assumptions!$B$9)^C$5*(INT((Census!$F141+C$5))+IF((Census!$F141+C$5)-INT((Census!$F141+C$5))&gt;0.5,1,0)),Assumptions!$B$10))</f>
        <v>23944.010603136583</v>
      </c>
      <c r="D141" s="30">
        <f>IF(D$5&gt;$B141,0,INDEX(Decrements!$G$6:$G$58,Census!$G141+D$5-18)/INDEX(Decrements!$G$6:$G$58,Census!$G141-17)*(INDEX(Decrements!$D$6:$D$58,Census!$G141+D$5-18)+IF(D$5=$B141,INDEX(Decrements!$F$6:$F$58,Census!$G141+D$5-18),0)+INDEX(Decrements!$E$6:$E$58,Census!$G141+D$5-18)*IF((Census!$F141+D$5)&gt;=Assumptions!$B$11,1,0))*MIN(15/26*Census!$D141*(1+Assumptions!$B$9)^D$5*(INT((Census!$F141+D$5))+IF((Census!$F141+D$5)-INT((Census!$F141+D$5))&gt;0.5,1,0)),Assumptions!$B$10))</f>
        <v>26290.425643623366</v>
      </c>
      <c r="E141" s="30">
        <f>IF(E$5&gt;$B141,0,INDEX(Decrements!$G$6:$G$58,Census!$G141+E$5-18)/INDEX(Decrements!$G$6:$G$58,Census!$G141-17)*(INDEX(Decrements!$D$6:$D$58,Census!$G141+E$5-18)+IF(E$5=$B141,INDEX(Decrements!$F$6:$F$58,Census!$G141+E$5-18),0)+INDEX(Decrements!$E$6:$E$58,Census!$G141+E$5-18)*IF((Census!$F141+E$5)&gt;=Assumptions!$B$11,1,0))*MIN(15/26*Census!$D141*(1+Assumptions!$B$9)^E$5*(INT((Census!$F141+E$5))+IF((Census!$F141+E$5)-INT((Census!$F141+E$5))&gt;0.5,1,0)),Assumptions!$B$10))</f>
        <v>28415.528530522788</v>
      </c>
      <c r="F141" s="30">
        <f>IF(F$5&gt;$B141,0,INDEX(Decrements!$G$6:$G$58,Census!$G141+F$5-18)/INDEX(Decrements!$G$6:$G$58,Census!$G141-17)*(INDEX(Decrements!$D$6:$D$58,Census!$G141+F$5-18)+IF(F$5=$B141,INDEX(Decrements!$F$6:$F$58,Census!$G141+F$5-18),0)+INDEX(Decrements!$E$6:$E$58,Census!$G141+F$5-18)*IF((Census!$F141+F$5)&gt;=Assumptions!$B$11,1,0))*MIN(15/26*Census!$D141*(1+Assumptions!$B$9)^F$5*(INT((Census!$F141+F$5))+IF((Census!$F141+F$5)-INT((Census!$F141+F$5))&gt;0.5,1,0)),Assumptions!$B$10))</f>
        <v>30332.997117172119</v>
      </c>
      <c r="G141" s="30">
        <f>IF(G$5&gt;$B141,0,INDEX(Decrements!$G$6:$G$58,Census!$G141+G$5-18)/INDEX(Decrements!$G$6:$G$58,Census!$G141-17)*(INDEX(Decrements!$D$6:$D$58,Census!$G141+G$5-18)+IF(G$5=$B141,INDEX(Decrements!$F$6:$F$58,Census!$G141+G$5-18),0)+INDEX(Decrements!$E$6:$E$58,Census!$G141+G$5-18)*IF((Census!$F141+G$5)&gt;=Assumptions!$B$11,1,0))*MIN(15/26*Census!$D141*(1+Assumptions!$B$9)^G$5*(INT((Census!$F141+G$5))+IF((Census!$F141+G$5)-INT((Census!$F141+G$5))&gt;0.5,1,0)),Assumptions!$B$10))</f>
        <v>32055.771790423765</v>
      </c>
      <c r="H141" s="30">
        <f>IF(H$5&gt;$B141,0,INDEX(Decrements!$G$6:$G$58,Census!$G141+H$5-18)/INDEX(Decrements!$G$6:$G$58,Census!$G141-17)*(INDEX(Decrements!$D$6:$D$58,Census!$G141+H$5-18)+IF(H$5=$B141,INDEX(Decrements!$F$6:$F$58,Census!$G141+H$5-18),0)+INDEX(Decrements!$E$6:$E$58,Census!$G141+H$5-18)*IF((Census!$F141+H$5)&gt;=Assumptions!$B$11,1,0))*MIN(15/26*Census!$D141*(1+Assumptions!$B$9)^H$5*(INT((Census!$F141+H$5))+IF((Census!$F141+H$5)-INT((Census!$F141+H$5))&gt;0.5,1,0)),Assumptions!$B$10))</f>
        <v>24515.264833248733</v>
      </c>
      <c r="I141" s="30">
        <f>IF(I$5&gt;$B141,0,INDEX(Decrements!$G$6:$G$58,Census!$G141+I$5-18)/INDEX(Decrements!$G$6:$G$58,Census!$G141-17)*(INDEX(Decrements!$D$6:$D$58,Census!$G141+I$5-18)+IF(I$5=$B141,INDEX(Decrements!$F$6:$F$58,Census!$G141+I$5-18),0)+INDEX(Decrements!$E$6:$E$58,Census!$G141+I$5-18)*IF((Census!$F141+I$5)&gt;=Assumptions!$B$11,1,0))*MIN(15/26*Census!$D141*(1+Assumptions!$B$9)^I$5*(INT((Census!$F141+I$5))+IF((Census!$F141+I$5)-INT((Census!$F141+I$5))&gt;0.5,1,0)),Assumptions!$B$10))</f>
        <v>26379.786085300158</v>
      </c>
      <c r="J141" s="30">
        <f>IF(J$5&gt;$B141,0,INDEX(Decrements!$G$6:$G$58,Census!$G141+J$5-18)/INDEX(Decrements!$G$6:$G$58,Census!$G141-17)*(INDEX(Decrements!$D$6:$D$58,Census!$G141+J$5-18)+IF(J$5=$B141,INDEX(Decrements!$F$6:$F$58,Census!$G141+J$5-18),0)+INDEX(Decrements!$E$6:$E$58,Census!$G141+J$5-18)*IF((Census!$F141+J$5)&gt;=Assumptions!$B$11,1,0))*MIN(15/26*Census!$D141*(1+Assumptions!$B$9)^J$5*(INT((Census!$F141+J$5))+IF((Census!$F141+J$5)-INT((Census!$F141+J$5))&gt;0.5,1,0)),Assumptions!$B$10))</f>
        <v>28218.358931370109</v>
      </c>
      <c r="K141" s="30">
        <f>IF(K$5&gt;$B141,0,INDEX(Decrements!$G$6:$G$58,Census!$G141+K$5-18)/INDEX(Decrements!$G$6:$G$58,Census!$G141-17)*(INDEX(Decrements!$D$6:$D$58,Census!$G141+K$5-18)+IF(K$5=$B141,INDEX(Decrements!$F$6:$F$58,Census!$G141+K$5-18),0)+INDEX(Decrements!$E$6:$E$58,Census!$G141+K$5-18)*IF((Census!$F141+K$5)&gt;=Assumptions!$B$11,1,0))*MIN(15/26*Census!$D141*(1+Assumptions!$B$9)^K$5*(INT((Census!$F141+K$5))+IF((Census!$F141+K$5)-INT((Census!$F141+K$5))&gt;0.5,1,0)),Assumptions!$B$10))</f>
        <v>30031.30987158083</v>
      </c>
      <c r="L141" s="30">
        <f>IF(L$5&gt;$B141,0,INDEX(Decrements!$G$6:$G$58,Census!$G141+L$5-18)/INDEX(Decrements!$G$6:$G$58,Census!$G141-17)*(INDEX(Decrements!$D$6:$D$58,Census!$G141+L$5-18)+IF(L$5=$B141,INDEX(Decrements!$F$6:$F$58,Census!$G141+L$5-18),0)+INDEX(Decrements!$E$6:$E$58,Census!$G141+L$5-18)*IF((Census!$F141+L$5)&gt;=Assumptions!$B$11,1,0))*MIN(15/26*Census!$D141*(1+Assumptions!$B$9)^L$5*(INT((Census!$F141+L$5))+IF((Census!$F141+L$5)-INT((Census!$F141+L$5))&gt;0.5,1,0)),Assumptions!$B$10))</f>
        <v>31818.967552009304</v>
      </c>
      <c r="M141" s="30">
        <f>IF(M$5&gt;$B141,0,INDEX(Decrements!$G$6:$G$58,Census!$G141+M$5-18)/INDEX(Decrements!$G$6:$G$58,Census!$G141-17)*(INDEX(Decrements!$D$6:$D$58,Census!$G141+M$5-18)+IF(M$5=$B141,INDEX(Decrements!$F$6:$F$58,Census!$G141+M$5-18),0)+INDEX(Decrements!$E$6:$E$58,Census!$G141+M$5-18)*IF((Census!$F141+M$5)&gt;=Assumptions!$B$11,1,0))*MIN(15/26*Census!$D141*(1+Assumptions!$B$9)^M$5*(INT((Census!$F141+M$5))+IF((Census!$F141+M$5)-INT((Census!$F141+M$5))&gt;0.5,1,0)),Assumptions!$B$10))</f>
        <v>21197.618670081483</v>
      </c>
      <c r="N141" s="30">
        <f>IF(N$5&gt;$B141,0,INDEX(Decrements!$G$6:$G$58,Census!$G141+N$5-18)/INDEX(Decrements!$G$6:$G$58,Census!$G141-17)*(INDEX(Decrements!$D$6:$D$58,Census!$G141+N$5-18)+IF(N$5=$B141,INDEX(Decrements!$F$6:$F$58,Census!$G141+N$5-18),0)+INDEX(Decrements!$E$6:$E$58,Census!$G141+N$5-18)*IF((Census!$F141+N$5)&gt;=Assumptions!$B$11,1,0))*MIN(15/26*Census!$D141*(1+Assumptions!$B$9)^N$5*(INT((Census!$F141+N$5))+IF((Census!$F141+N$5)-INT((Census!$F141+N$5))&gt;0.5,1,0)),Assumptions!$B$10))</f>
        <v>23037.439001264996</v>
      </c>
      <c r="O141" s="30">
        <f>IF(O$5&gt;$B141,0,INDEX(Decrements!$G$6:$G$58,Census!$G141+O$5-18)/INDEX(Decrements!$G$6:$G$58,Census!$G141-17)*(INDEX(Decrements!$D$6:$D$58,Census!$G141+O$5-18)+IF(O$5=$B141,INDEX(Decrements!$F$6:$F$58,Census!$G141+O$5-18),0)+INDEX(Decrements!$E$6:$E$58,Census!$G141+O$5-18)*IF((Census!$F141+O$5)&gt;=Assumptions!$B$11,1,0))*MIN(15/26*Census!$D141*(1+Assumptions!$B$9)^O$5*(INT((Census!$F141+O$5))+IF((Census!$F141+O$5)-INT((Census!$F141+O$5))&gt;0.5,1,0)),Assumptions!$B$10))</f>
        <v>24961.587208540226</v>
      </c>
      <c r="P141" s="30">
        <f>IF(P$5&gt;$B141,0,INDEX(Decrements!$G$6:$G$58,Census!$G141+P$5-18)/INDEX(Decrements!$G$6:$G$58,Census!$G141-17)*(INDEX(Decrements!$D$6:$D$58,Census!$G141+P$5-18)+IF(P$5=$B141,INDEX(Decrements!$F$6:$F$58,Census!$G141+P$5-18),0)+INDEX(Decrements!$E$6:$E$58,Census!$G141+P$5-18)*IF((Census!$F141+P$5)&gt;=Assumptions!$B$11,1,0))*MIN(15/26*Census!$D141*(1+Assumptions!$B$9)^P$5*(INT((Census!$F141+P$5))+IF((Census!$F141+P$5)-INT((Census!$F141+P$5))&gt;0.5,1,0)),Assumptions!$B$10))</f>
        <v>26973.783077583506</v>
      </c>
      <c r="Q141" s="30">
        <f>IF(Q$5&gt;$B141,0,INDEX(Decrements!$G$6:$G$58,Census!$G141+Q$5-18)/INDEX(Decrements!$G$6:$G$58,Census!$G141-17)*(INDEX(Decrements!$D$6:$D$58,Census!$G141+Q$5-18)+IF(Q$5=$B141,INDEX(Decrements!$F$6:$F$58,Census!$G141+Q$5-18),0)+INDEX(Decrements!$E$6:$E$58,Census!$G141+Q$5-18)*IF((Census!$F141+Q$5)&gt;=Assumptions!$B$11,1,0))*MIN(15/26*Census!$D141*(1+Assumptions!$B$9)^Q$5*(INT((Census!$F141+Q$5))+IF((Census!$F141+Q$5)-INT((Census!$F141+Q$5))&gt;0.5,1,0)),Assumptions!$B$10))</f>
        <v>29077.96637987893</v>
      </c>
      <c r="R141" s="30">
        <f>IF(R$5&gt;$B141,0,INDEX(Decrements!$G$6:$G$58,Census!$G141+R$5-18)/INDEX(Decrements!$G$6:$G$58,Census!$G141-17)*(INDEX(Decrements!$D$6:$D$58,Census!$G141+R$5-18)+IF(R$5=$B141,INDEX(Decrements!$F$6:$F$58,Census!$G141+R$5-18),0)+INDEX(Decrements!$E$6:$E$58,Census!$G141+R$5-18)*IF((Census!$F141+R$5)&gt;=Assumptions!$B$11,1,0))*MIN(15/26*Census!$D141*(1+Assumptions!$B$9)^R$5*(INT((Census!$F141+R$5))+IF((Census!$F141+R$5)-INT((Census!$F141+R$5))&gt;0.5,1,0)),Assumptions!$B$10))</f>
        <v>17834.418860330734</v>
      </c>
      <c r="S141" s="30">
        <f>IF(S$5&gt;$B141,0,INDEX(Decrements!$G$6:$G$58,Census!$G141+S$5-18)/INDEX(Decrements!$G$6:$G$58,Census!$G141-17)*(INDEX(Decrements!$D$6:$D$58,Census!$G141+S$5-18)+IF(S$5=$B141,INDEX(Decrements!$F$6:$F$58,Census!$G141+S$5-18),0)+INDEX(Decrements!$E$6:$E$58,Census!$G141+S$5-18)*IF((Census!$F141+S$5)&gt;=Assumptions!$B$11,1,0))*MIN(15/26*Census!$D141*(1+Assumptions!$B$9)^S$5*(INT((Census!$F141+S$5))+IF((Census!$F141+S$5)-INT((Census!$F141+S$5))&gt;0.5,1,0)),Assumptions!$B$10))</f>
        <v>17346.257114024436</v>
      </c>
      <c r="T141" s="30">
        <f>IF(T$5&gt;$B141,0,INDEX(Decrements!$G$6:$G$58,Census!$G141+T$5-18)/INDEX(Decrements!$G$6:$G$58,Census!$G141-17)*(INDEX(Decrements!$D$6:$D$58,Census!$G141+T$5-18)+IF(T$5=$B141,INDEX(Decrements!$F$6:$F$58,Census!$G141+T$5-18),0)+INDEX(Decrements!$E$6:$E$58,Census!$G141+T$5-18)*IF((Census!$F141+T$5)&gt;=Assumptions!$B$11,1,0))*MIN(15/26*Census!$D141*(1+Assumptions!$B$9)^T$5*(INT((Census!$F141+T$5))+IF((Census!$F141+T$5)-INT((Census!$F141+T$5))&gt;0.5,1,0)),Assumptions!$B$10))</f>
        <v>16876.267442662167</v>
      </c>
      <c r="U141" s="30">
        <f>IF(U$5&gt;$B141,0,INDEX(Decrements!$G$6:$G$58,Census!$G141+U$5-18)/INDEX(Decrements!$G$6:$G$58,Census!$G141-17)*(INDEX(Decrements!$D$6:$D$58,Census!$G141+U$5-18)+IF(U$5=$B141,INDEX(Decrements!$F$6:$F$58,Census!$G141+U$5-18),0)+INDEX(Decrements!$E$6:$E$58,Census!$G141+U$5-18)*IF((Census!$F141+U$5)&gt;=Assumptions!$B$11,1,0))*MIN(15/26*Census!$D141*(1+Assumptions!$B$9)^U$5*(INT((Census!$F141+U$5))+IF((Census!$F141+U$5)-INT((Census!$F141+U$5))&gt;0.5,1,0)),Assumptions!$B$10))</f>
        <v>16424.078548851645</v>
      </c>
      <c r="V141" s="30">
        <f>IF(V$5&gt;$B141,0,INDEX(Decrements!$G$6:$G$58,Census!$G141+V$5-18)/INDEX(Decrements!$G$6:$G$58,Census!$G141-17)*(INDEX(Decrements!$D$6:$D$58,Census!$G141+V$5-18)+IF(V$5=$B141,INDEX(Decrements!$F$6:$F$58,Census!$G141+V$5-18),0)+INDEX(Decrements!$E$6:$E$58,Census!$G141+V$5-18)*IF((Census!$F141+V$5)&gt;=Assumptions!$B$11,1,0))*MIN(15/26*Census!$D141*(1+Assumptions!$B$9)^V$5*(INT((Census!$F141+V$5))+IF((Census!$F141+V$5)-INT((Census!$F141+V$5))&gt;0.5,1,0)),Assumptions!$B$10))</f>
        <v>15989.335540682634</v>
      </c>
      <c r="W141" s="30">
        <f>IF(W$5&gt;$B141,0,INDEX(Decrements!$G$6:$G$58,Census!$G141+W$5-18)/INDEX(Decrements!$G$6:$G$58,Census!$G141-17)*(INDEX(Decrements!$D$6:$D$58,Census!$G141+W$5-18)+IF(W$5=$B141,INDEX(Decrements!$F$6:$F$58,Census!$G141+W$5-18),0)+INDEX(Decrements!$E$6:$E$58,Census!$G141+W$5-18)*IF((Census!$F141+W$5)&gt;=Assumptions!$B$11,1,0))*MIN(15/26*Census!$D141*(1+Assumptions!$B$9)^W$5*(INT((Census!$F141+W$5))+IF((Census!$F141+W$5)-INT((Census!$F141+W$5))&gt;0.5,1,0)),Assumptions!$B$10))</f>
        <v>10833.971742778096</v>
      </c>
      <c r="X141" s="30">
        <f>IF(X$5&gt;$B141,0,INDEX(Decrements!$G$6:$G$58,Census!$G141+X$5-18)/INDEX(Decrements!$G$6:$G$58,Census!$G141-17)*(INDEX(Decrements!$D$6:$D$58,Census!$G141+X$5-18)+IF(X$5=$B141,INDEX(Decrements!$F$6:$F$58,Census!$G141+X$5-18),0)+INDEX(Decrements!$E$6:$E$58,Census!$G141+X$5-18)*IF((Census!$F141+X$5)&gt;=Assumptions!$B$11,1,0))*MIN(15/26*Census!$D141*(1+Assumptions!$B$9)^X$5*(INT((Census!$F141+X$5))+IF((Census!$F141+X$5)-INT((Census!$F141+X$5))&gt;0.5,1,0)),Assumptions!$B$10))</f>
        <v>10698.685501007501</v>
      </c>
      <c r="Y141" s="30">
        <f>IF(Y$5&gt;$B141,0,INDEX(Decrements!$G$6:$G$58,Census!$G141+Y$5-18)/INDEX(Decrements!$G$6:$G$58,Census!$G141-17)*(INDEX(Decrements!$D$6:$D$58,Census!$G141+Y$5-18)+IF(Y$5=$B141,INDEX(Decrements!$F$6:$F$58,Census!$G141+Y$5-18),0)+INDEX(Decrements!$E$6:$E$58,Census!$G141+Y$5-18)*IF((Census!$F141+Y$5)&gt;=Assumptions!$B$11,1,0))*MIN(15/26*Census!$D141*(1+Assumptions!$B$9)^Y$5*(INT((Census!$F141+Y$5))+IF((Census!$F141+Y$5)-INT((Census!$F141+Y$5))&gt;0.5,1,0)),Assumptions!$B$10))</f>
        <v>10572.220483260417</v>
      </c>
      <c r="Z141" s="30">
        <f>IF(Z$5&gt;$B141,0,INDEX(Decrements!$G$6:$G$58,Census!$G141+Z$5-18)/INDEX(Decrements!$G$6:$G$58,Census!$G141-17)*(INDEX(Decrements!$D$6:$D$58,Census!$G141+Z$5-18)+IF(Z$5=$B141,INDEX(Decrements!$F$6:$F$58,Census!$G141+Z$5-18),0)+INDEX(Decrements!$E$6:$E$58,Census!$G141+Z$5-18)*IF((Census!$F141+Z$5)&gt;=Assumptions!$B$11,1,0))*MIN(15/26*Census!$D141*(1+Assumptions!$B$9)^Z$5*(INT((Census!$F141+Z$5))+IF((Census!$F141+Z$5)-INT((Census!$F141+Z$5))&gt;0.5,1,0)),Assumptions!$B$10))</f>
        <v>10454.762570127461</v>
      </c>
      <c r="AA141" s="30">
        <f>IF(AA$5&gt;$B141,0,INDEX(Decrements!$G$6:$G$58,Census!$G141+AA$5-18)/INDEX(Decrements!$G$6:$G$58,Census!$G141-17)*(INDEX(Decrements!$D$6:$D$58,Census!$G141+AA$5-18)+IF(AA$5=$B141,INDEX(Decrements!$F$6:$F$58,Census!$G141+AA$5-18),0)+INDEX(Decrements!$E$6:$E$58,Census!$G141+AA$5-18)*IF((Census!$F141+AA$5)&gt;=Assumptions!$B$11,1,0))*MIN(15/26*Census!$D141*(1+Assumptions!$B$9)^AA$5*(INT((Census!$F141+AA$5))+IF((Census!$F141+AA$5)-INT((Census!$F141+AA$5))&gt;0.5,1,0)),Assumptions!$B$10))</f>
        <v>10346.503776240357</v>
      </c>
      <c r="AB141" s="30">
        <f>IF(AB$5&gt;$B141,0,INDEX(Decrements!$G$6:$G$58,Census!$G141+AB$5-18)/INDEX(Decrements!$G$6:$G$58,Census!$G141-17)*(INDEX(Decrements!$D$6:$D$58,Census!$G141+AB$5-18)+IF(AB$5=$B141,INDEX(Decrements!$F$6:$F$58,Census!$G141+AB$5-18),0)+INDEX(Decrements!$E$6:$E$58,Census!$G141+AB$5-18)*IF((Census!$F141+AB$5)&gt;=Assumptions!$B$11,1,0))*MIN(15/26*Census!$D141*(1+Assumptions!$B$9)^AB$5*(INT((Census!$F141+AB$5))+IF((Census!$F141+AB$5)-INT((Census!$F141+AB$5))&gt;0.5,1,0)),Assumptions!$B$10))</f>
        <v>6043.7884830137318</v>
      </c>
      <c r="AC141" s="30">
        <f>IF(AC$5&gt;$B141,0,INDEX(Decrements!$G$6:$G$58,Census!$G141+AC$5-18)/INDEX(Decrements!$G$6:$G$58,Census!$G141-17)*(INDEX(Decrements!$D$6:$D$58,Census!$G141+AC$5-18)+IF(AC$5=$B141,INDEX(Decrements!$F$6:$F$58,Census!$G141+AC$5-18),0)+INDEX(Decrements!$E$6:$E$58,Census!$G141+AC$5-18)*IF((Census!$F141+AC$5)&gt;=Assumptions!$B$11,1,0))*MIN(15/26*Census!$D141*(1+Assumptions!$B$9)^AC$5*(INT((Census!$F141+AC$5))+IF((Census!$F141+AC$5)-INT((Census!$F141+AC$5))&gt;0.5,1,0)),Assumptions!$B$10))</f>
        <v>6119.9902472141257</v>
      </c>
      <c r="AD141" s="30">
        <f>IF(AD$5&gt;$B141,0,INDEX(Decrements!$G$6:$G$58,Census!$G141+AD$5-18)/INDEX(Decrements!$G$6:$G$58,Census!$G141-17)*(INDEX(Decrements!$D$6:$D$58,Census!$G141+AD$5-18)+IF(AD$5=$B141,INDEX(Decrements!$F$6:$F$58,Census!$G141+AD$5-18),0)+INDEX(Decrements!$E$6:$E$58,Census!$G141+AD$5-18)*IF((Census!$F141+AD$5)&gt;=Assumptions!$B$11,1,0))*MIN(15/26*Census!$D141*(1+Assumptions!$B$9)^AD$5*(INT((Census!$F141+AD$5))+IF((Census!$F141+AD$5)-INT((Census!$F141+AD$5))&gt;0.5,1,0)),Assumptions!$B$10))</f>
        <v>6206.274434705726</v>
      </c>
      <c r="AE141" s="30">
        <f>IF(AE$5&gt;$B141,0,INDEX(Decrements!$G$6:$G$58,Census!$G141+AE$5-18)/INDEX(Decrements!$G$6:$G$58,Census!$G141-17)*(INDEX(Decrements!$D$6:$D$58,Census!$G141+AE$5-18)+IF(AE$5=$B141,INDEX(Decrements!$F$6:$F$58,Census!$G141+AE$5-18),0)+INDEX(Decrements!$E$6:$E$58,Census!$G141+AE$5-18)*IF((Census!$F141+AE$5)&gt;=Assumptions!$B$11,1,0))*MIN(15/26*Census!$D141*(1+Assumptions!$B$9)^AE$5*(INT((Census!$F141+AE$5))+IF((Census!$F141+AE$5)-INT((Census!$F141+AE$5))&gt;0.5,1,0)),Assumptions!$B$10))</f>
        <v>6303.2274773519975</v>
      </c>
      <c r="AF141" s="30">
        <f>IF(AF$5&gt;$B141,0,INDEX(Decrements!$G$6:$G$58,Census!$G141+AF$5-18)/INDEX(Decrements!$G$6:$G$58,Census!$G141-17)*(INDEX(Decrements!$D$6:$D$58,Census!$G141+AF$5-18)+IF(AF$5=$B141,INDEX(Decrements!$F$6:$F$58,Census!$G141+AF$5-18),0)+INDEX(Decrements!$E$6:$E$58,Census!$G141+AF$5-18)*IF((Census!$F141+AF$5)&gt;=Assumptions!$B$11,1,0))*MIN(15/26*Census!$D141*(1+Assumptions!$B$9)^AF$5*(INT((Census!$F141+AF$5))+IF((Census!$F141+AF$5)-INT((Census!$F141+AF$5))&gt;0.5,1,0)),Assumptions!$B$10))</f>
        <v>397551.78311539261</v>
      </c>
      <c r="AG141" s="30">
        <f>IF(AG$5&gt;$B141,0,INDEX(Decrements!$G$6:$G$58,Census!$G141+AG$5-18)/INDEX(Decrements!$G$6:$G$58,Census!$G141-17)*(INDEX(Decrements!$D$6:$D$58,Census!$G141+AG$5-18)+IF(AG$5=$B141,INDEX(Decrements!$F$6:$F$58,Census!$G141+AG$5-18),0)+INDEX(Decrements!$E$6:$E$58,Census!$G141+AG$5-18)*IF((Census!$F141+AG$5)&gt;=Assumptions!$B$11,1,0))*MIN(15/26*Census!$D141*(1+Assumptions!$B$9)^AG$5*(INT((Census!$F141+AG$5))+IF((Census!$F141+AG$5)-INT((Census!$F141+AG$5))&gt;0.5,1,0)),Assumptions!$B$10))</f>
        <v>0</v>
      </c>
      <c r="AH141" s="30">
        <f>IF(AH$5&gt;$B141,0,INDEX(Decrements!$G$6:$G$58,Census!$G141+AH$5-18)/INDEX(Decrements!$G$6:$G$58,Census!$G141-17)*(INDEX(Decrements!$D$6:$D$58,Census!$G141+AH$5-18)+IF(AH$5=$B141,INDEX(Decrements!$F$6:$F$58,Census!$G141+AH$5-18),0)+INDEX(Decrements!$E$6:$E$58,Census!$G141+AH$5-18)*IF((Census!$F141+AH$5)&gt;=Assumptions!$B$11,1,0))*MIN(15/26*Census!$D141*(1+Assumptions!$B$9)^AH$5*(INT((Census!$F141+AH$5))+IF((Census!$F141+AH$5)-INT((Census!$F141+AH$5))&gt;0.5,1,0)),Assumptions!$B$10))</f>
        <v>0</v>
      </c>
      <c r="AI141" s="30">
        <f>IF(AI$5&gt;$B141,0,INDEX(Decrements!$G$6:$G$58,Census!$G141+AI$5-18)/INDEX(Decrements!$G$6:$G$58,Census!$G141-17)*(INDEX(Decrements!$D$6:$D$58,Census!$G141+AI$5-18)+IF(AI$5=$B141,INDEX(Decrements!$F$6:$F$58,Census!$G141+AI$5-18),0)+INDEX(Decrements!$E$6:$E$58,Census!$G141+AI$5-18)*IF((Census!$F141+AI$5)&gt;=Assumptions!$B$11,1,0))*MIN(15/26*Census!$D141*(1+Assumptions!$B$9)^AI$5*(INT((Census!$F141+AI$5))+IF((Census!$F141+AI$5)-INT((Census!$F141+AI$5))&gt;0.5,1,0)),Assumptions!$B$10))</f>
        <v>0</v>
      </c>
      <c r="AJ141" s="30">
        <f>IF(AJ$5&gt;$B141,0,INDEX(Decrements!$G$6:$G$58,Census!$G141+AJ$5-18)/INDEX(Decrements!$G$6:$G$58,Census!$G141-17)*(INDEX(Decrements!$D$6:$D$58,Census!$G141+AJ$5-18)+IF(AJ$5=$B141,INDEX(Decrements!$F$6:$F$58,Census!$G141+AJ$5-18),0)+INDEX(Decrements!$E$6:$E$58,Census!$G141+AJ$5-18)*IF((Census!$F141+AJ$5)&gt;=Assumptions!$B$11,1,0))*MIN(15/26*Census!$D141*(1+Assumptions!$B$9)^AJ$5*(INT((Census!$F141+AJ$5))+IF((Census!$F141+AJ$5)-INT((Census!$F141+AJ$5))&gt;0.5,1,0)),Assumptions!$B$10))</f>
        <v>0</v>
      </c>
      <c r="AK141" s="30">
        <f>IF(AK$5&gt;$B141,0,INDEX(Decrements!$G$6:$G$58,Census!$G141+AK$5-18)/INDEX(Decrements!$G$6:$G$58,Census!$G141-17)*(INDEX(Decrements!$D$6:$D$58,Census!$G141+AK$5-18)+IF(AK$5=$B141,INDEX(Decrements!$F$6:$F$58,Census!$G141+AK$5-18),0)+INDEX(Decrements!$E$6:$E$58,Census!$G141+AK$5-18)*IF((Census!$F141+AK$5)&gt;=Assumptions!$B$11,1,0))*MIN(15/26*Census!$D141*(1+Assumptions!$B$9)^AK$5*(INT((Census!$F141+AK$5))+IF((Census!$F141+AK$5)-INT((Census!$F141+AK$5))&gt;0.5,1,0)),Assumptions!$B$10))</f>
        <v>0</v>
      </c>
      <c r="AL141" s="30">
        <f>IF(AL$5&gt;$B141,0,INDEX(Decrements!$G$6:$G$58,Census!$G141+AL$5-18)/INDEX(Decrements!$G$6:$G$58,Census!$G141-17)*(INDEX(Decrements!$D$6:$D$58,Census!$G141+AL$5-18)+IF(AL$5=$B141,INDEX(Decrements!$F$6:$F$58,Census!$G141+AL$5-18),0)+INDEX(Decrements!$E$6:$E$58,Census!$G141+AL$5-18)*IF((Census!$F141+AL$5)&gt;=Assumptions!$B$11,1,0))*MIN(15/26*Census!$D141*(1+Assumptions!$B$9)^AL$5*(INT((Census!$F141+AL$5))+IF((Census!$F141+AL$5)-INT((Census!$F141+AL$5))&gt;0.5,1,0)),Assumptions!$B$10))</f>
        <v>0</v>
      </c>
      <c r="AM141" s="30">
        <f>IF(AM$5&gt;$B141,0,INDEX(Decrements!$G$6:$G$58,Census!$G141+AM$5-18)/INDEX(Decrements!$G$6:$G$58,Census!$G141-17)*(INDEX(Decrements!$D$6:$D$58,Census!$G141+AM$5-18)+IF(AM$5=$B141,INDEX(Decrements!$F$6:$F$58,Census!$G141+AM$5-18),0)+INDEX(Decrements!$E$6:$E$58,Census!$G141+AM$5-18)*IF((Census!$F141+AM$5)&gt;=Assumptions!$B$11,1,0))*MIN(15/26*Census!$D141*(1+Assumptions!$B$9)^AM$5*(INT((Census!$F141+AM$5))+IF((Census!$F141+AM$5)-INT((Census!$F141+AM$5))&gt;0.5,1,0)),Assumptions!$B$10))</f>
        <v>0</v>
      </c>
      <c r="AN141" s="30">
        <f>IF(AN$5&gt;$B141,0,INDEX(Decrements!$G$6:$G$58,Census!$G141+AN$5-18)/INDEX(Decrements!$G$6:$G$58,Census!$G141-17)*(INDEX(Decrements!$D$6:$D$58,Census!$G141+AN$5-18)+IF(AN$5=$B141,INDEX(Decrements!$F$6:$F$58,Census!$G141+AN$5-18),0)+INDEX(Decrements!$E$6:$E$58,Census!$G141+AN$5-18)*IF((Census!$F141+AN$5)&gt;=Assumptions!$B$11,1,0))*MIN(15/26*Census!$D141*(1+Assumptions!$B$9)^AN$5*(INT((Census!$F141+AN$5))+IF((Census!$F141+AN$5)-INT((Census!$F141+AN$5))&gt;0.5,1,0)),Assumptions!$B$10))</f>
        <v>0</v>
      </c>
      <c r="AO141" s="30">
        <f>IF(AO$5&gt;$B141,0,INDEX(Decrements!$G$6:$G$58,Census!$G141+AO$5-18)/INDEX(Decrements!$G$6:$G$58,Census!$G141-17)*(INDEX(Decrements!$D$6:$D$58,Census!$G141+AO$5-18)+IF(AO$5=$B141,INDEX(Decrements!$F$6:$F$58,Census!$G141+AO$5-18),0)+INDEX(Decrements!$E$6:$E$58,Census!$G141+AO$5-18)*IF((Census!$F141+AO$5)&gt;=Assumptions!$B$11,1,0))*MIN(15/26*Census!$D141*(1+Assumptions!$B$9)^AO$5*(INT((Census!$F141+AO$5))+IF((Census!$F141+AO$5)-INT((Census!$F141+AO$5))&gt;0.5,1,0)),Assumptions!$B$10))</f>
        <v>0</v>
      </c>
      <c r="AP141" s="30">
        <f>IF(AP$5&gt;$B141,0,INDEX(Decrements!$G$6:$G$58,Census!$G141+AP$5-18)/INDEX(Decrements!$G$6:$G$58,Census!$G141-17)*(INDEX(Decrements!$D$6:$D$58,Census!$G141+AP$5-18)+IF(AP$5=$B141,INDEX(Decrements!$F$6:$F$58,Census!$G141+AP$5-18),0)+INDEX(Decrements!$E$6:$E$58,Census!$G141+AP$5-18)*IF((Census!$F141+AP$5)&gt;=Assumptions!$B$11,1,0))*MIN(15/26*Census!$D141*(1+Assumptions!$B$9)^AP$5*(INT((Census!$F141+AP$5))+IF((Census!$F141+AP$5)-INT((Census!$F141+AP$5))&gt;0.5,1,0)),Assumptions!$B$10))</f>
        <v>0</v>
      </c>
      <c r="AQ141" s="30">
        <f>IF(AQ$5&gt;$B141,0,INDEX(Decrements!$G$6:$G$58,Census!$G141+AQ$5-18)/INDEX(Decrements!$G$6:$G$58,Census!$G141-17)*(INDEX(Decrements!$D$6:$D$58,Census!$G141+AQ$5-18)+IF(AQ$5=$B141,INDEX(Decrements!$F$6:$F$58,Census!$G141+AQ$5-18),0)+INDEX(Decrements!$E$6:$E$58,Census!$G141+AQ$5-18)*IF((Census!$F141+AQ$5)&gt;=Assumptions!$B$11,1,0))*MIN(15/26*Census!$D141*(1+Assumptions!$B$9)^AQ$5*(INT((Census!$F141+AQ$5))+IF((Census!$F141+AQ$5)-INT((Census!$F141+AQ$5))&gt;0.5,1,0)),Assumptions!$B$10))</f>
        <v>0</v>
      </c>
      <c r="AR141" s="30">
        <f>IF(AR$5&gt;$B141,0,INDEX(Decrements!$G$6:$G$58,Census!$G141+AR$5-18)/INDEX(Decrements!$G$6:$G$58,Census!$G141-17)*(INDEX(Decrements!$D$6:$D$58,Census!$G141+AR$5-18)+IF(AR$5=$B141,INDEX(Decrements!$F$6:$F$58,Census!$G141+AR$5-18),0)+INDEX(Decrements!$E$6:$E$58,Census!$G141+AR$5-18)*IF((Census!$F141+AR$5)&gt;=Assumptions!$B$11,1,0))*MIN(15/26*Census!$D141*(1+Assumptions!$B$9)^AR$5*(INT((Census!$F141+AR$5))+IF((Census!$F141+AR$5)-INT((Census!$F141+AR$5))&gt;0.5,1,0)),Assumptions!$B$10))</f>
        <v>0</v>
      </c>
      <c r="AS141" s="30">
        <f>IF(AS$5&gt;$B141,0,INDEX(Decrements!$G$6:$G$58,Census!$G141+AS$5-18)/INDEX(Decrements!$G$6:$G$58,Census!$G141-17)*(INDEX(Decrements!$D$6:$D$58,Census!$G141+AS$5-18)+IF(AS$5=$B141,INDEX(Decrements!$F$6:$F$58,Census!$G141+AS$5-18),0)+INDEX(Decrements!$E$6:$E$58,Census!$G141+AS$5-18)*IF((Census!$F141+AS$5)&gt;=Assumptions!$B$11,1,0))*MIN(15/26*Census!$D141*(1+Assumptions!$B$9)^AS$5*(INT((Census!$F141+AS$5))+IF((Census!$F141+AS$5)-INT((Census!$F141+AS$5))&gt;0.5,1,0)),Assumptions!$B$10))</f>
        <v>0</v>
      </c>
      <c r="AT141" s="30">
        <f>IF(AT$5&gt;$B141,0,INDEX(Decrements!$G$6:$G$58,Census!$G141+AT$5-18)/INDEX(Decrements!$G$6:$G$58,Census!$G141-17)*(INDEX(Decrements!$D$6:$D$58,Census!$G141+AT$5-18)+IF(AT$5=$B141,INDEX(Decrements!$F$6:$F$58,Census!$G141+AT$5-18),0)+INDEX(Decrements!$E$6:$E$58,Census!$G141+AT$5-18)*IF((Census!$F141+AT$5)&gt;=Assumptions!$B$11,1,0))*MIN(15/26*Census!$D141*(1+Assumptions!$B$9)^AT$5*(INT((Census!$F141+AT$5))+IF((Census!$F141+AT$5)-INT((Census!$F141+AT$5))&gt;0.5,1,0)),Assumptions!$B$10))</f>
        <v>0</v>
      </c>
      <c r="AU141" s="30">
        <f>IF(AU$5&gt;$B141,0,INDEX(Decrements!$G$6:$G$58,Census!$G141+AU$5-18)/INDEX(Decrements!$G$6:$G$58,Census!$G141-17)*(INDEX(Decrements!$D$6:$D$58,Census!$G141+AU$5-18)+IF(AU$5=$B141,INDEX(Decrements!$F$6:$F$58,Census!$G141+AU$5-18),0)+INDEX(Decrements!$E$6:$E$58,Census!$G141+AU$5-18)*IF((Census!$F141+AU$5)&gt;=Assumptions!$B$11,1,0))*MIN(15/26*Census!$D141*(1+Assumptions!$B$9)^AU$5*(INT((Census!$F141+AU$5))+IF((Census!$F141+AU$5)-INT((Census!$F141+AU$5))&gt;0.5,1,0)),Assumptions!$B$10))</f>
        <v>0</v>
      </c>
    </row>
    <row r="142" spans="1:47" x14ac:dyDescent="0.3">
      <c r="A142" s="10" t="str">
        <f>Census!A142</f>
        <v>E137</v>
      </c>
      <c r="B142" s="29">
        <f>Census!H142</f>
        <v>13</v>
      </c>
      <c r="C142" s="30">
        <f>IF(C$5&gt;$B142,0,INDEX(Decrements!$G$6:$G$58,Census!$G142+C$5-18)/INDEX(Decrements!$G$6:$G$58,Census!$G142-17)*(INDEX(Decrements!$D$6:$D$58,Census!$G142+C$5-18)+IF(C$5=$B142,INDEX(Decrements!$F$6:$F$58,Census!$G142+C$5-18),0)+INDEX(Decrements!$E$6:$E$58,Census!$G142+C$5-18)*IF((Census!$F142+C$5)&gt;=Assumptions!$B$11,1,0))*MIN(15/26*Census!$D142*(1+Assumptions!$B$9)^C$5*(INT((Census!$F142+C$5))+IF((Census!$F142+C$5)-INT((Census!$F142+C$5))&gt;0.5,1,0)),Assumptions!$B$10))</f>
        <v>64361.537783714259</v>
      </c>
      <c r="D142" s="30">
        <f>IF(D$5&gt;$B142,0,INDEX(Decrements!$G$6:$G$58,Census!$G142+D$5-18)/INDEX(Decrements!$G$6:$G$58,Census!$G142-17)*(INDEX(Decrements!$D$6:$D$58,Census!$G142+D$5-18)+IF(D$5=$B142,INDEX(Decrements!$F$6:$F$58,Census!$G142+D$5-18),0)+INDEX(Decrements!$E$6:$E$58,Census!$G142+D$5-18)*IF((Census!$F142+D$5)&gt;=Assumptions!$B$11,1,0))*MIN(15/26*Census!$D142*(1+Assumptions!$B$9)^D$5*(INT((Census!$F142+D$5))+IF((Census!$F142+D$5)-INT((Census!$F142+D$5))&gt;0.5,1,0)),Assumptions!$B$10))</f>
        <v>62637.011156411005</v>
      </c>
      <c r="E142" s="30">
        <f>IF(E$5&gt;$B142,0,INDEX(Decrements!$G$6:$G$58,Census!$G142+E$5-18)/INDEX(Decrements!$G$6:$G$58,Census!$G142-17)*(INDEX(Decrements!$D$6:$D$58,Census!$G142+E$5-18)+IF(E$5=$B142,INDEX(Decrements!$F$6:$F$58,Census!$G142+E$5-18),0)+INDEX(Decrements!$E$6:$E$58,Census!$G142+E$5-18)*IF((Census!$F142+E$5)&gt;=Assumptions!$B$11,1,0))*MIN(15/26*Census!$D142*(1+Assumptions!$B$9)^E$5*(INT((Census!$F142+E$5))+IF((Census!$F142+E$5)-INT((Census!$F142+E$5))&gt;0.5,1,0)),Assumptions!$B$10))</f>
        <v>60979.018437254294</v>
      </c>
      <c r="F142" s="30">
        <f>IF(F$5&gt;$B142,0,INDEX(Decrements!$G$6:$G$58,Census!$G142+F$5-18)/INDEX(Decrements!$G$6:$G$58,Census!$G142-17)*(INDEX(Decrements!$D$6:$D$58,Census!$G142+F$5-18)+IF(F$5=$B142,INDEX(Decrements!$F$6:$F$58,Census!$G142+F$5-18),0)+INDEX(Decrements!$E$6:$E$58,Census!$G142+F$5-18)*IF((Census!$F142+F$5)&gt;=Assumptions!$B$11,1,0))*MIN(15/26*Census!$D142*(1+Assumptions!$B$9)^F$5*(INT((Census!$F142+F$5))+IF((Census!$F142+F$5)-INT((Census!$F142+F$5))&gt;0.5,1,0)),Assumptions!$B$10))</f>
        <v>41317.849698671875</v>
      </c>
      <c r="G142" s="30">
        <f>IF(G$5&gt;$B142,0,INDEX(Decrements!$G$6:$G$58,Census!$G142+G$5-18)/INDEX(Decrements!$G$6:$G$58,Census!$G142-17)*(INDEX(Decrements!$D$6:$D$58,Census!$G142+G$5-18)+IF(G$5=$B142,INDEX(Decrements!$F$6:$F$58,Census!$G142+G$5-18),0)+INDEX(Decrements!$E$6:$E$58,Census!$G142+G$5-18)*IF((Census!$F142+G$5)&gt;=Assumptions!$B$11,1,0))*MIN(15/26*Census!$D142*(1+Assumptions!$B$9)^G$5*(INT((Census!$F142+G$5))+IF((Census!$F142+G$5)-INT((Census!$F142+G$5))&gt;0.5,1,0)),Assumptions!$B$10))</f>
        <v>40801.9044168779</v>
      </c>
      <c r="H142" s="30">
        <f>IF(H$5&gt;$B142,0,INDEX(Decrements!$G$6:$G$58,Census!$G142+H$5-18)/INDEX(Decrements!$G$6:$G$58,Census!$G142-17)*(INDEX(Decrements!$D$6:$D$58,Census!$G142+H$5-18)+IF(H$5=$B142,INDEX(Decrements!$F$6:$F$58,Census!$G142+H$5-18),0)+INDEX(Decrements!$E$6:$E$58,Census!$G142+H$5-18)*IF((Census!$F142+H$5)&gt;=Assumptions!$B$11,1,0))*MIN(15/26*Census!$D142*(1+Assumptions!$B$9)^H$5*(INT((Census!$F142+H$5))+IF((Census!$F142+H$5)-INT((Census!$F142+H$5))&gt;0.5,1,0)),Assumptions!$B$10))</f>
        <v>40319.60090718884</v>
      </c>
      <c r="I142" s="30">
        <f>IF(I$5&gt;$B142,0,INDEX(Decrements!$G$6:$G$58,Census!$G142+I$5-18)/INDEX(Decrements!$G$6:$G$58,Census!$G142-17)*(INDEX(Decrements!$D$6:$D$58,Census!$G142+I$5-18)+IF(I$5=$B142,INDEX(Decrements!$F$6:$F$58,Census!$G142+I$5-18),0)+INDEX(Decrements!$E$6:$E$58,Census!$G142+I$5-18)*IF((Census!$F142+I$5)&gt;=Assumptions!$B$11,1,0))*MIN(15/26*Census!$D142*(1+Assumptions!$B$9)^I$5*(INT((Census!$F142+I$5))+IF((Census!$F142+I$5)-INT((Census!$F142+I$5))&gt;0.5,1,0)),Assumptions!$B$10))</f>
        <v>39871.648068103568</v>
      </c>
      <c r="J142" s="30">
        <f>IF(J$5&gt;$B142,0,INDEX(Decrements!$G$6:$G$58,Census!$G142+J$5-18)/INDEX(Decrements!$G$6:$G$58,Census!$G142-17)*(INDEX(Decrements!$D$6:$D$58,Census!$G142+J$5-18)+IF(J$5=$B142,INDEX(Decrements!$F$6:$F$58,Census!$G142+J$5-18),0)+INDEX(Decrements!$E$6:$E$58,Census!$G142+J$5-18)*IF((Census!$F142+J$5)&gt;=Assumptions!$B$11,1,0))*MIN(15/26*Census!$D142*(1+Assumptions!$B$9)^J$5*(INT((Census!$F142+J$5))+IF((Census!$F142+J$5)-INT((Census!$F142+J$5))&gt;0.5,1,0)),Assumptions!$B$10))</f>
        <v>39458.778191701262</v>
      </c>
      <c r="K142" s="30">
        <f>IF(K$5&gt;$B142,0,INDEX(Decrements!$G$6:$G$58,Census!$G142+K$5-18)/INDEX(Decrements!$G$6:$G$58,Census!$G142-17)*(INDEX(Decrements!$D$6:$D$58,Census!$G142+K$5-18)+IF(K$5=$B142,INDEX(Decrements!$F$6:$F$58,Census!$G142+K$5-18),0)+INDEX(Decrements!$E$6:$E$58,Census!$G142+K$5-18)*IF((Census!$F142+K$5)&gt;=Assumptions!$B$11,1,0))*MIN(15/26*Census!$D142*(1+Assumptions!$B$9)^K$5*(INT((Census!$F142+K$5))+IF((Census!$F142+K$5)-INT((Census!$F142+K$5))&gt;0.5,1,0)),Assumptions!$B$10))</f>
        <v>23049.381157762928</v>
      </c>
      <c r="L142" s="30">
        <f>IF(L$5&gt;$B142,0,INDEX(Decrements!$G$6:$G$58,Census!$G142+L$5-18)/INDEX(Decrements!$G$6:$G$58,Census!$G142-17)*(INDEX(Decrements!$D$6:$D$58,Census!$G142+L$5-18)+IF(L$5=$B142,INDEX(Decrements!$F$6:$F$58,Census!$G142+L$5-18),0)+INDEX(Decrements!$E$6:$E$58,Census!$G142+L$5-18)*IF((Census!$F142+L$5)&gt;=Assumptions!$B$11,1,0))*MIN(15/26*Census!$D142*(1+Assumptions!$B$9)^L$5*(INT((Census!$F142+L$5))+IF((Census!$F142+L$5)-INT((Census!$F142+L$5))&gt;0.5,1,0)),Assumptions!$B$10))</f>
        <v>23339.994158678714</v>
      </c>
      <c r="M142" s="30">
        <f>IF(M$5&gt;$B142,0,INDEX(Decrements!$G$6:$G$58,Census!$G142+M$5-18)/INDEX(Decrements!$G$6:$G$58,Census!$G142-17)*(INDEX(Decrements!$D$6:$D$58,Census!$G142+M$5-18)+IF(M$5=$B142,INDEX(Decrements!$F$6:$F$58,Census!$G142+M$5-18),0)+INDEX(Decrements!$E$6:$E$58,Census!$G142+M$5-18)*IF((Census!$F142+M$5)&gt;=Assumptions!$B$11,1,0))*MIN(15/26*Census!$D142*(1+Assumptions!$B$9)^M$5*(INT((Census!$F142+M$5))+IF((Census!$F142+M$5)-INT((Census!$F142+M$5))&gt;0.5,1,0)),Assumptions!$B$10))</f>
        <v>23669.05880595605</v>
      </c>
      <c r="N142" s="30">
        <f>IF(N$5&gt;$B142,0,INDEX(Decrements!$G$6:$G$58,Census!$G142+N$5-18)/INDEX(Decrements!$G$6:$G$58,Census!$G142-17)*(INDEX(Decrements!$D$6:$D$58,Census!$G142+N$5-18)+IF(N$5=$B142,INDEX(Decrements!$F$6:$F$58,Census!$G142+N$5-18),0)+INDEX(Decrements!$E$6:$E$58,Census!$G142+N$5-18)*IF((Census!$F142+N$5)&gt;=Assumptions!$B$11,1,0))*MIN(15/26*Census!$D142*(1+Assumptions!$B$9)^N$5*(INT((Census!$F142+N$5))+IF((Census!$F142+N$5)-INT((Census!$F142+N$5))&gt;0.5,1,0)),Assumptions!$B$10))</f>
        <v>24038.811592745242</v>
      </c>
      <c r="O142" s="30">
        <f>IF(O$5&gt;$B142,0,INDEX(Decrements!$G$6:$G$58,Census!$G142+O$5-18)/INDEX(Decrements!$G$6:$G$58,Census!$G142-17)*(INDEX(Decrements!$D$6:$D$58,Census!$G142+O$5-18)+IF(O$5=$B142,INDEX(Decrements!$F$6:$F$58,Census!$G142+O$5-18),0)+INDEX(Decrements!$E$6:$E$58,Census!$G142+O$5-18)*IF((Census!$F142+O$5)&gt;=Assumptions!$B$11,1,0))*MIN(15/26*Census!$D142*(1+Assumptions!$B$9)^O$5*(INT((Census!$F142+O$5))+IF((Census!$F142+O$5)-INT((Census!$F142+O$5))&gt;0.5,1,0)),Assumptions!$B$10))</f>
        <v>1516155.4056249335</v>
      </c>
      <c r="P142" s="30">
        <f>IF(P$5&gt;$B142,0,INDEX(Decrements!$G$6:$G$58,Census!$G142+P$5-18)/INDEX(Decrements!$G$6:$G$58,Census!$G142-17)*(INDEX(Decrements!$D$6:$D$58,Census!$G142+P$5-18)+IF(P$5=$B142,INDEX(Decrements!$F$6:$F$58,Census!$G142+P$5-18),0)+INDEX(Decrements!$E$6:$E$58,Census!$G142+P$5-18)*IF((Census!$F142+P$5)&gt;=Assumptions!$B$11,1,0))*MIN(15/26*Census!$D142*(1+Assumptions!$B$9)^P$5*(INT((Census!$F142+P$5))+IF((Census!$F142+P$5)-INT((Census!$F142+P$5))&gt;0.5,1,0)),Assumptions!$B$10))</f>
        <v>0</v>
      </c>
      <c r="Q142" s="30">
        <f>IF(Q$5&gt;$B142,0,INDEX(Decrements!$G$6:$G$58,Census!$G142+Q$5-18)/INDEX(Decrements!$G$6:$G$58,Census!$G142-17)*(INDEX(Decrements!$D$6:$D$58,Census!$G142+Q$5-18)+IF(Q$5=$B142,INDEX(Decrements!$F$6:$F$58,Census!$G142+Q$5-18),0)+INDEX(Decrements!$E$6:$E$58,Census!$G142+Q$5-18)*IF((Census!$F142+Q$5)&gt;=Assumptions!$B$11,1,0))*MIN(15/26*Census!$D142*(1+Assumptions!$B$9)^Q$5*(INT((Census!$F142+Q$5))+IF((Census!$F142+Q$5)-INT((Census!$F142+Q$5))&gt;0.5,1,0)),Assumptions!$B$10))</f>
        <v>0</v>
      </c>
      <c r="R142" s="30">
        <f>IF(R$5&gt;$B142,0,INDEX(Decrements!$G$6:$G$58,Census!$G142+R$5-18)/INDEX(Decrements!$G$6:$G$58,Census!$G142-17)*(INDEX(Decrements!$D$6:$D$58,Census!$G142+R$5-18)+IF(R$5=$B142,INDEX(Decrements!$F$6:$F$58,Census!$G142+R$5-18),0)+INDEX(Decrements!$E$6:$E$58,Census!$G142+R$5-18)*IF((Census!$F142+R$5)&gt;=Assumptions!$B$11,1,0))*MIN(15/26*Census!$D142*(1+Assumptions!$B$9)^R$5*(INT((Census!$F142+R$5))+IF((Census!$F142+R$5)-INT((Census!$F142+R$5))&gt;0.5,1,0)),Assumptions!$B$10))</f>
        <v>0</v>
      </c>
      <c r="S142" s="30">
        <f>IF(S$5&gt;$B142,0,INDEX(Decrements!$G$6:$G$58,Census!$G142+S$5-18)/INDEX(Decrements!$G$6:$G$58,Census!$G142-17)*(INDEX(Decrements!$D$6:$D$58,Census!$G142+S$5-18)+IF(S$5=$B142,INDEX(Decrements!$F$6:$F$58,Census!$G142+S$5-18),0)+INDEX(Decrements!$E$6:$E$58,Census!$G142+S$5-18)*IF((Census!$F142+S$5)&gt;=Assumptions!$B$11,1,0))*MIN(15/26*Census!$D142*(1+Assumptions!$B$9)^S$5*(INT((Census!$F142+S$5))+IF((Census!$F142+S$5)-INT((Census!$F142+S$5))&gt;0.5,1,0)),Assumptions!$B$10))</f>
        <v>0</v>
      </c>
      <c r="T142" s="30">
        <f>IF(T$5&gt;$B142,0,INDEX(Decrements!$G$6:$G$58,Census!$G142+T$5-18)/INDEX(Decrements!$G$6:$G$58,Census!$G142-17)*(INDEX(Decrements!$D$6:$D$58,Census!$G142+T$5-18)+IF(T$5=$B142,INDEX(Decrements!$F$6:$F$58,Census!$G142+T$5-18),0)+INDEX(Decrements!$E$6:$E$58,Census!$G142+T$5-18)*IF((Census!$F142+T$5)&gt;=Assumptions!$B$11,1,0))*MIN(15/26*Census!$D142*(1+Assumptions!$B$9)^T$5*(INT((Census!$F142+T$5))+IF((Census!$F142+T$5)-INT((Census!$F142+T$5))&gt;0.5,1,0)),Assumptions!$B$10))</f>
        <v>0</v>
      </c>
      <c r="U142" s="30">
        <f>IF(U$5&gt;$B142,0,INDEX(Decrements!$G$6:$G$58,Census!$G142+U$5-18)/INDEX(Decrements!$G$6:$G$58,Census!$G142-17)*(INDEX(Decrements!$D$6:$D$58,Census!$G142+U$5-18)+IF(U$5=$B142,INDEX(Decrements!$F$6:$F$58,Census!$G142+U$5-18),0)+INDEX(Decrements!$E$6:$E$58,Census!$G142+U$5-18)*IF((Census!$F142+U$5)&gt;=Assumptions!$B$11,1,0))*MIN(15/26*Census!$D142*(1+Assumptions!$B$9)^U$5*(INT((Census!$F142+U$5))+IF((Census!$F142+U$5)-INT((Census!$F142+U$5))&gt;0.5,1,0)),Assumptions!$B$10))</f>
        <v>0</v>
      </c>
      <c r="V142" s="30">
        <f>IF(V$5&gt;$B142,0,INDEX(Decrements!$G$6:$G$58,Census!$G142+V$5-18)/INDEX(Decrements!$G$6:$G$58,Census!$G142-17)*(INDEX(Decrements!$D$6:$D$58,Census!$G142+V$5-18)+IF(V$5=$B142,INDEX(Decrements!$F$6:$F$58,Census!$G142+V$5-18),0)+INDEX(Decrements!$E$6:$E$58,Census!$G142+V$5-18)*IF((Census!$F142+V$5)&gt;=Assumptions!$B$11,1,0))*MIN(15/26*Census!$D142*(1+Assumptions!$B$9)^V$5*(INT((Census!$F142+V$5))+IF((Census!$F142+V$5)-INT((Census!$F142+V$5))&gt;0.5,1,0)),Assumptions!$B$10))</f>
        <v>0</v>
      </c>
      <c r="W142" s="30">
        <f>IF(W$5&gt;$B142,0,INDEX(Decrements!$G$6:$G$58,Census!$G142+W$5-18)/INDEX(Decrements!$G$6:$G$58,Census!$G142-17)*(INDEX(Decrements!$D$6:$D$58,Census!$G142+W$5-18)+IF(W$5=$B142,INDEX(Decrements!$F$6:$F$58,Census!$G142+W$5-18),0)+INDEX(Decrements!$E$6:$E$58,Census!$G142+W$5-18)*IF((Census!$F142+W$5)&gt;=Assumptions!$B$11,1,0))*MIN(15/26*Census!$D142*(1+Assumptions!$B$9)^W$5*(INT((Census!$F142+W$5))+IF((Census!$F142+W$5)-INT((Census!$F142+W$5))&gt;0.5,1,0)),Assumptions!$B$10))</f>
        <v>0</v>
      </c>
      <c r="X142" s="30">
        <f>IF(X$5&gt;$B142,0,INDEX(Decrements!$G$6:$G$58,Census!$G142+X$5-18)/INDEX(Decrements!$G$6:$G$58,Census!$G142-17)*(INDEX(Decrements!$D$6:$D$58,Census!$G142+X$5-18)+IF(X$5=$B142,INDEX(Decrements!$F$6:$F$58,Census!$G142+X$5-18),0)+INDEX(Decrements!$E$6:$E$58,Census!$G142+X$5-18)*IF((Census!$F142+X$5)&gt;=Assumptions!$B$11,1,0))*MIN(15/26*Census!$D142*(1+Assumptions!$B$9)^X$5*(INT((Census!$F142+X$5))+IF((Census!$F142+X$5)-INT((Census!$F142+X$5))&gt;0.5,1,0)),Assumptions!$B$10))</f>
        <v>0</v>
      </c>
      <c r="Y142" s="30">
        <f>IF(Y$5&gt;$B142,0,INDEX(Decrements!$G$6:$G$58,Census!$G142+Y$5-18)/INDEX(Decrements!$G$6:$G$58,Census!$G142-17)*(INDEX(Decrements!$D$6:$D$58,Census!$G142+Y$5-18)+IF(Y$5=$B142,INDEX(Decrements!$F$6:$F$58,Census!$G142+Y$5-18),0)+INDEX(Decrements!$E$6:$E$58,Census!$G142+Y$5-18)*IF((Census!$F142+Y$5)&gt;=Assumptions!$B$11,1,0))*MIN(15/26*Census!$D142*(1+Assumptions!$B$9)^Y$5*(INT((Census!$F142+Y$5))+IF((Census!$F142+Y$5)-INT((Census!$F142+Y$5))&gt;0.5,1,0)),Assumptions!$B$10))</f>
        <v>0</v>
      </c>
      <c r="Z142" s="30">
        <f>IF(Z$5&gt;$B142,0,INDEX(Decrements!$G$6:$G$58,Census!$G142+Z$5-18)/INDEX(Decrements!$G$6:$G$58,Census!$G142-17)*(INDEX(Decrements!$D$6:$D$58,Census!$G142+Z$5-18)+IF(Z$5=$B142,INDEX(Decrements!$F$6:$F$58,Census!$G142+Z$5-18),0)+INDEX(Decrements!$E$6:$E$58,Census!$G142+Z$5-18)*IF((Census!$F142+Z$5)&gt;=Assumptions!$B$11,1,0))*MIN(15/26*Census!$D142*(1+Assumptions!$B$9)^Z$5*(INT((Census!$F142+Z$5))+IF((Census!$F142+Z$5)-INT((Census!$F142+Z$5))&gt;0.5,1,0)),Assumptions!$B$10))</f>
        <v>0</v>
      </c>
      <c r="AA142" s="30">
        <f>IF(AA$5&gt;$B142,0,INDEX(Decrements!$G$6:$G$58,Census!$G142+AA$5-18)/INDEX(Decrements!$G$6:$G$58,Census!$G142-17)*(INDEX(Decrements!$D$6:$D$58,Census!$G142+AA$5-18)+IF(AA$5=$B142,INDEX(Decrements!$F$6:$F$58,Census!$G142+AA$5-18),0)+INDEX(Decrements!$E$6:$E$58,Census!$G142+AA$5-18)*IF((Census!$F142+AA$5)&gt;=Assumptions!$B$11,1,0))*MIN(15/26*Census!$D142*(1+Assumptions!$B$9)^AA$5*(INT((Census!$F142+AA$5))+IF((Census!$F142+AA$5)-INT((Census!$F142+AA$5))&gt;0.5,1,0)),Assumptions!$B$10))</f>
        <v>0</v>
      </c>
      <c r="AB142" s="30">
        <f>IF(AB$5&gt;$B142,0,INDEX(Decrements!$G$6:$G$58,Census!$G142+AB$5-18)/INDEX(Decrements!$G$6:$G$58,Census!$G142-17)*(INDEX(Decrements!$D$6:$D$58,Census!$G142+AB$5-18)+IF(AB$5=$B142,INDEX(Decrements!$F$6:$F$58,Census!$G142+AB$5-18),0)+INDEX(Decrements!$E$6:$E$58,Census!$G142+AB$5-18)*IF((Census!$F142+AB$5)&gt;=Assumptions!$B$11,1,0))*MIN(15/26*Census!$D142*(1+Assumptions!$B$9)^AB$5*(INT((Census!$F142+AB$5))+IF((Census!$F142+AB$5)-INT((Census!$F142+AB$5))&gt;0.5,1,0)),Assumptions!$B$10))</f>
        <v>0</v>
      </c>
      <c r="AC142" s="30">
        <f>IF(AC$5&gt;$B142,0,INDEX(Decrements!$G$6:$G$58,Census!$G142+AC$5-18)/INDEX(Decrements!$G$6:$G$58,Census!$G142-17)*(INDEX(Decrements!$D$6:$D$58,Census!$G142+AC$5-18)+IF(AC$5=$B142,INDEX(Decrements!$F$6:$F$58,Census!$G142+AC$5-18),0)+INDEX(Decrements!$E$6:$E$58,Census!$G142+AC$5-18)*IF((Census!$F142+AC$5)&gt;=Assumptions!$B$11,1,0))*MIN(15/26*Census!$D142*(1+Assumptions!$B$9)^AC$5*(INT((Census!$F142+AC$5))+IF((Census!$F142+AC$5)-INT((Census!$F142+AC$5))&gt;0.5,1,0)),Assumptions!$B$10))</f>
        <v>0</v>
      </c>
      <c r="AD142" s="30">
        <f>IF(AD$5&gt;$B142,0,INDEX(Decrements!$G$6:$G$58,Census!$G142+AD$5-18)/INDEX(Decrements!$G$6:$G$58,Census!$G142-17)*(INDEX(Decrements!$D$6:$D$58,Census!$G142+AD$5-18)+IF(AD$5=$B142,INDEX(Decrements!$F$6:$F$58,Census!$G142+AD$5-18),0)+INDEX(Decrements!$E$6:$E$58,Census!$G142+AD$5-18)*IF((Census!$F142+AD$5)&gt;=Assumptions!$B$11,1,0))*MIN(15/26*Census!$D142*(1+Assumptions!$B$9)^AD$5*(INT((Census!$F142+AD$5))+IF((Census!$F142+AD$5)-INT((Census!$F142+AD$5))&gt;0.5,1,0)),Assumptions!$B$10))</f>
        <v>0</v>
      </c>
      <c r="AE142" s="30">
        <f>IF(AE$5&gt;$B142,0,INDEX(Decrements!$G$6:$G$58,Census!$G142+AE$5-18)/INDEX(Decrements!$G$6:$G$58,Census!$G142-17)*(INDEX(Decrements!$D$6:$D$58,Census!$G142+AE$5-18)+IF(AE$5=$B142,INDEX(Decrements!$F$6:$F$58,Census!$G142+AE$5-18),0)+INDEX(Decrements!$E$6:$E$58,Census!$G142+AE$5-18)*IF((Census!$F142+AE$5)&gt;=Assumptions!$B$11,1,0))*MIN(15/26*Census!$D142*(1+Assumptions!$B$9)^AE$5*(INT((Census!$F142+AE$5))+IF((Census!$F142+AE$5)-INT((Census!$F142+AE$5))&gt;0.5,1,0)),Assumptions!$B$10))</f>
        <v>0</v>
      </c>
      <c r="AF142" s="30">
        <f>IF(AF$5&gt;$B142,0,INDEX(Decrements!$G$6:$G$58,Census!$G142+AF$5-18)/INDEX(Decrements!$G$6:$G$58,Census!$G142-17)*(INDEX(Decrements!$D$6:$D$58,Census!$G142+AF$5-18)+IF(AF$5=$B142,INDEX(Decrements!$F$6:$F$58,Census!$G142+AF$5-18),0)+INDEX(Decrements!$E$6:$E$58,Census!$G142+AF$5-18)*IF((Census!$F142+AF$5)&gt;=Assumptions!$B$11,1,0))*MIN(15/26*Census!$D142*(1+Assumptions!$B$9)^AF$5*(INT((Census!$F142+AF$5))+IF((Census!$F142+AF$5)-INT((Census!$F142+AF$5))&gt;0.5,1,0)),Assumptions!$B$10))</f>
        <v>0</v>
      </c>
      <c r="AG142" s="30">
        <f>IF(AG$5&gt;$B142,0,INDEX(Decrements!$G$6:$G$58,Census!$G142+AG$5-18)/INDEX(Decrements!$G$6:$G$58,Census!$G142-17)*(INDEX(Decrements!$D$6:$D$58,Census!$G142+AG$5-18)+IF(AG$5=$B142,INDEX(Decrements!$F$6:$F$58,Census!$G142+AG$5-18),0)+INDEX(Decrements!$E$6:$E$58,Census!$G142+AG$5-18)*IF((Census!$F142+AG$5)&gt;=Assumptions!$B$11,1,0))*MIN(15/26*Census!$D142*(1+Assumptions!$B$9)^AG$5*(INT((Census!$F142+AG$5))+IF((Census!$F142+AG$5)-INT((Census!$F142+AG$5))&gt;0.5,1,0)),Assumptions!$B$10))</f>
        <v>0</v>
      </c>
      <c r="AH142" s="30">
        <f>IF(AH$5&gt;$B142,0,INDEX(Decrements!$G$6:$G$58,Census!$G142+AH$5-18)/INDEX(Decrements!$G$6:$G$58,Census!$G142-17)*(INDEX(Decrements!$D$6:$D$58,Census!$G142+AH$5-18)+IF(AH$5=$B142,INDEX(Decrements!$F$6:$F$58,Census!$G142+AH$5-18),0)+INDEX(Decrements!$E$6:$E$58,Census!$G142+AH$5-18)*IF((Census!$F142+AH$5)&gt;=Assumptions!$B$11,1,0))*MIN(15/26*Census!$D142*(1+Assumptions!$B$9)^AH$5*(INT((Census!$F142+AH$5))+IF((Census!$F142+AH$5)-INT((Census!$F142+AH$5))&gt;0.5,1,0)),Assumptions!$B$10))</f>
        <v>0</v>
      </c>
      <c r="AI142" s="30">
        <f>IF(AI$5&gt;$B142,0,INDEX(Decrements!$G$6:$G$58,Census!$G142+AI$5-18)/INDEX(Decrements!$G$6:$G$58,Census!$G142-17)*(INDEX(Decrements!$D$6:$D$58,Census!$G142+AI$5-18)+IF(AI$5=$B142,INDEX(Decrements!$F$6:$F$58,Census!$G142+AI$5-18),0)+INDEX(Decrements!$E$6:$E$58,Census!$G142+AI$5-18)*IF((Census!$F142+AI$5)&gt;=Assumptions!$B$11,1,0))*MIN(15/26*Census!$D142*(1+Assumptions!$B$9)^AI$5*(INT((Census!$F142+AI$5))+IF((Census!$F142+AI$5)-INT((Census!$F142+AI$5))&gt;0.5,1,0)),Assumptions!$B$10))</f>
        <v>0</v>
      </c>
      <c r="AJ142" s="30">
        <f>IF(AJ$5&gt;$B142,0,INDEX(Decrements!$G$6:$G$58,Census!$G142+AJ$5-18)/INDEX(Decrements!$G$6:$G$58,Census!$G142-17)*(INDEX(Decrements!$D$6:$D$58,Census!$G142+AJ$5-18)+IF(AJ$5=$B142,INDEX(Decrements!$F$6:$F$58,Census!$G142+AJ$5-18),0)+INDEX(Decrements!$E$6:$E$58,Census!$G142+AJ$5-18)*IF((Census!$F142+AJ$5)&gt;=Assumptions!$B$11,1,0))*MIN(15/26*Census!$D142*(1+Assumptions!$B$9)^AJ$5*(INT((Census!$F142+AJ$5))+IF((Census!$F142+AJ$5)-INT((Census!$F142+AJ$5))&gt;0.5,1,0)),Assumptions!$B$10))</f>
        <v>0</v>
      </c>
      <c r="AK142" s="30">
        <f>IF(AK$5&gt;$B142,0,INDEX(Decrements!$G$6:$G$58,Census!$G142+AK$5-18)/INDEX(Decrements!$G$6:$G$58,Census!$G142-17)*(INDEX(Decrements!$D$6:$D$58,Census!$G142+AK$5-18)+IF(AK$5=$B142,INDEX(Decrements!$F$6:$F$58,Census!$G142+AK$5-18),0)+INDEX(Decrements!$E$6:$E$58,Census!$G142+AK$5-18)*IF((Census!$F142+AK$5)&gt;=Assumptions!$B$11,1,0))*MIN(15/26*Census!$D142*(1+Assumptions!$B$9)^AK$5*(INT((Census!$F142+AK$5))+IF((Census!$F142+AK$5)-INT((Census!$F142+AK$5))&gt;0.5,1,0)),Assumptions!$B$10))</f>
        <v>0</v>
      </c>
      <c r="AL142" s="30">
        <f>IF(AL$5&gt;$B142,0,INDEX(Decrements!$G$6:$G$58,Census!$G142+AL$5-18)/INDEX(Decrements!$G$6:$G$58,Census!$G142-17)*(INDEX(Decrements!$D$6:$D$58,Census!$G142+AL$5-18)+IF(AL$5=$B142,INDEX(Decrements!$F$6:$F$58,Census!$G142+AL$5-18),0)+INDEX(Decrements!$E$6:$E$58,Census!$G142+AL$5-18)*IF((Census!$F142+AL$5)&gt;=Assumptions!$B$11,1,0))*MIN(15/26*Census!$D142*(1+Assumptions!$B$9)^AL$5*(INT((Census!$F142+AL$5))+IF((Census!$F142+AL$5)-INT((Census!$F142+AL$5))&gt;0.5,1,0)),Assumptions!$B$10))</f>
        <v>0</v>
      </c>
      <c r="AM142" s="30">
        <f>IF(AM$5&gt;$B142,0,INDEX(Decrements!$G$6:$G$58,Census!$G142+AM$5-18)/INDEX(Decrements!$G$6:$G$58,Census!$G142-17)*(INDEX(Decrements!$D$6:$D$58,Census!$G142+AM$5-18)+IF(AM$5=$B142,INDEX(Decrements!$F$6:$F$58,Census!$G142+AM$5-18),0)+INDEX(Decrements!$E$6:$E$58,Census!$G142+AM$5-18)*IF((Census!$F142+AM$5)&gt;=Assumptions!$B$11,1,0))*MIN(15/26*Census!$D142*(1+Assumptions!$B$9)^AM$5*(INT((Census!$F142+AM$5))+IF((Census!$F142+AM$5)-INT((Census!$F142+AM$5))&gt;0.5,1,0)),Assumptions!$B$10))</f>
        <v>0</v>
      </c>
      <c r="AN142" s="30">
        <f>IF(AN$5&gt;$B142,0,INDEX(Decrements!$G$6:$G$58,Census!$G142+AN$5-18)/INDEX(Decrements!$G$6:$G$58,Census!$G142-17)*(INDEX(Decrements!$D$6:$D$58,Census!$G142+AN$5-18)+IF(AN$5=$B142,INDEX(Decrements!$F$6:$F$58,Census!$G142+AN$5-18),0)+INDEX(Decrements!$E$6:$E$58,Census!$G142+AN$5-18)*IF((Census!$F142+AN$5)&gt;=Assumptions!$B$11,1,0))*MIN(15/26*Census!$D142*(1+Assumptions!$B$9)^AN$5*(INT((Census!$F142+AN$5))+IF((Census!$F142+AN$5)-INT((Census!$F142+AN$5))&gt;0.5,1,0)),Assumptions!$B$10))</f>
        <v>0</v>
      </c>
      <c r="AO142" s="30">
        <f>IF(AO$5&gt;$B142,0,INDEX(Decrements!$G$6:$G$58,Census!$G142+AO$5-18)/INDEX(Decrements!$G$6:$G$58,Census!$G142-17)*(INDEX(Decrements!$D$6:$D$58,Census!$G142+AO$5-18)+IF(AO$5=$B142,INDEX(Decrements!$F$6:$F$58,Census!$G142+AO$5-18),0)+INDEX(Decrements!$E$6:$E$58,Census!$G142+AO$5-18)*IF((Census!$F142+AO$5)&gt;=Assumptions!$B$11,1,0))*MIN(15/26*Census!$D142*(1+Assumptions!$B$9)^AO$5*(INT((Census!$F142+AO$5))+IF((Census!$F142+AO$5)-INT((Census!$F142+AO$5))&gt;0.5,1,0)),Assumptions!$B$10))</f>
        <v>0</v>
      </c>
      <c r="AP142" s="30">
        <f>IF(AP$5&gt;$B142,0,INDEX(Decrements!$G$6:$G$58,Census!$G142+AP$5-18)/INDEX(Decrements!$G$6:$G$58,Census!$G142-17)*(INDEX(Decrements!$D$6:$D$58,Census!$G142+AP$5-18)+IF(AP$5=$B142,INDEX(Decrements!$F$6:$F$58,Census!$G142+AP$5-18),0)+INDEX(Decrements!$E$6:$E$58,Census!$G142+AP$5-18)*IF((Census!$F142+AP$5)&gt;=Assumptions!$B$11,1,0))*MIN(15/26*Census!$D142*(1+Assumptions!$B$9)^AP$5*(INT((Census!$F142+AP$5))+IF((Census!$F142+AP$5)-INT((Census!$F142+AP$5))&gt;0.5,1,0)),Assumptions!$B$10))</f>
        <v>0</v>
      </c>
      <c r="AQ142" s="30">
        <f>IF(AQ$5&gt;$B142,0,INDEX(Decrements!$G$6:$G$58,Census!$G142+AQ$5-18)/INDEX(Decrements!$G$6:$G$58,Census!$G142-17)*(INDEX(Decrements!$D$6:$D$58,Census!$G142+AQ$5-18)+IF(AQ$5=$B142,INDEX(Decrements!$F$6:$F$58,Census!$G142+AQ$5-18),0)+INDEX(Decrements!$E$6:$E$58,Census!$G142+AQ$5-18)*IF((Census!$F142+AQ$5)&gt;=Assumptions!$B$11,1,0))*MIN(15/26*Census!$D142*(1+Assumptions!$B$9)^AQ$5*(INT((Census!$F142+AQ$5))+IF((Census!$F142+AQ$5)-INT((Census!$F142+AQ$5))&gt;0.5,1,0)),Assumptions!$B$10))</f>
        <v>0</v>
      </c>
      <c r="AR142" s="30">
        <f>IF(AR$5&gt;$B142,0,INDEX(Decrements!$G$6:$G$58,Census!$G142+AR$5-18)/INDEX(Decrements!$G$6:$G$58,Census!$G142-17)*(INDEX(Decrements!$D$6:$D$58,Census!$G142+AR$5-18)+IF(AR$5=$B142,INDEX(Decrements!$F$6:$F$58,Census!$G142+AR$5-18),0)+INDEX(Decrements!$E$6:$E$58,Census!$G142+AR$5-18)*IF((Census!$F142+AR$5)&gt;=Assumptions!$B$11,1,0))*MIN(15/26*Census!$D142*(1+Assumptions!$B$9)^AR$5*(INT((Census!$F142+AR$5))+IF((Census!$F142+AR$5)-INT((Census!$F142+AR$5))&gt;0.5,1,0)),Assumptions!$B$10))</f>
        <v>0</v>
      </c>
      <c r="AS142" s="30">
        <f>IF(AS$5&gt;$B142,0,INDEX(Decrements!$G$6:$G$58,Census!$G142+AS$5-18)/INDEX(Decrements!$G$6:$G$58,Census!$G142-17)*(INDEX(Decrements!$D$6:$D$58,Census!$G142+AS$5-18)+IF(AS$5=$B142,INDEX(Decrements!$F$6:$F$58,Census!$G142+AS$5-18),0)+INDEX(Decrements!$E$6:$E$58,Census!$G142+AS$5-18)*IF((Census!$F142+AS$5)&gt;=Assumptions!$B$11,1,0))*MIN(15/26*Census!$D142*(1+Assumptions!$B$9)^AS$5*(INT((Census!$F142+AS$5))+IF((Census!$F142+AS$5)-INT((Census!$F142+AS$5))&gt;0.5,1,0)),Assumptions!$B$10))</f>
        <v>0</v>
      </c>
      <c r="AT142" s="30">
        <f>IF(AT$5&gt;$B142,0,INDEX(Decrements!$G$6:$G$58,Census!$G142+AT$5-18)/INDEX(Decrements!$G$6:$G$58,Census!$G142-17)*(INDEX(Decrements!$D$6:$D$58,Census!$G142+AT$5-18)+IF(AT$5=$B142,INDEX(Decrements!$F$6:$F$58,Census!$G142+AT$5-18),0)+INDEX(Decrements!$E$6:$E$58,Census!$G142+AT$5-18)*IF((Census!$F142+AT$5)&gt;=Assumptions!$B$11,1,0))*MIN(15/26*Census!$D142*(1+Assumptions!$B$9)^AT$5*(INT((Census!$F142+AT$5))+IF((Census!$F142+AT$5)-INT((Census!$F142+AT$5))&gt;0.5,1,0)),Assumptions!$B$10))</f>
        <v>0</v>
      </c>
      <c r="AU142" s="30">
        <f>IF(AU$5&gt;$B142,0,INDEX(Decrements!$G$6:$G$58,Census!$G142+AU$5-18)/INDEX(Decrements!$G$6:$G$58,Census!$G142-17)*(INDEX(Decrements!$D$6:$D$58,Census!$G142+AU$5-18)+IF(AU$5=$B142,INDEX(Decrements!$F$6:$F$58,Census!$G142+AU$5-18),0)+INDEX(Decrements!$E$6:$E$58,Census!$G142+AU$5-18)*IF((Census!$F142+AU$5)&gt;=Assumptions!$B$11,1,0))*MIN(15/26*Census!$D142*(1+Assumptions!$B$9)^AU$5*(INT((Census!$F142+AU$5))+IF((Census!$F142+AU$5)-INT((Census!$F142+AU$5))&gt;0.5,1,0)),Assumptions!$B$10))</f>
        <v>0</v>
      </c>
    </row>
    <row r="143" spans="1:47" x14ac:dyDescent="0.3">
      <c r="A143" s="10" t="str">
        <f>Census!A143</f>
        <v>E138</v>
      </c>
      <c r="B143" s="29">
        <f>Census!H143</f>
        <v>22</v>
      </c>
      <c r="C143" s="30">
        <f>IF(C$5&gt;$B143,0,INDEX(Decrements!$G$6:$G$58,Census!$G143+C$5-18)/INDEX(Decrements!$G$6:$G$58,Census!$G143-17)*(INDEX(Decrements!$D$6:$D$58,Census!$G143+C$5-18)+IF(C$5=$B143,INDEX(Decrements!$F$6:$F$58,Census!$G143+C$5-18),0)+INDEX(Decrements!$E$6:$E$58,Census!$G143+C$5-18)*IF((Census!$F143+C$5)&gt;=Assumptions!$B$11,1,0))*MIN(15/26*Census!$D143*(1+Assumptions!$B$9)^C$5*(INT((Census!$F143+C$5))+IF((Census!$F143+C$5)-INT((Census!$F143+C$5))&gt;0.5,1,0)),Assumptions!$B$10))</f>
        <v>110.21631058823594</v>
      </c>
      <c r="D143" s="30">
        <f>IF(D$5&gt;$B143,0,INDEX(Decrements!$G$6:$G$58,Census!$G143+D$5-18)/INDEX(Decrements!$G$6:$G$58,Census!$G143-17)*(INDEX(Decrements!$D$6:$D$58,Census!$G143+D$5-18)+IF(D$5=$B143,INDEX(Decrements!$F$6:$F$58,Census!$G143+D$5-18),0)+INDEX(Decrements!$E$6:$E$58,Census!$G143+D$5-18)*IF((Census!$F143+D$5)&gt;=Assumptions!$B$11,1,0))*MIN(15/26*Census!$D143*(1+Assumptions!$B$9)^D$5*(INT((Census!$F143+D$5))+IF((Census!$F143+D$5)-INT((Census!$F143+D$5))&gt;0.5,1,0)),Assumptions!$B$10))</f>
        <v>9761.3248129591411</v>
      </c>
      <c r="E143" s="30">
        <f>IF(E$5&gt;$B143,0,INDEX(Decrements!$G$6:$G$58,Census!$G143+E$5-18)/INDEX(Decrements!$G$6:$G$58,Census!$G143-17)*(INDEX(Decrements!$D$6:$D$58,Census!$G143+E$5-18)+IF(E$5=$B143,INDEX(Decrements!$F$6:$F$58,Census!$G143+E$5-18),0)+INDEX(Decrements!$E$6:$E$58,Census!$G143+E$5-18)*IF((Census!$F143+E$5)&gt;=Assumptions!$B$11,1,0))*MIN(15/26*Census!$D143*(1+Assumptions!$B$9)^E$5*(INT((Census!$F143+E$5))+IF((Census!$F143+E$5)-INT((Census!$F143+E$5))&gt;0.5,1,0)),Assumptions!$B$10))</f>
        <v>7344.4970919322413</v>
      </c>
      <c r="F143" s="30">
        <f>IF(F$5&gt;$B143,0,INDEX(Decrements!$G$6:$G$58,Census!$G143+F$5-18)/INDEX(Decrements!$G$6:$G$58,Census!$G143-17)*(INDEX(Decrements!$D$6:$D$58,Census!$G143+F$5-18)+IF(F$5=$B143,INDEX(Decrements!$F$6:$F$58,Census!$G143+F$5-18),0)+INDEX(Decrements!$E$6:$E$58,Census!$G143+F$5-18)*IF((Census!$F143+F$5)&gt;=Assumptions!$B$11,1,0))*MIN(15/26*Census!$D143*(1+Assumptions!$B$9)^F$5*(INT((Census!$F143+F$5))+IF((Census!$F143+F$5)-INT((Census!$F143+F$5))&gt;0.5,1,0)),Assumptions!$B$10))</f>
        <v>8794.9301006079313</v>
      </c>
      <c r="G143" s="30">
        <f>IF(G$5&gt;$B143,0,INDEX(Decrements!$G$6:$G$58,Census!$G143+G$5-18)/INDEX(Decrements!$G$6:$G$58,Census!$G143-17)*(INDEX(Decrements!$D$6:$D$58,Census!$G143+G$5-18)+IF(G$5=$B143,INDEX(Decrements!$F$6:$F$58,Census!$G143+G$5-18),0)+INDEX(Decrements!$E$6:$E$58,Census!$G143+G$5-18)*IF((Census!$F143+G$5)&gt;=Assumptions!$B$11,1,0))*MIN(15/26*Census!$D143*(1+Assumptions!$B$9)^G$5*(INT((Census!$F143+G$5))+IF((Census!$F143+G$5)-INT((Census!$F143+G$5))&gt;0.5,1,0)),Assumptions!$B$10))</f>
        <v>10317.660702646603</v>
      </c>
      <c r="H143" s="30">
        <f>IF(H$5&gt;$B143,0,INDEX(Decrements!$G$6:$G$58,Census!$G143+H$5-18)/INDEX(Decrements!$G$6:$G$58,Census!$G143-17)*(INDEX(Decrements!$D$6:$D$58,Census!$G143+H$5-18)+IF(H$5=$B143,INDEX(Decrements!$F$6:$F$58,Census!$G143+H$5-18),0)+INDEX(Decrements!$E$6:$E$58,Census!$G143+H$5-18)*IF((Census!$F143+H$5)&gt;=Assumptions!$B$11,1,0))*MIN(15/26*Census!$D143*(1+Assumptions!$B$9)^H$5*(INT((Census!$F143+H$5))+IF((Census!$F143+H$5)-INT((Census!$F143+H$5))&gt;0.5,1,0)),Assumptions!$B$10))</f>
        <v>11915.905033023979</v>
      </c>
      <c r="I143" s="30">
        <f>IF(I$5&gt;$B143,0,INDEX(Decrements!$G$6:$G$58,Census!$G143+I$5-18)/INDEX(Decrements!$G$6:$G$58,Census!$G143-17)*(INDEX(Decrements!$D$6:$D$58,Census!$G143+I$5-18)+IF(I$5=$B143,INDEX(Decrements!$F$6:$F$58,Census!$G143+I$5-18),0)+INDEX(Decrements!$E$6:$E$58,Census!$G143+I$5-18)*IF((Census!$F143+I$5)&gt;=Assumptions!$B$11,1,0))*MIN(15/26*Census!$D143*(1+Assumptions!$B$9)^I$5*(INT((Census!$F143+I$5))+IF((Census!$F143+I$5)-INT((Census!$F143+I$5))&gt;0.5,1,0)),Assumptions!$B$10))</f>
        <v>13593.065020926879</v>
      </c>
      <c r="J143" s="30">
        <f>IF(J$5&gt;$B143,0,INDEX(Decrements!$G$6:$G$58,Census!$G143+J$5-18)/INDEX(Decrements!$G$6:$G$58,Census!$G143-17)*(INDEX(Decrements!$D$6:$D$58,Census!$G143+J$5-18)+IF(J$5=$B143,INDEX(Decrements!$F$6:$F$58,Census!$G143+J$5-18),0)+INDEX(Decrements!$E$6:$E$58,Census!$G143+J$5-18)*IF((Census!$F143+J$5)&gt;=Assumptions!$B$11,1,0))*MIN(15/26*Census!$D143*(1+Assumptions!$B$9)^J$5*(INT((Census!$F143+J$5))+IF((Census!$F143+J$5)-INT((Census!$F143+J$5))&gt;0.5,1,0)),Assumptions!$B$10))</f>
        <v>9440.0432949824281</v>
      </c>
      <c r="K143" s="30">
        <f>IF(K$5&gt;$B143,0,INDEX(Decrements!$G$6:$G$58,Census!$G143+K$5-18)/INDEX(Decrements!$G$6:$G$58,Census!$G143-17)*(INDEX(Decrements!$D$6:$D$58,Census!$G143+K$5-18)+IF(K$5=$B143,INDEX(Decrements!$F$6:$F$58,Census!$G143+K$5-18),0)+INDEX(Decrements!$E$6:$E$58,Census!$G143+K$5-18)*IF((Census!$F143+K$5)&gt;=Assumptions!$B$11,1,0))*MIN(15/26*Census!$D143*(1+Assumptions!$B$9)^K$5*(INT((Census!$F143+K$5))+IF((Census!$F143+K$5)-INT((Census!$F143+K$5))&gt;0.5,1,0)),Assumptions!$B$10))</f>
        <v>10817.654823941999</v>
      </c>
      <c r="L143" s="30">
        <f>IF(L$5&gt;$B143,0,INDEX(Decrements!$G$6:$G$58,Census!$G143+L$5-18)/INDEX(Decrements!$G$6:$G$58,Census!$G143-17)*(INDEX(Decrements!$D$6:$D$58,Census!$G143+L$5-18)+IF(L$5=$B143,INDEX(Decrements!$F$6:$F$58,Census!$G143+L$5-18),0)+INDEX(Decrements!$E$6:$E$58,Census!$G143+L$5-18)*IF((Census!$F143+L$5)&gt;=Assumptions!$B$11,1,0))*MIN(15/26*Census!$D143*(1+Assumptions!$B$9)^L$5*(INT((Census!$F143+L$5))+IF((Census!$F143+L$5)-INT((Census!$F143+L$5))&gt;0.5,1,0)),Assumptions!$B$10))</f>
        <v>12313.729273819477</v>
      </c>
      <c r="M143" s="30">
        <f>IF(M$5&gt;$B143,0,INDEX(Decrements!$G$6:$G$58,Census!$G143+M$5-18)/INDEX(Decrements!$G$6:$G$58,Census!$G143-17)*(INDEX(Decrements!$D$6:$D$58,Census!$G143+M$5-18)+IF(M$5=$B143,INDEX(Decrements!$F$6:$F$58,Census!$G143+M$5-18),0)+INDEX(Decrements!$E$6:$E$58,Census!$G143+M$5-18)*IF((Census!$F143+M$5)&gt;=Assumptions!$B$11,1,0))*MIN(15/26*Census!$D143*(1+Assumptions!$B$9)^M$5*(INT((Census!$F143+M$5))+IF((Census!$F143+M$5)-INT((Census!$F143+M$5))&gt;0.5,1,0)),Assumptions!$B$10))</f>
        <v>13938.070413631267</v>
      </c>
      <c r="N143" s="30">
        <f>IF(N$5&gt;$B143,0,INDEX(Decrements!$G$6:$G$58,Census!$G143+N$5-18)/INDEX(Decrements!$G$6:$G$58,Census!$G143-17)*(INDEX(Decrements!$D$6:$D$58,Census!$G143+N$5-18)+IF(N$5=$B143,INDEX(Decrements!$F$6:$F$58,Census!$G143+N$5-18),0)+INDEX(Decrements!$E$6:$E$58,Census!$G143+N$5-18)*IF((Census!$F143+N$5)&gt;=Assumptions!$B$11,1,0))*MIN(15/26*Census!$D143*(1+Assumptions!$B$9)^N$5*(INT((Census!$F143+N$5))+IF((Census!$F143+N$5)-INT((Census!$F143+N$5))&gt;0.5,1,0)),Assumptions!$B$10))</f>
        <v>15701.423806862338</v>
      </c>
      <c r="O143" s="30">
        <f>IF(O$5&gt;$B143,0,INDEX(Decrements!$G$6:$G$58,Census!$G143+O$5-18)/INDEX(Decrements!$G$6:$G$58,Census!$G143-17)*(INDEX(Decrements!$D$6:$D$58,Census!$G143+O$5-18)+IF(O$5=$B143,INDEX(Decrements!$F$6:$F$58,Census!$G143+O$5-18),0)+INDEX(Decrements!$E$6:$E$58,Census!$G143+O$5-18)*IF((Census!$F143+O$5)&gt;=Assumptions!$B$11,1,0))*MIN(15/26*Census!$D143*(1+Assumptions!$B$9)^O$5*(INT((Census!$F143+O$5))+IF((Census!$F143+O$5)-INT((Census!$F143+O$5))&gt;0.5,1,0)),Assumptions!$B$10))</f>
        <v>12256.001269518219</v>
      </c>
      <c r="P143" s="30">
        <f>IF(P$5&gt;$B143,0,INDEX(Decrements!$G$6:$G$58,Census!$G143+P$5-18)/INDEX(Decrements!$G$6:$G$58,Census!$G143-17)*(INDEX(Decrements!$D$6:$D$58,Census!$G143+P$5-18)+IF(P$5=$B143,INDEX(Decrements!$F$6:$F$58,Census!$G143+P$5-18),0)+INDEX(Decrements!$E$6:$E$58,Census!$G143+P$5-18)*IF((Census!$F143+P$5)&gt;=Assumptions!$B$11,1,0))*MIN(15/26*Census!$D143*(1+Assumptions!$B$9)^P$5*(INT((Census!$F143+P$5))+IF((Census!$F143+P$5)-INT((Census!$F143+P$5))&gt;0.5,1,0)),Assumptions!$B$10))</f>
        <v>13888.144104445842</v>
      </c>
      <c r="Q143" s="30">
        <f>IF(Q$5&gt;$B143,0,INDEX(Decrements!$G$6:$G$58,Census!$G143+Q$5-18)/INDEX(Decrements!$G$6:$G$58,Census!$G143-17)*(INDEX(Decrements!$D$6:$D$58,Census!$G143+Q$5-18)+IF(Q$5=$B143,INDEX(Decrements!$F$6:$F$58,Census!$G143+Q$5-18),0)+INDEX(Decrements!$E$6:$E$58,Census!$G143+Q$5-18)*IF((Census!$F143+Q$5)&gt;=Assumptions!$B$11,1,0))*MIN(15/26*Census!$D143*(1+Assumptions!$B$9)^Q$5*(INT((Census!$F143+Q$5))+IF((Census!$F143+Q$5)-INT((Census!$F143+Q$5))&gt;0.5,1,0)),Assumptions!$B$10))</f>
        <v>15693.772182731738</v>
      </c>
      <c r="R143" s="30">
        <f>IF(R$5&gt;$B143,0,INDEX(Decrements!$G$6:$G$58,Census!$G143+R$5-18)/INDEX(Decrements!$G$6:$G$58,Census!$G143-17)*(INDEX(Decrements!$D$6:$D$58,Census!$G143+R$5-18)+IF(R$5=$B143,INDEX(Decrements!$F$6:$F$58,Census!$G143+R$5-18),0)+INDEX(Decrements!$E$6:$E$58,Census!$G143+R$5-18)*IF((Census!$F143+R$5)&gt;=Assumptions!$B$11,1,0))*MIN(15/26*Census!$D143*(1+Assumptions!$B$9)^R$5*(INT((Census!$F143+R$5))+IF((Census!$F143+R$5)-INT((Census!$F143+R$5))&gt;0.5,1,0)),Assumptions!$B$10))</f>
        <v>17692.131466261853</v>
      </c>
      <c r="S143" s="30">
        <f>IF(S$5&gt;$B143,0,INDEX(Decrements!$G$6:$G$58,Census!$G143+S$5-18)/INDEX(Decrements!$G$6:$G$58,Census!$G143-17)*(INDEX(Decrements!$D$6:$D$58,Census!$G143+S$5-18)+IF(S$5=$B143,INDEX(Decrements!$F$6:$F$58,Census!$G143+S$5-18),0)+INDEX(Decrements!$E$6:$E$58,Census!$G143+S$5-18)*IF((Census!$F143+S$5)&gt;=Assumptions!$B$11,1,0))*MIN(15/26*Census!$D143*(1+Assumptions!$B$9)^S$5*(INT((Census!$F143+S$5))+IF((Census!$F143+S$5)-INT((Census!$F143+S$5))&gt;0.5,1,0)),Assumptions!$B$10))</f>
        <v>19904.888735370962</v>
      </c>
      <c r="T143" s="30">
        <f>IF(T$5&gt;$B143,0,INDEX(Decrements!$G$6:$G$58,Census!$G143+T$5-18)/INDEX(Decrements!$G$6:$G$58,Census!$G143-17)*(INDEX(Decrements!$D$6:$D$58,Census!$G143+T$5-18)+IF(T$5=$B143,INDEX(Decrements!$F$6:$F$58,Census!$G143+T$5-18),0)+INDEX(Decrements!$E$6:$E$58,Census!$G143+T$5-18)*IF((Census!$F143+T$5)&gt;=Assumptions!$B$11,1,0))*MIN(15/26*Census!$D143*(1+Assumptions!$B$9)^T$5*(INT((Census!$F143+T$5))+IF((Census!$F143+T$5)-INT((Census!$F143+T$5))&gt;0.5,1,0)),Assumptions!$B$10))</f>
        <v>13185.252317333061</v>
      </c>
      <c r="U143" s="30">
        <f>IF(U$5&gt;$B143,0,INDEX(Decrements!$G$6:$G$58,Census!$G143+U$5-18)/INDEX(Decrements!$G$6:$G$58,Census!$G143-17)*(INDEX(Decrements!$D$6:$D$58,Census!$G143+U$5-18)+IF(U$5=$B143,INDEX(Decrements!$F$6:$F$58,Census!$G143+U$5-18),0)+INDEX(Decrements!$E$6:$E$58,Census!$G143+U$5-18)*IF((Census!$F143+U$5)&gt;=Assumptions!$B$11,1,0))*MIN(15/26*Census!$D143*(1+Assumptions!$B$9)^U$5*(INT((Census!$F143+U$5))+IF((Census!$F143+U$5)-INT((Census!$F143+U$5))&gt;0.5,1,0)),Assumptions!$B$10))</f>
        <v>14178.996916781822</v>
      </c>
      <c r="V143" s="30">
        <f>IF(V$5&gt;$B143,0,INDEX(Decrements!$G$6:$G$58,Census!$G143+V$5-18)/INDEX(Decrements!$G$6:$G$58,Census!$G143-17)*(INDEX(Decrements!$D$6:$D$58,Census!$G143+V$5-18)+IF(V$5=$B143,INDEX(Decrements!$F$6:$F$58,Census!$G143+V$5-18),0)+INDEX(Decrements!$E$6:$E$58,Census!$G143+V$5-18)*IF((Census!$F143+V$5)&gt;=Assumptions!$B$11,1,0))*MIN(15/26*Census!$D143*(1+Assumptions!$B$9)^V$5*(INT((Census!$F143+V$5))+IF((Census!$F143+V$5)-INT((Census!$F143+V$5))&gt;0.5,1,0)),Assumptions!$B$10))</f>
        <v>14378.902991626848</v>
      </c>
      <c r="W143" s="30">
        <f>IF(W$5&gt;$B143,0,INDEX(Decrements!$G$6:$G$58,Census!$G143+W$5-18)/INDEX(Decrements!$G$6:$G$58,Census!$G143-17)*(INDEX(Decrements!$D$6:$D$58,Census!$G143+W$5-18)+IF(W$5=$B143,INDEX(Decrements!$F$6:$F$58,Census!$G143+W$5-18),0)+INDEX(Decrements!$E$6:$E$58,Census!$G143+W$5-18)*IF((Census!$F143+W$5)&gt;=Assumptions!$B$11,1,0))*MIN(15/26*Census!$D143*(1+Assumptions!$B$9)^W$5*(INT((Census!$F143+W$5))+IF((Census!$F143+W$5)-INT((Census!$F143+W$5))&gt;0.5,1,0)),Assumptions!$B$10))</f>
        <v>14603.527024872632</v>
      </c>
      <c r="X143" s="30">
        <f>IF(X$5&gt;$B143,0,INDEX(Decrements!$G$6:$G$58,Census!$G143+X$5-18)/INDEX(Decrements!$G$6:$G$58,Census!$G143-17)*(INDEX(Decrements!$D$6:$D$58,Census!$G143+X$5-18)+IF(X$5=$B143,INDEX(Decrements!$F$6:$F$58,Census!$G143+X$5-18),0)+INDEX(Decrements!$E$6:$E$58,Census!$G143+X$5-18)*IF((Census!$F143+X$5)&gt;=Assumptions!$B$11,1,0))*MIN(15/26*Census!$D143*(1+Assumptions!$B$9)^X$5*(INT((Census!$F143+X$5))+IF((Census!$F143+X$5)-INT((Census!$F143+X$5))&gt;0.5,1,0)),Assumptions!$B$10))</f>
        <v>921061.19117105263</v>
      </c>
      <c r="Y143" s="30">
        <f>IF(Y$5&gt;$B143,0,INDEX(Decrements!$G$6:$G$58,Census!$G143+Y$5-18)/INDEX(Decrements!$G$6:$G$58,Census!$G143-17)*(INDEX(Decrements!$D$6:$D$58,Census!$G143+Y$5-18)+IF(Y$5=$B143,INDEX(Decrements!$F$6:$F$58,Census!$G143+Y$5-18),0)+INDEX(Decrements!$E$6:$E$58,Census!$G143+Y$5-18)*IF((Census!$F143+Y$5)&gt;=Assumptions!$B$11,1,0))*MIN(15/26*Census!$D143*(1+Assumptions!$B$9)^Y$5*(INT((Census!$F143+Y$5))+IF((Census!$F143+Y$5)-INT((Census!$F143+Y$5))&gt;0.5,1,0)),Assumptions!$B$10))</f>
        <v>0</v>
      </c>
      <c r="Z143" s="30">
        <f>IF(Z$5&gt;$B143,0,INDEX(Decrements!$G$6:$G$58,Census!$G143+Z$5-18)/INDEX(Decrements!$G$6:$G$58,Census!$G143-17)*(INDEX(Decrements!$D$6:$D$58,Census!$G143+Z$5-18)+IF(Z$5=$B143,INDEX(Decrements!$F$6:$F$58,Census!$G143+Z$5-18),0)+INDEX(Decrements!$E$6:$E$58,Census!$G143+Z$5-18)*IF((Census!$F143+Z$5)&gt;=Assumptions!$B$11,1,0))*MIN(15/26*Census!$D143*(1+Assumptions!$B$9)^Z$5*(INT((Census!$F143+Z$5))+IF((Census!$F143+Z$5)-INT((Census!$F143+Z$5))&gt;0.5,1,0)),Assumptions!$B$10))</f>
        <v>0</v>
      </c>
      <c r="AA143" s="30">
        <f>IF(AA$5&gt;$B143,0,INDEX(Decrements!$G$6:$G$58,Census!$G143+AA$5-18)/INDEX(Decrements!$G$6:$G$58,Census!$G143-17)*(INDEX(Decrements!$D$6:$D$58,Census!$G143+AA$5-18)+IF(AA$5=$B143,INDEX(Decrements!$F$6:$F$58,Census!$G143+AA$5-18),0)+INDEX(Decrements!$E$6:$E$58,Census!$G143+AA$5-18)*IF((Census!$F143+AA$5)&gt;=Assumptions!$B$11,1,0))*MIN(15/26*Census!$D143*(1+Assumptions!$B$9)^AA$5*(INT((Census!$F143+AA$5))+IF((Census!$F143+AA$5)-INT((Census!$F143+AA$5))&gt;0.5,1,0)),Assumptions!$B$10))</f>
        <v>0</v>
      </c>
      <c r="AB143" s="30">
        <f>IF(AB$5&gt;$B143,0,INDEX(Decrements!$G$6:$G$58,Census!$G143+AB$5-18)/INDEX(Decrements!$G$6:$G$58,Census!$G143-17)*(INDEX(Decrements!$D$6:$D$58,Census!$G143+AB$5-18)+IF(AB$5=$B143,INDEX(Decrements!$F$6:$F$58,Census!$G143+AB$5-18),0)+INDEX(Decrements!$E$6:$E$58,Census!$G143+AB$5-18)*IF((Census!$F143+AB$5)&gt;=Assumptions!$B$11,1,0))*MIN(15/26*Census!$D143*(1+Assumptions!$B$9)^AB$5*(INT((Census!$F143+AB$5))+IF((Census!$F143+AB$5)-INT((Census!$F143+AB$5))&gt;0.5,1,0)),Assumptions!$B$10))</f>
        <v>0</v>
      </c>
      <c r="AC143" s="30">
        <f>IF(AC$5&gt;$B143,0,INDEX(Decrements!$G$6:$G$58,Census!$G143+AC$5-18)/INDEX(Decrements!$G$6:$G$58,Census!$G143-17)*(INDEX(Decrements!$D$6:$D$58,Census!$G143+AC$5-18)+IF(AC$5=$B143,INDEX(Decrements!$F$6:$F$58,Census!$G143+AC$5-18),0)+INDEX(Decrements!$E$6:$E$58,Census!$G143+AC$5-18)*IF((Census!$F143+AC$5)&gt;=Assumptions!$B$11,1,0))*MIN(15/26*Census!$D143*(1+Assumptions!$B$9)^AC$5*(INT((Census!$F143+AC$5))+IF((Census!$F143+AC$5)-INT((Census!$F143+AC$5))&gt;0.5,1,0)),Assumptions!$B$10))</f>
        <v>0</v>
      </c>
      <c r="AD143" s="30">
        <f>IF(AD$5&gt;$B143,0,INDEX(Decrements!$G$6:$G$58,Census!$G143+AD$5-18)/INDEX(Decrements!$G$6:$G$58,Census!$G143-17)*(INDEX(Decrements!$D$6:$D$58,Census!$G143+AD$5-18)+IF(AD$5=$B143,INDEX(Decrements!$F$6:$F$58,Census!$G143+AD$5-18),0)+INDEX(Decrements!$E$6:$E$58,Census!$G143+AD$5-18)*IF((Census!$F143+AD$5)&gt;=Assumptions!$B$11,1,0))*MIN(15/26*Census!$D143*(1+Assumptions!$B$9)^AD$5*(INT((Census!$F143+AD$5))+IF((Census!$F143+AD$5)-INT((Census!$F143+AD$5))&gt;0.5,1,0)),Assumptions!$B$10))</f>
        <v>0</v>
      </c>
      <c r="AE143" s="30">
        <f>IF(AE$5&gt;$B143,0,INDEX(Decrements!$G$6:$G$58,Census!$G143+AE$5-18)/INDEX(Decrements!$G$6:$G$58,Census!$G143-17)*(INDEX(Decrements!$D$6:$D$58,Census!$G143+AE$5-18)+IF(AE$5=$B143,INDEX(Decrements!$F$6:$F$58,Census!$G143+AE$5-18),0)+INDEX(Decrements!$E$6:$E$58,Census!$G143+AE$5-18)*IF((Census!$F143+AE$5)&gt;=Assumptions!$B$11,1,0))*MIN(15/26*Census!$D143*(1+Assumptions!$B$9)^AE$5*(INT((Census!$F143+AE$5))+IF((Census!$F143+AE$5)-INT((Census!$F143+AE$5))&gt;0.5,1,0)),Assumptions!$B$10))</f>
        <v>0</v>
      </c>
      <c r="AF143" s="30">
        <f>IF(AF$5&gt;$B143,0,INDEX(Decrements!$G$6:$G$58,Census!$G143+AF$5-18)/INDEX(Decrements!$G$6:$G$58,Census!$G143-17)*(INDEX(Decrements!$D$6:$D$58,Census!$G143+AF$5-18)+IF(AF$5=$B143,INDEX(Decrements!$F$6:$F$58,Census!$G143+AF$5-18),0)+INDEX(Decrements!$E$6:$E$58,Census!$G143+AF$5-18)*IF((Census!$F143+AF$5)&gt;=Assumptions!$B$11,1,0))*MIN(15/26*Census!$D143*(1+Assumptions!$B$9)^AF$5*(INT((Census!$F143+AF$5))+IF((Census!$F143+AF$5)-INT((Census!$F143+AF$5))&gt;0.5,1,0)),Assumptions!$B$10))</f>
        <v>0</v>
      </c>
      <c r="AG143" s="30">
        <f>IF(AG$5&gt;$B143,0,INDEX(Decrements!$G$6:$G$58,Census!$G143+AG$5-18)/INDEX(Decrements!$G$6:$G$58,Census!$G143-17)*(INDEX(Decrements!$D$6:$D$58,Census!$G143+AG$5-18)+IF(AG$5=$B143,INDEX(Decrements!$F$6:$F$58,Census!$G143+AG$5-18),0)+INDEX(Decrements!$E$6:$E$58,Census!$G143+AG$5-18)*IF((Census!$F143+AG$5)&gt;=Assumptions!$B$11,1,0))*MIN(15/26*Census!$D143*(1+Assumptions!$B$9)^AG$5*(INT((Census!$F143+AG$5))+IF((Census!$F143+AG$5)-INT((Census!$F143+AG$5))&gt;0.5,1,0)),Assumptions!$B$10))</f>
        <v>0</v>
      </c>
      <c r="AH143" s="30">
        <f>IF(AH$5&gt;$B143,0,INDEX(Decrements!$G$6:$G$58,Census!$G143+AH$5-18)/INDEX(Decrements!$G$6:$G$58,Census!$G143-17)*(INDEX(Decrements!$D$6:$D$58,Census!$G143+AH$5-18)+IF(AH$5=$B143,INDEX(Decrements!$F$6:$F$58,Census!$G143+AH$5-18),0)+INDEX(Decrements!$E$6:$E$58,Census!$G143+AH$5-18)*IF((Census!$F143+AH$5)&gt;=Assumptions!$B$11,1,0))*MIN(15/26*Census!$D143*(1+Assumptions!$B$9)^AH$5*(INT((Census!$F143+AH$5))+IF((Census!$F143+AH$5)-INT((Census!$F143+AH$5))&gt;0.5,1,0)),Assumptions!$B$10))</f>
        <v>0</v>
      </c>
      <c r="AI143" s="30">
        <f>IF(AI$5&gt;$B143,0,INDEX(Decrements!$G$6:$G$58,Census!$G143+AI$5-18)/INDEX(Decrements!$G$6:$G$58,Census!$G143-17)*(INDEX(Decrements!$D$6:$D$58,Census!$G143+AI$5-18)+IF(AI$5=$B143,INDEX(Decrements!$F$6:$F$58,Census!$G143+AI$5-18),0)+INDEX(Decrements!$E$6:$E$58,Census!$G143+AI$5-18)*IF((Census!$F143+AI$5)&gt;=Assumptions!$B$11,1,0))*MIN(15/26*Census!$D143*(1+Assumptions!$B$9)^AI$5*(INT((Census!$F143+AI$5))+IF((Census!$F143+AI$5)-INT((Census!$F143+AI$5))&gt;0.5,1,0)),Assumptions!$B$10))</f>
        <v>0</v>
      </c>
      <c r="AJ143" s="30">
        <f>IF(AJ$5&gt;$B143,0,INDEX(Decrements!$G$6:$G$58,Census!$G143+AJ$5-18)/INDEX(Decrements!$G$6:$G$58,Census!$G143-17)*(INDEX(Decrements!$D$6:$D$58,Census!$G143+AJ$5-18)+IF(AJ$5=$B143,INDEX(Decrements!$F$6:$F$58,Census!$G143+AJ$5-18),0)+INDEX(Decrements!$E$6:$E$58,Census!$G143+AJ$5-18)*IF((Census!$F143+AJ$5)&gt;=Assumptions!$B$11,1,0))*MIN(15/26*Census!$D143*(1+Assumptions!$B$9)^AJ$5*(INT((Census!$F143+AJ$5))+IF((Census!$F143+AJ$5)-INT((Census!$F143+AJ$5))&gt;0.5,1,0)),Assumptions!$B$10))</f>
        <v>0</v>
      </c>
      <c r="AK143" s="30">
        <f>IF(AK$5&gt;$B143,0,INDEX(Decrements!$G$6:$G$58,Census!$G143+AK$5-18)/INDEX(Decrements!$G$6:$G$58,Census!$G143-17)*(INDEX(Decrements!$D$6:$D$58,Census!$G143+AK$5-18)+IF(AK$5=$B143,INDEX(Decrements!$F$6:$F$58,Census!$G143+AK$5-18),0)+INDEX(Decrements!$E$6:$E$58,Census!$G143+AK$5-18)*IF((Census!$F143+AK$5)&gt;=Assumptions!$B$11,1,0))*MIN(15/26*Census!$D143*(1+Assumptions!$B$9)^AK$5*(INT((Census!$F143+AK$5))+IF((Census!$F143+AK$5)-INT((Census!$F143+AK$5))&gt;0.5,1,0)),Assumptions!$B$10))</f>
        <v>0</v>
      </c>
      <c r="AL143" s="30">
        <f>IF(AL$5&gt;$B143,0,INDEX(Decrements!$G$6:$G$58,Census!$G143+AL$5-18)/INDEX(Decrements!$G$6:$G$58,Census!$G143-17)*(INDEX(Decrements!$D$6:$D$58,Census!$G143+AL$5-18)+IF(AL$5=$B143,INDEX(Decrements!$F$6:$F$58,Census!$G143+AL$5-18),0)+INDEX(Decrements!$E$6:$E$58,Census!$G143+AL$5-18)*IF((Census!$F143+AL$5)&gt;=Assumptions!$B$11,1,0))*MIN(15/26*Census!$D143*(1+Assumptions!$B$9)^AL$5*(INT((Census!$F143+AL$5))+IF((Census!$F143+AL$5)-INT((Census!$F143+AL$5))&gt;0.5,1,0)),Assumptions!$B$10))</f>
        <v>0</v>
      </c>
      <c r="AM143" s="30">
        <f>IF(AM$5&gt;$B143,0,INDEX(Decrements!$G$6:$G$58,Census!$G143+AM$5-18)/INDEX(Decrements!$G$6:$G$58,Census!$G143-17)*(INDEX(Decrements!$D$6:$D$58,Census!$G143+AM$5-18)+IF(AM$5=$B143,INDEX(Decrements!$F$6:$F$58,Census!$G143+AM$5-18),0)+INDEX(Decrements!$E$6:$E$58,Census!$G143+AM$5-18)*IF((Census!$F143+AM$5)&gt;=Assumptions!$B$11,1,0))*MIN(15/26*Census!$D143*(1+Assumptions!$B$9)^AM$5*(INT((Census!$F143+AM$5))+IF((Census!$F143+AM$5)-INT((Census!$F143+AM$5))&gt;0.5,1,0)),Assumptions!$B$10))</f>
        <v>0</v>
      </c>
      <c r="AN143" s="30">
        <f>IF(AN$5&gt;$B143,0,INDEX(Decrements!$G$6:$G$58,Census!$G143+AN$5-18)/INDEX(Decrements!$G$6:$G$58,Census!$G143-17)*(INDEX(Decrements!$D$6:$D$58,Census!$G143+AN$5-18)+IF(AN$5=$B143,INDEX(Decrements!$F$6:$F$58,Census!$G143+AN$5-18),0)+INDEX(Decrements!$E$6:$E$58,Census!$G143+AN$5-18)*IF((Census!$F143+AN$5)&gt;=Assumptions!$B$11,1,0))*MIN(15/26*Census!$D143*(1+Assumptions!$B$9)^AN$5*(INT((Census!$F143+AN$5))+IF((Census!$F143+AN$5)-INT((Census!$F143+AN$5))&gt;0.5,1,0)),Assumptions!$B$10))</f>
        <v>0</v>
      </c>
      <c r="AO143" s="30">
        <f>IF(AO$5&gt;$B143,0,INDEX(Decrements!$G$6:$G$58,Census!$G143+AO$5-18)/INDEX(Decrements!$G$6:$G$58,Census!$G143-17)*(INDEX(Decrements!$D$6:$D$58,Census!$G143+AO$5-18)+IF(AO$5=$B143,INDEX(Decrements!$F$6:$F$58,Census!$G143+AO$5-18),0)+INDEX(Decrements!$E$6:$E$58,Census!$G143+AO$5-18)*IF((Census!$F143+AO$5)&gt;=Assumptions!$B$11,1,0))*MIN(15/26*Census!$D143*(1+Assumptions!$B$9)^AO$5*(INT((Census!$F143+AO$5))+IF((Census!$F143+AO$5)-INT((Census!$F143+AO$5))&gt;0.5,1,0)),Assumptions!$B$10))</f>
        <v>0</v>
      </c>
      <c r="AP143" s="30">
        <f>IF(AP$5&gt;$B143,0,INDEX(Decrements!$G$6:$G$58,Census!$G143+AP$5-18)/INDEX(Decrements!$G$6:$G$58,Census!$G143-17)*(INDEX(Decrements!$D$6:$D$58,Census!$G143+AP$5-18)+IF(AP$5=$B143,INDEX(Decrements!$F$6:$F$58,Census!$G143+AP$5-18),0)+INDEX(Decrements!$E$6:$E$58,Census!$G143+AP$5-18)*IF((Census!$F143+AP$5)&gt;=Assumptions!$B$11,1,0))*MIN(15/26*Census!$D143*(1+Assumptions!$B$9)^AP$5*(INT((Census!$F143+AP$5))+IF((Census!$F143+AP$5)-INT((Census!$F143+AP$5))&gt;0.5,1,0)),Assumptions!$B$10))</f>
        <v>0</v>
      </c>
      <c r="AQ143" s="30">
        <f>IF(AQ$5&gt;$B143,0,INDEX(Decrements!$G$6:$G$58,Census!$G143+AQ$5-18)/INDEX(Decrements!$G$6:$G$58,Census!$G143-17)*(INDEX(Decrements!$D$6:$D$58,Census!$G143+AQ$5-18)+IF(AQ$5=$B143,INDEX(Decrements!$F$6:$F$58,Census!$G143+AQ$5-18),0)+INDEX(Decrements!$E$6:$E$58,Census!$G143+AQ$5-18)*IF((Census!$F143+AQ$5)&gt;=Assumptions!$B$11,1,0))*MIN(15/26*Census!$D143*(1+Assumptions!$B$9)^AQ$5*(INT((Census!$F143+AQ$5))+IF((Census!$F143+AQ$5)-INT((Census!$F143+AQ$5))&gt;0.5,1,0)),Assumptions!$B$10))</f>
        <v>0</v>
      </c>
      <c r="AR143" s="30">
        <f>IF(AR$5&gt;$B143,0,INDEX(Decrements!$G$6:$G$58,Census!$G143+AR$5-18)/INDEX(Decrements!$G$6:$G$58,Census!$G143-17)*(INDEX(Decrements!$D$6:$D$58,Census!$G143+AR$5-18)+IF(AR$5=$B143,INDEX(Decrements!$F$6:$F$58,Census!$G143+AR$5-18),0)+INDEX(Decrements!$E$6:$E$58,Census!$G143+AR$5-18)*IF((Census!$F143+AR$5)&gt;=Assumptions!$B$11,1,0))*MIN(15/26*Census!$D143*(1+Assumptions!$B$9)^AR$5*(INT((Census!$F143+AR$5))+IF((Census!$F143+AR$5)-INT((Census!$F143+AR$5))&gt;0.5,1,0)),Assumptions!$B$10))</f>
        <v>0</v>
      </c>
      <c r="AS143" s="30">
        <f>IF(AS$5&gt;$B143,0,INDEX(Decrements!$G$6:$G$58,Census!$G143+AS$5-18)/INDEX(Decrements!$G$6:$G$58,Census!$G143-17)*(INDEX(Decrements!$D$6:$D$58,Census!$G143+AS$5-18)+IF(AS$5=$B143,INDEX(Decrements!$F$6:$F$58,Census!$G143+AS$5-18),0)+INDEX(Decrements!$E$6:$E$58,Census!$G143+AS$5-18)*IF((Census!$F143+AS$5)&gt;=Assumptions!$B$11,1,0))*MIN(15/26*Census!$D143*(1+Assumptions!$B$9)^AS$5*(INT((Census!$F143+AS$5))+IF((Census!$F143+AS$5)-INT((Census!$F143+AS$5))&gt;0.5,1,0)),Assumptions!$B$10))</f>
        <v>0</v>
      </c>
      <c r="AT143" s="30">
        <f>IF(AT$5&gt;$B143,0,INDEX(Decrements!$G$6:$G$58,Census!$G143+AT$5-18)/INDEX(Decrements!$G$6:$G$58,Census!$G143-17)*(INDEX(Decrements!$D$6:$D$58,Census!$G143+AT$5-18)+IF(AT$5=$B143,INDEX(Decrements!$F$6:$F$58,Census!$G143+AT$5-18),0)+INDEX(Decrements!$E$6:$E$58,Census!$G143+AT$5-18)*IF((Census!$F143+AT$5)&gt;=Assumptions!$B$11,1,0))*MIN(15/26*Census!$D143*(1+Assumptions!$B$9)^AT$5*(INT((Census!$F143+AT$5))+IF((Census!$F143+AT$5)-INT((Census!$F143+AT$5))&gt;0.5,1,0)),Assumptions!$B$10))</f>
        <v>0</v>
      </c>
      <c r="AU143" s="30">
        <f>IF(AU$5&gt;$B143,0,INDEX(Decrements!$G$6:$G$58,Census!$G143+AU$5-18)/INDEX(Decrements!$G$6:$G$58,Census!$G143-17)*(INDEX(Decrements!$D$6:$D$58,Census!$G143+AU$5-18)+IF(AU$5=$B143,INDEX(Decrements!$F$6:$F$58,Census!$G143+AU$5-18),0)+INDEX(Decrements!$E$6:$E$58,Census!$G143+AU$5-18)*IF((Census!$F143+AU$5)&gt;=Assumptions!$B$11,1,0))*MIN(15/26*Census!$D143*(1+Assumptions!$B$9)^AU$5*(INT((Census!$F143+AU$5))+IF((Census!$F143+AU$5)-INT((Census!$F143+AU$5))&gt;0.5,1,0)),Assumptions!$B$10))</f>
        <v>0</v>
      </c>
    </row>
    <row r="144" spans="1:47" x14ac:dyDescent="0.3">
      <c r="A144" s="10" t="str">
        <f>Census!A144</f>
        <v>E139</v>
      </c>
      <c r="B144" s="29">
        <f>Census!H144</f>
        <v>24</v>
      </c>
      <c r="C144" s="30">
        <f>IF(C$5&gt;$B144,0,INDEX(Decrements!$G$6:$G$58,Census!$G144+C$5-18)/INDEX(Decrements!$G$6:$G$58,Census!$G144-17)*(INDEX(Decrements!$D$6:$D$58,Census!$G144+C$5-18)+IF(C$5=$B144,INDEX(Decrements!$F$6:$F$58,Census!$G144+C$5-18),0)+INDEX(Decrements!$E$6:$E$58,Census!$G144+C$5-18)*IF((Census!$F144+C$5)&gt;=Assumptions!$B$11,1,0))*MIN(15/26*Census!$D144*(1+Assumptions!$B$9)^C$5*(INT((Census!$F144+C$5))+IF((Census!$F144+C$5)-INT((Census!$F144+C$5))&gt;0.5,1,0)),Assumptions!$B$10))</f>
        <v>23472.975940432261</v>
      </c>
      <c r="D144" s="30">
        <f>IF(D$5&gt;$B144,0,INDEX(Decrements!$G$6:$G$58,Census!$G144+D$5-18)/INDEX(Decrements!$G$6:$G$58,Census!$G144-17)*(INDEX(Decrements!$D$6:$D$58,Census!$G144+D$5-18)+IF(D$5=$B144,INDEX(Decrements!$F$6:$F$58,Census!$G144+D$5-18),0)+INDEX(Decrements!$E$6:$E$58,Census!$G144+D$5-18)*IF((Census!$F144+D$5)&gt;=Assumptions!$B$11,1,0))*MIN(15/26*Census!$D144*(1+Assumptions!$B$9)^D$5*(INT((Census!$F144+D$5))+IF((Census!$F144+D$5)-INT((Census!$F144+D$5))&gt;0.5,1,0)),Assumptions!$B$10))</f>
        <v>25906.064625793366</v>
      </c>
      <c r="E144" s="30">
        <f>IF(E$5&gt;$B144,0,INDEX(Decrements!$G$6:$G$58,Census!$G144+E$5-18)/INDEX(Decrements!$G$6:$G$58,Census!$G144-17)*(INDEX(Decrements!$D$6:$D$58,Census!$G144+E$5-18)+IF(E$5=$B144,INDEX(Decrements!$F$6:$F$58,Census!$G144+E$5-18),0)+INDEX(Decrements!$E$6:$E$58,Census!$G144+E$5-18)*IF((Census!$F144+E$5)&gt;=Assumptions!$B$11,1,0))*MIN(15/26*Census!$D144*(1+Assumptions!$B$9)^E$5*(INT((Census!$F144+E$5))+IF((Census!$F144+E$5)-INT((Census!$F144+E$5))&gt;0.5,1,0)),Assumptions!$B$10))</f>
        <v>28305.669288629604</v>
      </c>
      <c r="F144" s="30">
        <f>IF(F$5&gt;$B144,0,INDEX(Decrements!$G$6:$G$58,Census!$G144+F$5-18)/INDEX(Decrements!$G$6:$G$58,Census!$G144-17)*(INDEX(Decrements!$D$6:$D$58,Census!$G144+F$5-18)+IF(F$5=$B144,INDEX(Decrements!$F$6:$F$58,Census!$G144+F$5-18),0)+INDEX(Decrements!$E$6:$E$58,Census!$G144+F$5-18)*IF((Census!$F144+F$5)&gt;=Assumptions!$B$11,1,0))*MIN(15/26*Census!$D144*(1+Assumptions!$B$9)^F$5*(INT((Census!$F144+F$5))+IF((Census!$F144+F$5)-INT((Census!$F144+F$5))&gt;0.5,1,0)),Assumptions!$B$10))</f>
        <v>30672.210362049205</v>
      </c>
      <c r="G144" s="30">
        <f>IF(G$5&gt;$B144,0,INDEX(Decrements!$G$6:$G$58,Census!$G144+G$5-18)/INDEX(Decrements!$G$6:$G$58,Census!$G144-17)*(INDEX(Decrements!$D$6:$D$58,Census!$G144+G$5-18)+IF(G$5=$B144,INDEX(Decrements!$F$6:$F$58,Census!$G144+G$5-18),0)+INDEX(Decrements!$E$6:$E$58,Census!$G144+G$5-18)*IF((Census!$F144+G$5)&gt;=Assumptions!$B$11,1,0))*MIN(15/26*Census!$D144*(1+Assumptions!$B$9)^G$5*(INT((Census!$F144+G$5))+IF((Census!$F144+G$5)-INT((Census!$F144+G$5))&gt;0.5,1,0)),Assumptions!$B$10))</f>
        <v>20834.315338057186</v>
      </c>
      <c r="H144" s="30">
        <f>IF(H$5&gt;$B144,0,INDEX(Decrements!$G$6:$G$58,Census!$G144+H$5-18)/INDEX(Decrements!$G$6:$G$58,Census!$G144-17)*(INDEX(Decrements!$D$6:$D$58,Census!$G144+H$5-18)+IF(H$5=$B144,INDEX(Decrements!$F$6:$F$58,Census!$G144+H$5-18),0)+INDEX(Decrements!$E$6:$E$58,Census!$G144+H$5-18)*IF((Census!$F144+H$5)&gt;=Assumptions!$B$11,1,0))*MIN(15/26*Census!$D144*(1+Assumptions!$B$9)^H$5*(INT((Census!$F144+H$5))+IF((Census!$F144+H$5)-INT((Census!$F144+H$5))&gt;0.5,1,0)),Assumptions!$B$10))</f>
        <v>23029.656265444592</v>
      </c>
      <c r="I144" s="30">
        <f>IF(I$5&gt;$B144,0,INDEX(Decrements!$G$6:$G$58,Census!$G144+I$5-18)/INDEX(Decrements!$G$6:$G$58,Census!$G144-17)*(INDEX(Decrements!$D$6:$D$58,Census!$G144+I$5-18)+IF(I$5=$B144,INDEX(Decrements!$F$6:$F$58,Census!$G144+I$5-18),0)+INDEX(Decrements!$E$6:$E$58,Census!$G144+I$5-18)*IF((Census!$F144+I$5)&gt;=Assumptions!$B$11,1,0))*MIN(15/26*Census!$D144*(1+Assumptions!$B$9)^I$5*(INT((Census!$F144+I$5))+IF((Census!$F144+I$5)-INT((Census!$F144+I$5))&gt;0.5,1,0)),Assumptions!$B$10))</f>
        <v>25328.389842995908</v>
      </c>
      <c r="J144" s="30">
        <f>IF(J$5&gt;$B144,0,INDEX(Decrements!$G$6:$G$58,Census!$G144+J$5-18)/INDEX(Decrements!$G$6:$G$58,Census!$G144-17)*(INDEX(Decrements!$D$6:$D$58,Census!$G144+J$5-18)+IF(J$5=$B144,INDEX(Decrements!$F$6:$F$58,Census!$G144+J$5-18),0)+INDEX(Decrements!$E$6:$E$58,Census!$G144+J$5-18)*IF((Census!$F144+J$5)&gt;=Assumptions!$B$11,1,0))*MIN(15/26*Census!$D144*(1+Assumptions!$B$9)^J$5*(INT((Census!$F144+J$5))+IF((Census!$F144+J$5)-INT((Census!$F144+J$5))&gt;0.5,1,0)),Assumptions!$B$10))</f>
        <v>27735.089684934101</v>
      </c>
      <c r="K144" s="30">
        <f>IF(K$5&gt;$B144,0,INDEX(Decrements!$G$6:$G$58,Census!$G144+K$5-18)/INDEX(Decrements!$G$6:$G$58,Census!$G144-17)*(INDEX(Decrements!$D$6:$D$58,Census!$G144+K$5-18)+IF(K$5=$B144,INDEX(Decrements!$F$6:$F$58,Census!$G144+K$5-18),0)+INDEX(Decrements!$E$6:$E$58,Census!$G144+K$5-18)*IF((Census!$F144+K$5)&gt;=Assumptions!$B$11,1,0))*MIN(15/26*Census!$D144*(1+Assumptions!$B$9)^K$5*(INT((Census!$F144+K$5))+IF((Census!$F144+K$5)-INT((Census!$F144+K$5))&gt;0.5,1,0)),Assumptions!$B$10))</f>
        <v>30254.5977885059</v>
      </c>
      <c r="L144" s="30">
        <f>IF(L$5&gt;$B144,0,INDEX(Decrements!$G$6:$G$58,Census!$G144+L$5-18)/INDEX(Decrements!$G$6:$G$58,Census!$G144-17)*(INDEX(Decrements!$D$6:$D$58,Census!$G144+L$5-18)+IF(L$5=$B144,INDEX(Decrements!$F$6:$F$58,Census!$G144+L$5-18),0)+INDEX(Decrements!$E$6:$E$58,Census!$G144+L$5-18)*IF((Census!$F144+L$5)&gt;=Assumptions!$B$11,1,0))*MIN(15/26*Census!$D144*(1+Assumptions!$B$9)^L$5*(INT((Census!$F144+L$5))+IF((Census!$F144+L$5)-INT((Census!$F144+L$5))&gt;0.5,1,0)),Assumptions!$B$10))</f>
        <v>20224.550317336656</v>
      </c>
      <c r="M144" s="30">
        <f>IF(M$5&gt;$B144,0,INDEX(Decrements!$G$6:$G$58,Census!$G144+M$5-18)/INDEX(Decrements!$G$6:$G$58,Census!$G144-17)*(INDEX(Decrements!$D$6:$D$58,Census!$G144+M$5-18)+IF(M$5=$B144,INDEX(Decrements!$F$6:$F$58,Census!$G144+M$5-18),0)+INDEX(Decrements!$E$6:$E$58,Census!$G144+M$5-18)*IF((Census!$F144+M$5)&gt;=Assumptions!$B$11,1,0))*MIN(15/26*Census!$D144*(1+Assumptions!$B$9)^M$5*(INT((Census!$F144+M$5))+IF((Census!$F144+M$5)-INT((Census!$F144+M$5))&gt;0.5,1,0)),Assumptions!$B$10))</f>
        <v>22424.901418258822</v>
      </c>
      <c r="N144" s="30">
        <f>IF(N$5&gt;$B144,0,INDEX(Decrements!$G$6:$G$58,Census!$G144+N$5-18)/INDEX(Decrements!$G$6:$G$58,Census!$G144-17)*(INDEX(Decrements!$D$6:$D$58,Census!$G144+N$5-18)+IF(N$5=$B144,INDEX(Decrements!$F$6:$F$58,Census!$G144+N$5-18),0)+INDEX(Decrements!$E$6:$E$58,Census!$G144+N$5-18)*IF((Census!$F144+N$5)&gt;=Assumptions!$B$11,1,0))*MIN(15/26*Census!$D144*(1+Assumptions!$B$9)^N$5*(INT((Census!$F144+N$5))+IF((Census!$F144+N$5)-INT((Census!$F144+N$5))&gt;0.5,1,0)),Assumptions!$B$10))</f>
        <v>24802.834332073206</v>
      </c>
      <c r="O144" s="30">
        <f>IF(O$5&gt;$B144,0,INDEX(Decrements!$G$6:$G$58,Census!$G144+O$5-18)/INDEX(Decrements!$G$6:$G$58,Census!$G144-17)*(INDEX(Decrements!$D$6:$D$58,Census!$G144+O$5-18)+IF(O$5=$B144,INDEX(Decrements!$F$6:$F$58,Census!$G144+O$5-18),0)+INDEX(Decrements!$E$6:$E$58,Census!$G144+O$5-18)*IF((Census!$F144+O$5)&gt;=Assumptions!$B$11,1,0))*MIN(15/26*Census!$D144*(1+Assumptions!$B$9)^O$5*(INT((Census!$F144+O$5))+IF((Census!$F144+O$5)-INT((Census!$F144+O$5))&gt;0.5,1,0)),Assumptions!$B$10))</f>
        <v>27372.78468597239</v>
      </c>
      <c r="P144" s="30">
        <f>IF(P$5&gt;$B144,0,INDEX(Decrements!$G$6:$G$58,Census!$G144+P$5-18)/INDEX(Decrements!$G$6:$G$58,Census!$G144-17)*(INDEX(Decrements!$D$6:$D$58,Census!$G144+P$5-18)+IF(P$5=$B144,INDEX(Decrements!$F$6:$F$58,Census!$G144+P$5-18),0)+INDEX(Decrements!$E$6:$E$58,Census!$G144+P$5-18)*IF((Census!$F144+P$5)&gt;=Assumptions!$B$11,1,0))*MIN(15/26*Census!$D144*(1+Assumptions!$B$9)^P$5*(INT((Census!$F144+P$5))+IF((Census!$F144+P$5)-INT((Census!$F144+P$5))&gt;0.5,1,0)),Assumptions!$B$10))</f>
        <v>30150.569924190349</v>
      </c>
      <c r="Q144" s="30">
        <f>IF(Q$5&gt;$B144,0,INDEX(Decrements!$G$6:$G$58,Census!$G144+Q$5-18)/INDEX(Decrements!$G$6:$G$58,Census!$G144-17)*(INDEX(Decrements!$D$6:$D$58,Census!$G144+Q$5-18)+IF(Q$5=$B144,INDEX(Decrements!$F$6:$F$58,Census!$G144+Q$5-18),0)+INDEX(Decrements!$E$6:$E$58,Census!$G144+Q$5-18)*IF((Census!$F144+Q$5)&gt;=Assumptions!$B$11,1,0))*MIN(15/26*Census!$D144*(1+Assumptions!$B$9)^Q$5*(INT((Census!$F144+Q$5))+IF((Census!$F144+Q$5)-INT((Census!$F144+Q$5))&gt;0.5,1,0)),Assumptions!$B$10))</f>
        <v>21199.181434790728</v>
      </c>
      <c r="R144" s="30">
        <f>IF(R$5&gt;$B144,0,INDEX(Decrements!$G$6:$G$58,Census!$G144+R$5-18)/INDEX(Decrements!$G$6:$G$58,Census!$G144-17)*(INDEX(Decrements!$D$6:$D$58,Census!$G144+R$5-18)+IF(R$5=$B144,INDEX(Decrements!$F$6:$F$58,Census!$G144+R$5-18),0)+INDEX(Decrements!$E$6:$E$58,Census!$G144+R$5-18)*IF((Census!$F144+R$5)&gt;=Assumptions!$B$11,1,0))*MIN(15/26*Census!$D144*(1+Assumptions!$B$9)^R$5*(INT((Census!$F144+R$5))+IF((Census!$F144+R$5)-INT((Census!$F144+R$5))&gt;0.5,1,0)),Assumptions!$B$10))</f>
        <v>20934.462488404555</v>
      </c>
      <c r="S144" s="30">
        <f>IF(S$5&gt;$B144,0,INDEX(Decrements!$G$6:$G$58,Census!$G144+S$5-18)/INDEX(Decrements!$G$6:$G$58,Census!$G144-17)*(INDEX(Decrements!$D$6:$D$58,Census!$G144+S$5-18)+IF(S$5=$B144,INDEX(Decrements!$F$6:$F$58,Census!$G144+S$5-18),0)+INDEX(Decrements!$E$6:$E$58,Census!$G144+S$5-18)*IF((Census!$F144+S$5)&gt;=Assumptions!$B$11,1,0))*MIN(15/26*Census!$D144*(1+Assumptions!$B$9)^S$5*(INT((Census!$F144+S$5))+IF((Census!$F144+S$5)-INT((Census!$F144+S$5))&gt;0.5,1,0)),Assumptions!$B$10))</f>
        <v>20687.004315167062</v>
      </c>
      <c r="T144" s="30">
        <f>IF(T$5&gt;$B144,0,INDEX(Decrements!$G$6:$G$58,Census!$G144+T$5-18)/INDEX(Decrements!$G$6:$G$58,Census!$G144-17)*(INDEX(Decrements!$D$6:$D$58,Census!$G144+T$5-18)+IF(T$5=$B144,INDEX(Decrements!$F$6:$F$58,Census!$G144+T$5-18),0)+INDEX(Decrements!$E$6:$E$58,Census!$G144+T$5-18)*IF((Census!$F144+T$5)&gt;=Assumptions!$B$11,1,0))*MIN(15/26*Census!$D144*(1+Assumptions!$B$9)^T$5*(INT((Census!$F144+T$5))+IF((Census!$F144+T$5)-INT((Census!$F144+T$5))&gt;0.5,1,0)),Assumptions!$B$10))</f>
        <v>20457.170633616504</v>
      </c>
      <c r="U144" s="30">
        <f>IF(U$5&gt;$B144,0,INDEX(Decrements!$G$6:$G$58,Census!$G144+U$5-18)/INDEX(Decrements!$G$6:$G$58,Census!$G144-17)*(INDEX(Decrements!$D$6:$D$58,Census!$G144+U$5-18)+IF(U$5=$B144,INDEX(Decrements!$F$6:$F$58,Census!$G144+U$5-18),0)+INDEX(Decrements!$E$6:$E$58,Census!$G144+U$5-18)*IF((Census!$F144+U$5)&gt;=Assumptions!$B$11,1,0))*MIN(15/26*Census!$D144*(1+Assumptions!$B$9)^U$5*(INT((Census!$F144+U$5))+IF((Census!$F144+U$5)-INT((Census!$F144+U$5))&gt;0.5,1,0)),Assumptions!$B$10))</f>
        <v>20245.33716496691</v>
      </c>
      <c r="V144" s="30">
        <f>IF(V$5&gt;$B144,0,INDEX(Decrements!$G$6:$G$58,Census!$G144+V$5-18)/INDEX(Decrements!$G$6:$G$58,Census!$G144-17)*(INDEX(Decrements!$D$6:$D$58,Census!$G144+V$5-18)+IF(V$5=$B144,INDEX(Decrements!$F$6:$F$58,Census!$G144+V$5-18),0)+INDEX(Decrements!$E$6:$E$58,Census!$G144+V$5-18)*IF((Census!$F144+V$5)&gt;=Assumptions!$B$11,1,0))*MIN(15/26*Census!$D144*(1+Assumptions!$B$9)^V$5*(INT((Census!$F144+V$5))+IF((Census!$F144+V$5)-INT((Census!$F144+V$5))&gt;0.5,1,0)),Assumptions!$B$10))</f>
        <v>11826.075574759876</v>
      </c>
      <c r="W144" s="30">
        <f>IF(W$5&gt;$B144,0,INDEX(Decrements!$G$6:$G$58,Census!$G144+W$5-18)/INDEX(Decrements!$G$6:$G$58,Census!$G144-17)*(INDEX(Decrements!$D$6:$D$58,Census!$G144+W$5-18)+IF(W$5=$B144,INDEX(Decrements!$F$6:$F$58,Census!$G144+W$5-18),0)+INDEX(Decrements!$E$6:$E$58,Census!$G144+W$5-18)*IF((Census!$F144+W$5)&gt;=Assumptions!$B$11,1,0))*MIN(15/26*Census!$D144*(1+Assumptions!$B$9)^W$5*(INT((Census!$F144+W$5))+IF((Census!$F144+W$5)-INT((Census!$F144+W$5))&gt;0.5,1,0)),Assumptions!$B$10))</f>
        <v>11975.182020972652</v>
      </c>
      <c r="X144" s="30">
        <f>IF(X$5&gt;$B144,0,INDEX(Decrements!$G$6:$G$58,Census!$G144+X$5-18)/INDEX(Decrements!$G$6:$G$58,Census!$G144-17)*(INDEX(Decrements!$D$6:$D$58,Census!$G144+X$5-18)+IF(X$5=$B144,INDEX(Decrements!$F$6:$F$58,Census!$G144+X$5-18),0)+INDEX(Decrements!$E$6:$E$58,Census!$G144+X$5-18)*IF((Census!$F144+X$5)&gt;=Assumptions!$B$11,1,0))*MIN(15/26*Census!$D144*(1+Assumptions!$B$9)^X$5*(INT((Census!$F144+X$5))+IF((Census!$F144+X$5)-INT((Census!$F144+X$5))&gt;0.5,1,0)),Assumptions!$B$10))</f>
        <v>12144.017069560188</v>
      </c>
      <c r="Y144" s="30">
        <f>IF(Y$5&gt;$B144,0,INDEX(Decrements!$G$6:$G$58,Census!$G144+Y$5-18)/INDEX(Decrements!$G$6:$G$58,Census!$G144-17)*(INDEX(Decrements!$D$6:$D$58,Census!$G144+Y$5-18)+IF(Y$5=$B144,INDEX(Decrements!$F$6:$F$58,Census!$G144+Y$5-18),0)+INDEX(Decrements!$E$6:$E$58,Census!$G144+Y$5-18)*IF((Census!$F144+Y$5)&gt;=Assumptions!$B$11,1,0))*MIN(15/26*Census!$D144*(1+Assumptions!$B$9)^Y$5*(INT((Census!$F144+Y$5))+IF((Census!$F144+Y$5)-INT((Census!$F144+Y$5))&gt;0.5,1,0)),Assumptions!$B$10))</f>
        <v>12333.728210636717</v>
      </c>
      <c r="Z144" s="30">
        <f>IF(Z$5&gt;$B144,0,INDEX(Decrements!$G$6:$G$58,Census!$G144+Z$5-18)/INDEX(Decrements!$G$6:$G$58,Census!$G144-17)*(INDEX(Decrements!$D$6:$D$58,Census!$G144+Z$5-18)+IF(Z$5=$B144,INDEX(Decrements!$F$6:$F$58,Census!$G144+Z$5-18),0)+INDEX(Decrements!$E$6:$E$58,Census!$G144+Z$5-18)*IF((Census!$F144+Z$5)&gt;=Assumptions!$B$11,1,0))*MIN(15/26*Census!$D144*(1+Assumptions!$B$9)^Z$5*(INT((Census!$F144+Z$5))+IF((Census!$F144+Z$5)-INT((Census!$F144+Z$5))&gt;0.5,1,0)),Assumptions!$B$10))</f>
        <v>777902.377824247</v>
      </c>
      <c r="AA144" s="30">
        <f>IF(AA$5&gt;$B144,0,INDEX(Decrements!$G$6:$G$58,Census!$G144+AA$5-18)/INDEX(Decrements!$G$6:$G$58,Census!$G144-17)*(INDEX(Decrements!$D$6:$D$58,Census!$G144+AA$5-18)+IF(AA$5=$B144,INDEX(Decrements!$F$6:$F$58,Census!$G144+AA$5-18),0)+INDEX(Decrements!$E$6:$E$58,Census!$G144+AA$5-18)*IF((Census!$F144+AA$5)&gt;=Assumptions!$B$11,1,0))*MIN(15/26*Census!$D144*(1+Assumptions!$B$9)^AA$5*(INT((Census!$F144+AA$5))+IF((Census!$F144+AA$5)-INT((Census!$F144+AA$5))&gt;0.5,1,0)),Assumptions!$B$10))</f>
        <v>0</v>
      </c>
      <c r="AB144" s="30">
        <f>IF(AB$5&gt;$B144,0,INDEX(Decrements!$G$6:$G$58,Census!$G144+AB$5-18)/INDEX(Decrements!$G$6:$G$58,Census!$G144-17)*(INDEX(Decrements!$D$6:$D$58,Census!$G144+AB$5-18)+IF(AB$5=$B144,INDEX(Decrements!$F$6:$F$58,Census!$G144+AB$5-18),0)+INDEX(Decrements!$E$6:$E$58,Census!$G144+AB$5-18)*IF((Census!$F144+AB$5)&gt;=Assumptions!$B$11,1,0))*MIN(15/26*Census!$D144*(1+Assumptions!$B$9)^AB$5*(INT((Census!$F144+AB$5))+IF((Census!$F144+AB$5)-INT((Census!$F144+AB$5))&gt;0.5,1,0)),Assumptions!$B$10))</f>
        <v>0</v>
      </c>
      <c r="AC144" s="30">
        <f>IF(AC$5&gt;$B144,0,INDEX(Decrements!$G$6:$G$58,Census!$G144+AC$5-18)/INDEX(Decrements!$G$6:$G$58,Census!$G144-17)*(INDEX(Decrements!$D$6:$D$58,Census!$G144+AC$5-18)+IF(AC$5=$B144,INDEX(Decrements!$F$6:$F$58,Census!$G144+AC$5-18),0)+INDEX(Decrements!$E$6:$E$58,Census!$G144+AC$5-18)*IF((Census!$F144+AC$5)&gt;=Assumptions!$B$11,1,0))*MIN(15/26*Census!$D144*(1+Assumptions!$B$9)^AC$5*(INT((Census!$F144+AC$5))+IF((Census!$F144+AC$5)-INT((Census!$F144+AC$5))&gt;0.5,1,0)),Assumptions!$B$10))</f>
        <v>0</v>
      </c>
      <c r="AD144" s="30">
        <f>IF(AD$5&gt;$B144,0,INDEX(Decrements!$G$6:$G$58,Census!$G144+AD$5-18)/INDEX(Decrements!$G$6:$G$58,Census!$G144-17)*(INDEX(Decrements!$D$6:$D$58,Census!$G144+AD$5-18)+IF(AD$5=$B144,INDEX(Decrements!$F$6:$F$58,Census!$G144+AD$5-18),0)+INDEX(Decrements!$E$6:$E$58,Census!$G144+AD$5-18)*IF((Census!$F144+AD$5)&gt;=Assumptions!$B$11,1,0))*MIN(15/26*Census!$D144*(1+Assumptions!$B$9)^AD$5*(INT((Census!$F144+AD$5))+IF((Census!$F144+AD$5)-INT((Census!$F144+AD$5))&gt;0.5,1,0)),Assumptions!$B$10))</f>
        <v>0</v>
      </c>
      <c r="AE144" s="30">
        <f>IF(AE$5&gt;$B144,0,INDEX(Decrements!$G$6:$G$58,Census!$G144+AE$5-18)/INDEX(Decrements!$G$6:$G$58,Census!$G144-17)*(INDEX(Decrements!$D$6:$D$58,Census!$G144+AE$5-18)+IF(AE$5=$B144,INDEX(Decrements!$F$6:$F$58,Census!$G144+AE$5-18),0)+INDEX(Decrements!$E$6:$E$58,Census!$G144+AE$5-18)*IF((Census!$F144+AE$5)&gt;=Assumptions!$B$11,1,0))*MIN(15/26*Census!$D144*(1+Assumptions!$B$9)^AE$5*(INT((Census!$F144+AE$5))+IF((Census!$F144+AE$5)-INT((Census!$F144+AE$5))&gt;0.5,1,0)),Assumptions!$B$10))</f>
        <v>0</v>
      </c>
      <c r="AF144" s="30">
        <f>IF(AF$5&gt;$B144,0,INDEX(Decrements!$G$6:$G$58,Census!$G144+AF$5-18)/INDEX(Decrements!$G$6:$G$58,Census!$G144-17)*(INDEX(Decrements!$D$6:$D$58,Census!$G144+AF$5-18)+IF(AF$5=$B144,INDEX(Decrements!$F$6:$F$58,Census!$G144+AF$5-18),0)+INDEX(Decrements!$E$6:$E$58,Census!$G144+AF$5-18)*IF((Census!$F144+AF$5)&gt;=Assumptions!$B$11,1,0))*MIN(15/26*Census!$D144*(1+Assumptions!$B$9)^AF$5*(INT((Census!$F144+AF$5))+IF((Census!$F144+AF$5)-INT((Census!$F144+AF$5))&gt;0.5,1,0)),Assumptions!$B$10))</f>
        <v>0</v>
      </c>
      <c r="AG144" s="30">
        <f>IF(AG$5&gt;$B144,0,INDEX(Decrements!$G$6:$G$58,Census!$G144+AG$5-18)/INDEX(Decrements!$G$6:$G$58,Census!$G144-17)*(INDEX(Decrements!$D$6:$D$58,Census!$G144+AG$5-18)+IF(AG$5=$B144,INDEX(Decrements!$F$6:$F$58,Census!$G144+AG$5-18),0)+INDEX(Decrements!$E$6:$E$58,Census!$G144+AG$5-18)*IF((Census!$F144+AG$5)&gt;=Assumptions!$B$11,1,0))*MIN(15/26*Census!$D144*(1+Assumptions!$B$9)^AG$5*(INT((Census!$F144+AG$5))+IF((Census!$F144+AG$5)-INT((Census!$F144+AG$5))&gt;0.5,1,0)),Assumptions!$B$10))</f>
        <v>0</v>
      </c>
      <c r="AH144" s="30">
        <f>IF(AH$5&gt;$B144,0,INDEX(Decrements!$G$6:$G$58,Census!$G144+AH$5-18)/INDEX(Decrements!$G$6:$G$58,Census!$G144-17)*(INDEX(Decrements!$D$6:$D$58,Census!$G144+AH$5-18)+IF(AH$5=$B144,INDEX(Decrements!$F$6:$F$58,Census!$G144+AH$5-18),0)+INDEX(Decrements!$E$6:$E$58,Census!$G144+AH$5-18)*IF((Census!$F144+AH$5)&gt;=Assumptions!$B$11,1,0))*MIN(15/26*Census!$D144*(1+Assumptions!$B$9)^AH$5*(INT((Census!$F144+AH$5))+IF((Census!$F144+AH$5)-INT((Census!$F144+AH$5))&gt;0.5,1,0)),Assumptions!$B$10))</f>
        <v>0</v>
      </c>
      <c r="AI144" s="30">
        <f>IF(AI$5&gt;$B144,0,INDEX(Decrements!$G$6:$G$58,Census!$G144+AI$5-18)/INDEX(Decrements!$G$6:$G$58,Census!$G144-17)*(INDEX(Decrements!$D$6:$D$58,Census!$G144+AI$5-18)+IF(AI$5=$B144,INDEX(Decrements!$F$6:$F$58,Census!$G144+AI$5-18),0)+INDEX(Decrements!$E$6:$E$58,Census!$G144+AI$5-18)*IF((Census!$F144+AI$5)&gt;=Assumptions!$B$11,1,0))*MIN(15/26*Census!$D144*(1+Assumptions!$B$9)^AI$5*(INT((Census!$F144+AI$5))+IF((Census!$F144+AI$5)-INT((Census!$F144+AI$5))&gt;0.5,1,0)),Assumptions!$B$10))</f>
        <v>0</v>
      </c>
      <c r="AJ144" s="30">
        <f>IF(AJ$5&gt;$B144,0,INDEX(Decrements!$G$6:$G$58,Census!$G144+AJ$5-18)/INDEX(Decrements!$G$6:$G$58,Census!$G144-17)*(INDEX(Decrements!$D$6:$D$58,Census!$G144+AJ$5-18)+IF(AJ$5=$B144,INDEX(Decrements!$F$6:$F$58,Census!$G144+AJ$5-18),0)+INDEX(Decrements!$E$6:$E$58,Census!$G144+AJ$5-18)*IF((Census!$F144+AJ$5)&gt;=Assumptions!$B$11,1,0))*MIN(15/26*Census!$D144*(1+Assumptions!$B$9)^AJ$5*(INT((Census!$F144+AJ$5))+IF((Census!$F144+AJ$5)-INT((Census!$F144+AJ$5))&gt;0.5,1,0)),Assumptions!$B$10))</f>
        <v>0</v>
      </c>
      <c r="AK144" s="30">
        <f>IF(AK$5&gt;$B144,0,INDEX(Decrements!$G$6:$G$58,Census!$G144+AK$5-18)/INDEX(Decrements!$G$6:$G$58,Census!$G144-17)*(INDEX(Decrements!$D$6:$D$58,Census!$G144+AK$5-18)+IF(AK$5=$B144,INDEX(Decrements!$F$6:$F$58,Census!$G144+AK$5-18),0)+INDEX(Decrements!$E$6:$E$58,Census!$G144+AK$5-18)*IF((Census!$F144+AK$5)&gt;=Assumptions!$B$11,1,0))*MIN(15/26*Census!$D144*(1+Assumptions!$B$9)^AK$5*(INT((Census!$F144+AK$5))+IF((Census!$F144+AK$5)-INT((Census!$F144+AK$5))&gt;0.5,1,0)),Assumptions!$B$10))</f>
        <v>0</v>
      </c>
      <c r="AL144" s="30">
        <f>IF(AL$5&gt;$B144,0,INDEX(Decrements!$G$6:$G$58,Census!$G144+AL$5-18)/INDEX(Decrements!$G$6:$G$58,Census!$G144-17)*(INDEX(Decrements!$D$6:$D$58,Census!$G144+AL$5-18)+IF(AL$5=$B144,INDEX(Decrements!$F$6:$F$58,Census!$G144+AL$5-18),0)+INDEX(Decrements!$E$6:$E$58,Census!$G144+AL$5-18)*IF((Census!$F144+AL$5)&gt;=Assumptions!$B$11,1,0))*MIN(15/26*Census!$D144*(1+Assumptions!$B$9)^AL$5*(INT((Census!$F144+AL$5))+IF((Census!$F144+AL$5)-INT((Census!$F144+AL$5))&gt;0.5,1,0)),Assumptions!$B$10))</f>
        <v>0</v>
      </c>
      <c r="AM144" s="30">
        <f>IF(AM$5&gt;$B144,0,INDEX(Decrements!$G$6:$G$58,Census!$G144+AM$5-18)/INDEX(Decrements!$G$6:$G$58,Census!$G144-17)*(INDEX(Decrements!$D$6:$D$58,Census!$G144+AM$5-18)+IF(AM$5=$B144,INDEX(Decrements!$F$6:$F$58,Census!$G144+AM$5-18),0)+INDEX(Decrements!$E$6:$E$58,Census!$G144+AM$5-18)*IF((Census!$F144+AM$5)&gt;=Assumptions!$B$11,1,0))*MIN(15/26*Census!$D144*(1+Assumptions!$B$9)^AM$5*(INT((Census!$F144+AM$5))+IF((Census!$F144+AM$5)-INT((Census!$F144+AM$5))&gt;0.5,1,0)),Assumptions!$B$10))</f>
        <v>0</v>
      </c>
      <c r="AN144" s="30">
        <f>IF(AN$5&gt;$B144,0,INDEX(Decrements!$G$6:$G$58,Census!$G144+AN$5-18)/INDEX(Decrements!$G$6:$G$58,Census!$G144-17)*(INDEX(Decrements!$D$6:$D$58,Census!$G144+AN$5-18)+IF(AN$5=$B144,INDEX(Decrements!$F$6:$F$58,Census!$G144+AN$5-18),0)+INDEX(Decrements!$E$6:$E$58,Census!$G144+AN$5-18)*IF((Census!$F144+AN$5)&gt;=Assumptions!$B$11,1,0))*MIN(15/26*Census!$D144*(1+Assumptions!$B$9)^AN$5*(INT((Census!$F144+AN$5))+IF((Census!$F144+AN$5)-INT((Census!$F144+AN$5))&gt;0.5,1,0)),Assumptions!$B$10))</f>
        <v>0</v>
      </c>
      <c r="AO144" s="30">
        <f>IF(AO$5&gt;$B144,0,INDEX(Decrements!$G$6:$G$58,Census!$G144+AO$5-18)/INDEX(Decrements!$G$6:$G$58,Census!$G144-17)*(INDEX(Decrements!$D$6:$D$58,Census!$G144+AO$5-18)+IF(AO$5=$B144,INDEX(Decrements!$F$6:$F$58,Census!$G144+AO$5-18),0)+INDEX(Decrements!$E$6:$E$58,Census!$G144+AO$5-18)*IF((Census!$F144+AO$5)&gt;=Assumptions!$B$11,1,0))*MIN(15/26*Census!$D144*(1+Assumptions!$B$9)^AO$5*(INT((Census!$F144+AO$5))+IF((Census!$F144+AO$5)-INT((Census!$F144+AO$5))&gt;0.5,1,0)),Assumptions!$B$10))</f>
        <v>0</v>
      </c>
      <c r="AP144" s="30">
        <f>IF(AP$5&gt;$B144,0,INDEX(Decrements!$G$6:$G$58,Census!$G144+AP$5-18)/INDEX(Decrements!$G$6:$G$58,Census!$G144-17)*(INDEX(Decrements!$D$6:$D$58,Census!$G144+AP$5-18)+IF(AP$5=$B144,INDEX(Decrements!$F$6:$F$58,Census!$G144+AP$5-18),0)+INDEX(Decrements!$E$6:$E$58,Census!$G144+AP$5-18)*IF((Census!$F144+AP$5)&gt;=Assumptions!$B$11,1,0))*MIN(15/26*Census!$D144*(1+Assumptions!$B$9)^AP$5*(INT((Census!$F144+AP$5))+IF((Census!$F144+AP$5)-INT((Census!$F144+AP$5))&gt;0.5,1,0)),Assumptions!$B$10))</f>
        <v>0</v>
      </c>
      <c r="AQ144" s="30">
        <f>IF(AQ$5&gt;$B144,0,INDEX(Decrements!$G$6:$G$58,Census!$G144+AQ$5-18)/INDEX(Decrements!$G$6:$G$58,Census!$G144-17)*(INDEX(Decrements!$D$6:$D$58,Census!$G144+AQ$5-18)+IF(AQ$5=$B144,INDEX(Decrements!$F$6:$F$58,Census!$G144+AQ$5-18),0)+INDEX(Decrements!$E$6:$E$58,Census!$G144+AQ$5-18)*IF((Census!$F144+AQ$5)&gt;=Assumptions!$B$11,1,0))*MIN(15/26*Census!$D144*(1+Assumptions!$B$9)^AQ$5*(INT((Census!$F144+AQ$5))+IF((Census!$F144+AQ$5)-INT((Census!$F144+AQ$5))&gt;0.5,1,0)),Assumptions!$B$10))</f>
        <v>0</v>
      </c>
      <c r="AR144" s="30">
        <f>IF(AR$5&gt;$B144,0,INDEX(Decrements!$G$6:$G$58,Census!$G144+AR$5-18)/INDEX(Decrements!$G$6:$G$58,Census!$G144-17)*(INDEX(Decrements!$D$6:$D$58,Census!$G144+AR$5-18)+IF(AR$5=$B144,INDEX(Decrements!$F$6:$F$58,Census!$G144+AR$5-18),0)+INDEX(Decrements!$E$6:$E$58,Census!$G144+AR$5-18)*IF((Census!$F144+AR$5)&gt;=Assumptions!$B$11,1,0))*MIN(15/26*Census!$D144*(1+Assumptions!$B$9)^AR$5*(INT((Census!$F144+AR$5))+IF((Census!$F144+AR$5)-INT((Census!$F144+AR$5))&gt;0.5,1,0)),Assumptions!$B$10))</f>
        <v>0</v>
      </c>
      <c r="AS144" s="30">
        <f>IF(AS$5&gt;$B144,0,INDEX(Decrements!$G$6:$G$58,Census!$G144+AS$5-18)/INDEX(Decrements!$G$6:$G$58,Census!$G144-17)*(INDEX(Decrements!$D$6:$D$58,Census!$G144+AS$5-18)+IF(AS$5=$B144,INDEX(Decrements!$F$6:$F$58,Census!$G144+AS$5-18),0)+INDEX(Decrements!$E$6:$E$58,Census!$G144+AS$5-18)*IF((Census!$F144+AS$5)&gt;=Assumptions!$B$11,1,0))*MIN(15/26*Census!$D144*(1+Assumptions!$B$9)^AS$5*(INT((Census!$F144+AS$5))+IF((Census!$F144+AS$5)-INT((Census!$F144+AS$5))&gt;0.5,1,0)),Assumptions!$B$10))</f>
        <v>0</v>
      </c>
      <c r="AT144" s="30">
        <f>IF(AT$5&gt;$B144,0,INDEX(Decrements!$G$6:$G$58,Census!$G144+AT$5-18)/INDEX(Decrements!$G$6:$G$58,Census!$G144-17)*(INDEX(Decrements!$D$6:$D$58,Census!$G144+AT$5-18)+IF(AT$5=$B144,INDEX(Decrements!$F$6:$F$58,Census!$G144+AT$5-18),0)+INDEX(Decrements!$E$6:$E$58,Census!$G144+AT$5-18)*IF((Census!$F144+AT$5)&gt;=Assumptions!$B$11,1,0))*MIN(15/26*Census!$D144*(1+Assumptions!$B$9)^AT$5*(INT((Census!$F144+AT$5))+IF((Census!$F144+AT$5)-INT((Census!$F144+AT$5))&gt;0.5,1,0)),Assumptions!$B$10))</f>
        <v>0</v>
      </c>
      <c r="AU144" s="30">
        <f>IF(AU$5&gt;$B144,0,INDEX(Decrements!$G$6:$G$58,Census!$G144+AU$5-18)/INDEX(Decrements!$G$6:$G$58,Census!$G144-17)*(INDEX(Decrements!$D$6:$D$58,Census!$G144+AU$5-18)+IF(AU$5=$B144,INDEX(Decrements!$F$6:$F$58,Census!$G144+AU$5-18),0)+INDEX(Decrements!$E$6:$E$58,Census!$G144+AU$5-18)*IF((Census!$F144+AU$5)&gt;=Assumptions!$B$11,1,0))*MIN(15/26*Census!$D144*(1+Assumptions!$B$9)^AU$5*(INT((Census!$F144+AU$5))+IF((Census!$F144+AU$5)-INT((Census!$F144+AU$5))&gt;0.5,1,0)),Assumptions!$B$10))</f>
        <v>0</v>
      </c>
    </row>
    <row r="145" spans="1:47" x14ac:dyDescent="0.3">
      <c r="A145" s="10" t="str">
        <f>Census!A145</f>
        <v>E140</v>
      </c>
      <c r="B145" s="29">
        <f>Census!H145</f>
        <v>29</v>
      </c>
      <c r="C145" s="30">
        <f>IF(C$5&gt;$B145,0,INDEX(Decrements!$G$6:$G$58,Census!$G145+C$5-18)/INDEX(Decrements!$G$6:$G$58,Census!$G145-17)*(INDEX(Decrements!$D$6:$D$58,Census!$G145+C$5-18)+IF(C$5=$B145,INDEX(Decrements!$F$6:$F$58,Census!$G145+C$5-18),0)+INDEX(Decrements!$E$6:$E$58,Census!$G145+C$5-18)*IF((Census!$F145+C$5)&gt;=Assumptions!$B$11,1,0))*MIN(15/26*Census!$D145*(1+Assumptions!$B$9)^C$5*(INT((Census!$F145+C$5))+IF((Census!$F145+C$5)-INT((Census!$F145+C$5))&gt;0.5,1,0)),Assumptions!$B$10))</f>
        <v>102.0581000644854</v>
      </c>
      <c r="D145" s="30">
        <f>IF(D$5&gt;$B145,0,INDEX(Decrements!$G$6:$G$58,Census!$G145+D$5-18)/INDEX(Decrements!$G$6:$G$58,Census!$G145-17)*(INDEX(Decrements!$D$6:$D$58,Census!$G145+D$5-18)+IF(D$5=$B145,INDEX(Decrements!$F$6:$F$58,Census!$G145+D$5-18),0)+INDEX(Decrements!$E$6:$E$58,Census!$G145+D$5-18)*IF((Census!$F145+D$5)&gt;=Assumptions!$B$11,1,0))*MIN(15/26*Census!$D145*(1+Assumptions!$B$9)^D$5*(INT((Census!$F145+D$5))+IF((Census!$F145+D$5)-INT((Census!$F145+D$5))&gt;0.5,1,0)),Assumptions!$B$10))</f>
        <v>128.66922455543323</v>
      </c>
      <c r="E145" s="30">
        <f>IF(E$5&gt;$B145,0,INDEX(Decrements!$G$6:$G$58,Census!$G145+E$5-18)/INDEX(Decrements!$G$6:$G$58,Census!$G145-17)*(INDEX(Decrements!$D$6:$D$58,Census!$G145+E$5-18)+IF(E$5=$B145,INDEX(Decrements!$F$6:$F$58,Census!$G145+E$5-18),0)+INDEX(Decrements!$E$6:$E$58,Census!$G145+E$5-18)*IF((Census!$F145+E$5)&gt;=Assumptions!$B$11,1,0))*MIN(15/26*Census!$D145*(1+Assumptions!$B$9)^E$5*(INT((Census!$F145+E$5))+IF((Census!$F145+E$5)-INT((Census!$F145+E$5))&gt;0.5,1,0)),Assumptions!$B$10))</f>
        <v>20629.924311710347</v>
      </c>
      <c r="F145" s="30">
        <f>IF(F$5&gt;$B145,0,INDEX(Decrements!$G$6:$G$58,Census!$G145+F$5-18)/INDEX(Decrements!$G$6:$G$58,Census!$G145-17)*(INDEX(Decrements!$D$6:$D$58,Census!$G145+F$5-18)+IF(F$5=$B145,INDEX(Decrements!$F$6:$F$58,Census!$G145+F$5-18),0)+INDEX(Decrements!$E$6:$E$58,Census!$G145+F$5-18)*IF((Census!$F145+F$5)&gt;=Assumptions!$B$11,1,0))*MIN(15/26*Census!$D145*(1+Assumptions!$B$9)^F$5*(INT((Census!$F145+F$5))+IF((Census!$F145+F$5)-INT((Census!$F145+F$5))&gt;0.5,1,0)),Assumptions!$B$10))</f>
        <v>23122.918735776911</v>
      </c>
      <c r="G145" s="30">
        <f>IF(G$5&gt;$B145,0,INDEX(Decrements!$G$6:$G$58,Census!$G145+G$5-18)/INDEX(Decrements!$G$6:$G$58,Census!$G145-17)*(INDEX(Decrements!$D$6:$D$58,Census!$G145+G$5-18)+IF(G$5=$B145,INDEX(Decrements!$F$6:$F$58,Census!$G145+G$5-18),0)+INDEX(Decrements!$E$6:$E$58,Census!$G145+G$5-18)*IF((Census!$F145+G$5)&gt;=Assumptions!$B$11,1,0))*MIN(15/26*Census!$D145*(1+Assumptions!$B$9)^G$5*(INT((Census!$F145+G$5))+IF((Census!$F145+G$5)-INT((Census!$F145+G$5))&gt;0.5,1,0)),Assumptions!$B$10))</f>
        <v>18525.775230402349</v>
      </c>
      <c r="H145" s="30">
        <f>IF(H$5&gt;$B145,0,INDEX(Decrements!$G$6:$G$58,Census!$G145+H$5-18)/INDEX(Decrements!$G$6:$G$58,Census!$G145-17)*(INDEX(Decrements!$D$6:$D$58,Census!$G145+H$5-18)+IF(H$5=$B145,INDEX(Decrements!$F$6:$F$58,Census!$G145+H$5-18),0)+INDEX(Decrements!$E$6:$E$58,Census!$G145+H$5-18)*IF((Census!$F145+H$5)&gt;=Assumptions!$B$11,1,0))*MIN(15/26*Census!$D145*(1+Assumptions!$B$9)^H$5*(INT((Census!$F145+H$5))+IF((Census!$F145+H$5)-INT((Census!$F145+H$5))&gt;0.5,1,0)),Assumptions!$B$10))</f>
        <v>20701.484370430258</v>
      </c>
      <c r="I145" s="30">
        <f>IF(I$5&gt;$B145,0,INDEX(Decrements!$G$6:$G$58,Census!$G145+I$5-18)/INDEX(Decrements!$G$6:$G$58,Census!$G145-17)*(INDEX(Decrements!$D$6:$D$58,Census!$G145+I$5-18)+IF(I$5=$B145,INDEX(Decrements!$F$6:$F$58,Census!$G145+I$5-18),0)+INDEX(Decrements!$E$6:$E$58,Census!$G145+I$5-18)*IF((Census!$F145+I$5)&gt;=Assumptions!$B$11,1,0))*MIN(15/26*Census!$D145*(1+Assumptions!$B$9)^I$5*(INT((Census!$F145+I$5))+IF((Census!$F145+I$5)-INT((Census!$F145+I$5))&gt;0.5,1,0)),Assumptions!$B$10))</f>
        <v>22847.294408309332</v>
      </c>
      <c r="J145" s="30">
        <f>IF(J$5&gt;$B145,0,INDEX(Decrements!$G$6:$G$58,Census!$G145+J$5-18)/INDEX(Decrements!$G$6:$G$58,Census!$G145-17)*(INDEX(Decrements!$D$6:$D$58,Census!$G145+J$5-18)+IF(J$5=$B145,INDEX(Decrements!$F$6:$F$58,Census!$G145+J$5-18),0)+INDEX(Decrements!$E$6:$E$58,Census!$G145+J$5-18)*IF((Census!$F145+J$5)&gt;=Assumptions!$B$11,1,0))*MIN(15/26*Census!$D145*(1+Assumptions!$B$9)^J$5*(INT((Census!$F145+J$5))+IF((Census!$F145+J$5)-INT((Census!$F145+J$5))&gt;0.5,1,0)),Assumptions!$B$10))</f>
        <v>24963.573935412245</v>
      </c>
      <c r="K145" s="30">
        <f>IF(K$5&gt;$B145,0,INDEX(Decrements!$G$6:$G$58,Census!$G145+K$5-18)/INDEX(Decrements!$G$6:$G$58,Census!$G145-17)*(INDEX(Decrements!$D$6:$D$58,Census!$G145+K$5-18)+IF(K$5=$B145,INDEX(Decrements!$F$6:$F$58,Census!$G145+K$5-18),0)+INDEX(Decrements!$E$6:$E$58,Census!$G145+K$5-18)*IF((Census!$F145+K$5)&gt;=Assumptions!$B$11,1,0))*MIN(15/26*Census!$D145*(1+Assumptions!$B$9)^K$5*(INT((Census!$F145+K$5))+IF((Census!$F145+K$5)-INT((Census!$F145+K$5))&gt;0.5,1,0)),Assumptions!$B$10))</f>
        <v>27050.693743642023</v>
      </c>
      <c r="L145" s="30">
        <f>IF(L$5&gt;$B145,0,INDEX(Decrements!$G$6:$G$58,Census!$G145+L$5-18)/INDEX(Decrements!$G$6:$G$58,Census!$G145-17)*(INDEX(Decrements!$D$6:$D$58,Census!$G145+L$5-18)+IF(L$5=$B145,INDEX(Decrements!$F$6:$F$58,Census!$G145+L$5-18),0)+INDEX(Decrements!$E$6:$E$58,Census!$G145+L$5-18)*IF((Census!$F145+L$5)&gt;=Assumptions!$B$11,1,0))*MIN(15/26*Census!$D145*(1+Assumptions!$B$9)^L$5*(INT((Census!$F145+L$5))+IF((Census!$F145+L$5)-INT((Census!$F145+L$5))&gt;0.5,1,0)),Assumptions!$B$10))</f>
        <v>18374.374618451708</v>
      </c>
      <c r="M145" s="30">
        <f>IF(M$5&gt;$B145,0,INDEX(Decrements!$G$6:$G$58,Census!$G145+M$5-18)/INDEX(Decrements!$G$6:$G$58,Census!$G145-17)*(INDEX(Decrements!$D$6:$D$58,Census!$G145+M$5-18)+IF(M$5=$B145,INDEX(Decrements!$F$6:$F$58,Census!$G145+M$5-18),0)+INDEX(Decrements!$E$6:$E$58,Census!$G145+M$5-18)*IF((Census!$F145+M$5)&gt;=Assumptions!$B$11,1,0))*MIN(15/26*Census!$D145*(1+Assumptions!$B$9)^M$5*(INT((Census!$F145+M$5))+IF((Census!$F145+M$5)-INT((Census!$F145+M$5))&gt;0.5,1,0)),Assumptions!$B$10))</f>
        <v>20310.508153944069</v>
      </c>
      <c r="N145" s="30">
        <f>IF(N$5&gt;$B145,0,INDEX(Decrements!$G$6:$G$58,Census!$G145+N$5-18)/INDEX(Decrements!$G$6:$G$58,Census!$G145-17)*(INDEX(Decrements!$D$6:$D$58,Census!$G145+N$5-18)+IF(N$5=$B145,INDEX(Decrements!$F$6:$F$58,Census!$G145+N$5-18),0)+INDEX(Decrements!$E$6:$E$58,Census!$G145+N$5-18)*IF((Census!$F145+N$5)&gt;=Assumptions!$B$11,1,0))*MIN(15/26*Census!$D145*(1+Assumptions!$B$9)^N$5*(INT((Census!$F145+N$5))+IF((Census!$F145+N$5)-INT((Census!$F145+N$5))&gt;0.5,1,0)),Assumptions!$B$10))</f>
        <v>22337.82660509507</v>
      </c>
      <c r="O145" s="30">
        <f>IF(O$5&gt;$B145,0,INDEX(Decrements!$G$6:$G$58,Census!$G145+O$5-18)/INDEX(Decrements!$G$6:$G$58,Census!$G145-17)*(INDEX(Decrements!$D$6:$D$58,Census!$G145+O$5-18)+IF(O$5=$B145,INDEX(Decrements!$F$6:$F$58,Census!$G145+O$5-18),0)+INDEX(Decrements!$E$6:$E$58,Census!$G145+O$5-18)*IF((Census!$F145+O$5)&gt;=Assumptions!$B$11,1,0))*MIN(15/26*Census!$D145*(1+Assumptions!$B$9)^O$5*(INT((Census!$F145+O$5))+IF((Census!$F145+O$5)-INT((Census!$F145+O$5))&gt;0.5,1,0)),Assumptions!$B$10))</f>
        <v>24460.363572228474</v>
      </c>
      <c r="P145" s="30">
        <f>IF(P$5&gt;$B145,0,INDEX(Decrements!$G$6:$G$58,Census!$G145+P$5-18)/INDEX(Decrements!$G$6:$G$58,Census!$G145-17)*(INDEX(Decrements!$D$6:$D$58,Census!$G145+P$5-18)+IF(P$5=$B145,INDEX(Decrements!$F$6:$F$58,Census!$G145+P$5-18),0)+INDEX(Decrements!$E$6:$E$58,Census!$G145+P$5-18)*IF((Census!$F145+P$5)&gt;=Assumptions!$B$11,1,0))*MIN(15/26*Census!$D145*(1+Assumptions!$B$9)^P$5*(INT((Census!$F145+P$5))+IF((Census!$F145+P$5)-INT((Census!$F145+P$5))&gt;0.5,1,0)),Assumptions!$B$10))</f>
        <v>26682.389350281715</v>
      </c>
      <c r="Q145" s="30">
        <f>IF(Q$5&gt;$B145,0,INDEX(Decrements!$G$6:$G$58,Census!$G145+Q$5-18)/INDEX(Decrements!$G$6:$G$58,Census!$G145-17)*(INDEX(Decrements!$D$6:$D$58,Census!$G145+Q$5-18)+IF(Q$5=$B145,INDEX(Decrements!$F$6:$F$58,Census!$G145+Q$5-18),0)+INDEX(Decrements!$E$6:$E$58,Census!$G145+Q$5-18)*IF((Census!$F145+Q$5)&gt;=Assumptions!$B$11,1,0))*MIN(15/26*Census!$D145*(1+Assumptions!$B$9)^Q$5*(INT((Census!$F145+Q$5))+IF((Census!$F145+Q$5)-INT((Census!$F145+Q$5))&gt;0.5,1,0)),Assumptions!$B$10))</f>
        <v>17836.605522700291</v>
      </c>
      <c r="R145" s="30">
        <f>IF(R$5&gt;$B145,0,INDEX(Decrements!$G$6:$G$58,Census!$G145+R$5-18)/INDEX(Decrements!$G$6:$G$58,Census!$G145-17)*(INDEX(Decrements!$D$6:$D$58,Census!$G145+R$5-18)+IF(R$5=$B145,INDEX(Decrements!$F$6:$F$58,Census!$G145+R$5-18),0)+INDEX(Decrements!$E$6:$E$58,Census!$G145+R$5-18)*IF((Census!$F145+R$5)&gt;=Assumptions!$B$11,1,0))*MIN(15/26*Census!$D145*(1+Assumptions!$B$9)^R$5*(INT((Census!$F145+R$5))+IF((Census!$F145+R$5)-INT((Census!$F145+R$5))&gt;0.5,1,0)),Assumptions!$B$10))</f>
        <v>19505.114854058527</v>
      </c>
      <c r="S145" s="30">
        <f>IF(S$5&gt;$B145,0,INDEX(Decrements!$G$6:$G$58,Census!$G145+S$5-18)/INDEX(Decrements!$G$6:$G$58,Census!$G145-17)*(INDEX(Decrements!$D$6:$D$58,Census!$G145+S$5-18)+IF(S$5=$B145,INDEX(Decrements!$F$6:$F$58,Census!$G145+S$5-18),0)+INDEX(Decrements!$E$6:$E$58,Census!$G145+S$5-18)*IF((Census!$F145+S$5)&gt;=Assumptions!$B$11,1,0))*MIN(15/26*Census!$D145*(1+Assumptions!$B$9)^S$5*(INT((Census!$F145+S$5))+IF((Census!$F145+S$5)-INT((Census!$F145+S$5))&gt;0.5,1,0)),Assumptions!$B$10))</f>
        <v>18976.631823979915</v>
      </c>
      <c r="T145" s="30">
        <f>IF(T$5&gt;$B145,0,INDEX(Decrements!$G$6:$G$58,Census!$G145+T$5-18)/INDEX(Decrements!$G$6:$G$58,Census!$G145-17)*(INDEX(Decrements!$D$6:$D$58,Census!$G145+T$5-18)+IF(T$5=$B145,INDEX(Decrements!$F$6:$F$58,Census!$G145+T$5-18),0)+INDEX(Decrements!$E$6:$E$58,Census!$G145+T$5-18)*IF((Census!$F145+T$5)&gt;=Assumptions!$B$11,1,0))*MIN(15/26*Census!$D145*(1+Assumptions!$B$9)^T$5*(INT((Census!$F145+T$5))+IF((Census!$F145+T$5)-INT((Census!$F145+T$5))&gt;0.5,1,0)),Assumptions!$B$10))</f>
        <v>18468.164997302189</v>
      </c>
      <c r="U145" s="30">
        <f>IF(U$5&gt;$B145,0,INDEX(Decrements!$G$6:$G$58,Census!$G145+U$5-18)/INDEX(Decrements!$G$6:$G$58,Census!$G145-17)*(INDEX(Decrements!$D$6:$D$58,Census!$G145+U$5-18)+IF(U$5=$B145,INDEX(Decrements!$F$6:$F$58,Census!$G145+U$5-18),0)+INDEX(Decrements!$E$6:$E$58,Census!$G145+U$5-18)*IF((Census!$F145+U$5)&gt;=Assumptions!$B$11,1,0))*MIN(15/26*Census!$D145*(1+Assumptions!$B$9)^U$5*(INT((Census!$F145+U$5))+IF((Census!$F145+U$5)-INT((Census!$F145+U$5))&gt;0.5,1,0)),Assumptions!$B$10))</f>
        <v>17979.315313442745</v>
      </c>
      <c r="V145" s="30">
        <f>IF(V$5&gt;$B145,0,INDEX(Decrements!$G$6:$G$58,Census!$G145+V$5-18)/INDEX(Decrements!$G$6:$G$58,Census!$G145-17)*(INDEX(Decrements!$D$6:$D$58,Census!$G145+V$5-18)+IF(V$5=$B145,INDEX(Decrements!$F$6:$F$58,Census!$G145+V$5-18),0)+INDEX(Decrements!$E$6:$E$58,Census!$G145+V$5-18)*IF((Census!$F145+V$5)&gt;=Assumptions!$B$11,1,0))*MIN(15/26*Census!$D145*(1+Assumptions!$B$9)^V$5*(INT((Census!$F145+V$5))+IF((Census!$F145+V$5)-INT((Census!$F145+V$5))&gt;0.5,1,0)),Assumptions!$B$10))</f>
        <v>12182.332002773152</v>
      </c>
      <c r="W145" s="30">
        <f>IF(W$5&gt;$B145,0,INDEX(Decrements!$G$6:$G$58,Census!$G145+W$5-18)/INDEX(Decrements!$G$6:$G$58,Census!$G145-17)*(INDEX(Decrements!$D$6:$D$58,Census!$G145+W$5-18)+IF(W$5=$B145,INDEX(Decrements!$F$6:$F$58,Census!$G145+W$5-18),0)+INDEX(Decrements!$E$6:$E$58,Census!$G145+W$5-18)*IF((Census!$F145+W$5)&gt;=Assumptions!$B$11,1,0))*MIN(15/26*Census!$D145*(1+Assumptions!$B$9)^W$5*(INT((Census!$F145+W$5))+IF((Census!$F145+W$5)-INT((Census!$F145+W$5))&gt;0.5,1,0)),Assumptions!$B$10))</f>
        <v>12030.208483182523</v>
      </c>
      <c r="X145" s="30">
        <f>IF(X$5&gt;$B145,0,INDEX(Decrements!$G$6:$G$58,Census!$G145+X$5-18)/INDEX(Decrements!$G$6:$G$58,Census!$G145-17)*(INDEX(Decrements!$D$6:$D$58,Census!$G145+X$5-18)+IF(X$5=$B145,INDEX(Decrements!$F$6:$F$58,Census!$G145+X$5-18),0)+INDEX(Decrements!$E$6:$E$58,Census!$G145+X$5-18)*IF((Census!$F145+X$5)&gt;=Assumptions!$B$11,1,0))*MIN(15/26*Census!$D145*(1+Assumptions!$B$9)^X$5*(INT((Census!$F145+X$5))+IF((Census!$F145+X$5)-INT((Census!$F145+X$5))&gt;0.5,1,0)),Assumptions!$B$10))</f>
        <v>11888.004047956949</v>
      </c>
      <c r="Y145" s="30">
        <f>IF(Y$5&gt;$B145,0,INDEX(Decrements!$G$6:$G$58,Census!$G145+Y$5-18)/INDEX(Decrements!$G$6:$G$58,Census!$G145-17)*(INDEX(Decrements!$D$6:$D$58,Census!$G145+Y$5-18)+IF(Y$5=$B145,INDEX(Decrements!$F$6:$F$58,Census!$G145+Y$5-18),0)+INDEX(Decrements!$E$6:$E$58,Census!$G145+Y$5-18)*IF((Census!$F145+Y$5)&gt;=Assumptions!$B$11,1,0))*MIN(15/26*Census!$D145*(1+Assumptions!$B$9)^Y$5*(INT((Census!$F145+Y$5))+IF((Census!$F145+Y$5)-INT((Census!$F145+Y$5))&gt;0.5,1,0)),Assumptions!$B$10))</f>
        <v>11755.927711770048</v>
      </c>
      <c r="Z145" s="30">
        <f>IF(Z$5&gt;$B145,0,INDEX(Decrements!$G$6:$G$58,Census!$G145+Z$5-18)/INDEX(Decrements!$G$6:$G$58,Census!$G145-17)*(INDEX(Decrements!$D$6:$D$58,Census!$G145+Z$5-18)+IF(Z$5=$B145,INDEX(Decrements!$F$6:$F$58,Census!$G145+Z$5-18),0)+INDEX(Decrements!$E$6:$E$58,Census!$G145+Z$5-18)*IF((Census!$F145+Z$5)&gt;=Assumptions!$B$11,1,0))*MIN(15/26*Census!$D145*(1+Assumptions!$B$9)^Z$5*(INT((Census!$F145+Z$5))+IF((Census!$F145+Z$5)-INT((Census!$F145+Z$5))&gt;0.5,1,0)),Assumptions!$B$10))</f>
        <v>11634.195386758987</v>
      </c>
      <c r="AA145" s="30">
        <f>IF(AA$5&gt;$B145,0,INDEX(Decrements!$G$6:$G$58,Census!$G145+AA$5-18)/INDEX(Decrements!$G$6:$G$58,Census!$G145-17)*(INDEX(Decrements!$D$6:$D$58,Census!$G145+AA$5-18)+IF(AA$5=$B145,INDEX(Decrements!$F$6:$F$58,Census!$G145+AA$5-18),0)+INDEX(Decrements!$E$6:$E$58,Census!$G145+AA$5-18)*IF((Census!$F145+AA$5)&gt;=Assumptions!$B$11,1,0))*MIN(15/26*Census!$D145*(1+Assumptions!$B$9)^AA$5*(INT((Census!$F145+AA$5))+IF((Census!$F145+AA$5)-INT((Census!$F145+AA$5))&gt;0.5,1,0)),Assumptions!$B$10))</f>
        <v>6795.9783911832601</v>
      </c>
      <c r="AB145" s="30">
        <f>IF(AB$5&gt;$B145,0,INDEX(Decrements!$G$6:$G$58,Census!$G145+AB$5-18)/INDEX(Decrements!$G$6:$G$58,Census!$G145-17)*(INDEX(Decrements!$D$6:$D$58,Census!$G145+AB$5-18)+IF(AB$5=$B145,INDEX(Decrements!$F$6:$F$58,Census!$G145+AB$5-18),0)+INDEX(Decrements!$E$6:$E$58,Census!$G145+AB$5-18)*IF((Census!$F145+AB$5)&gt;=Assumptions!$B$11,1,0))*MIN(15/26*Census!$D145*(1+Assumptions!$B$9)^AB$5*(INT((Census!$F145+AB$5))+IF((Census!$F145+AB$5)-INT((Census!$F145+AB$5))&gt;0.5,1,0)),Assumptions!$B$10))</f>
        <v>6881.6639747094532</v>
      </c>
      <c r="AC145" s="30">
        <f>IF(AC$5&gt;$B145,0,INDEX(Decrements!$G$6:$G$58,Census!$G145+AC$5-18)/INDEX(Decrements!$G$6:$G$58,Census!$G145-17)*(INDEX(Decrements!$D$6:$D$58,Census!$G145+AC$5-18)+IF(AC$5=$B145,INDEX(Decrements!$F$6:$F$58,Census!$G145+AC$5-18),0)+INDEX(Decrements!$E$6:$E$58,Census!$G145+AC$5-18)*IF((Census!$F145+AC$5)&gt;=Assumptions!$B$11,1,0))*MIN(15/26*Census!$D145*(1+Assumptions!$B$9)^AC$5*(INT((Census!$F145+AC$5))+IF((Census!$F145+AC$5)-INT((Census!$F145+AC$5))&gt;0.5,1,0)),Assumptions!$B$10))</f>
        <v>6978.6868065543758</v>
      </c>
      <c r="AD145" s="30">
        <f>IF(AD$5&gt;$B145,0,INDEX(Decrements!$G$6:$G$58,Census!$G145+AD$5-18)/INDEX(Decrements!$G$6:$G$58,Census!$G145-17)*(INDEX(Decrements!$D$6:$D$58,Census!$G145+AD$5-18)+IF(AD$5=$B145,INDEX(Decrements!$F$6:$F$58,Census!$G145+AD$5-18),0)+INDEX(Decrements!$E$6:$E$58,Census!$G145+AD$5-18)*IF((Census!$F145+AD$5)&gt;=Assumptions!$B$11,1,0))*MIN(15/26*Census!$D145*(1+Assumptions!$B$9)^AD$5*(INT((Census!$F145+AD$5))+IF((Census!$F145+AD$5)-INT((Census!$F145+AD$5))&gt;0.5,1,0)),Assumptions!$B$10))</f>
        <v>7087.7063039499853</v>
      </c>
      <c r="AE145" s="30">
        <f>IF(AE$5&gt;$B145,0,INDEX(Decrements!$G$6:$G$58,Census!$G145+AE$5-18)/INDEX(Decrements!$G$6:$G$58,Census!$G145-17)*(INDEX(Decrements!$D$6:$D$58,Census!$G145+AE$5-18)+IF(AE$5=$B145,INDEX(Decrements!$F$6:$F$58,Census!$G145+AE$5-18),0)+INDEX(Decrements!$E$6:$E$58,Census!$G145+AE$5-18)*IF((Census!$F145+AE$5)&gt;=Assumptions!$B$11,1,0))*MIN(15/26*Census!$D145*(1+Assumptions!$B$9)^AE$5*(INT((Census!$F145+AE$5))+IF((Census!$F145+AE$5)-INT((Census!$F145+AE$5))&gt;0.5,1,0)),Assumptions!$B$10))</f>
        <v>447029.76204775361</v>
      </c>
      <c r="AF145" s="30">
        <f>IF(AF$5&gt;$B145,0,INDEX(Decrements!$G$6:$G$58,Census!$G145+AF$5-18)/INDEX(Decrements!$G$6:$G$58,Census!$G145-17)*(INDEX(Decrements!$D$6:$D$58,Census!$G145+AF$5-18)+IF(AF$5=$B145,INDEX(Decrements!$F$6:$F$58,Census!$G145+AF$5-18),0)+INDEX(Decrements!$E$6:$E$58,Census!$G145+AF$5-18)*IF((Census!$F145+AF$5)&gt;=Assumptions!$B$11,1,0))*MIN(15/26*Census!$D145*(1+Assumptions!$B$9)^AF$5*(INT((Census!$F145+AF$5))+IF((Census!$F145+AF$5)-INT((Census!$F145+AF$5))&gt;0.5,1,0)),Assumptions!$B$10))</f>
        <v>0</v>
      </c>
      <c r="AG145" s="30">
        <f>IF(AG$5&gt;$B145,0,INDEX(Decrements!$G$6:$G$58,Census!$G145+AG$5-18)/INDEX(Decrements!$G$6:$G$58,Census!$G145-17)*(INDEX(Decrements!$D$6:$D$58,Census!$G145+AG$5-18)+IF(AG$5=$B145,INDEX(Decrements!$F$6:$F$58,Census!$G145+AG$5-18),0)+INDEX(Decrements!$E$6:$E$58,Census!$G145+AG$5-18)*IF((Census!$F145+AG$5)&gt;=Assumptions!$B$11,1,0))*MIN(15/26*Census!$D145*(1+Assumptions!$B$9)^AG$5*(INT((Census!$F145+AG$5))+IF((Census!$F145+AG$5)-INT((Census!$F145+AG$5))&gt;0.5,1,0)),Assumptions!$B$10))</f>
        <v>0</v>
      </c>
      <c r="AH145" s="30">
        <f>IF(AH$5&gt;$B145,0,INDEX(Decrements!$G$6:$G$58,Census!$G145+AH$5-18)/INDEX(Decrements!$G$6:$G$58,Census!$G145-17)*(INDEX(Decrements!$D$6:$D$58,Census!$G145+AH$5-18)+IF(AH$5=$B145,INDEX(Decrements!$F$6:$F$58,Census!$G145+AH$5-18),0)+INDEX(Decrements!$E$6:$E$58,Census!$G145+AH$5-18)*IF((Census!$F145+AH$5)&gt;=Assumptions!$B$11,1,0))*MIN(15/26*Census!$D145*(1+Assumptions!$B$9)^AH$5*(INT((Census!$F145+AH$5))+IF((Census!$F145+AH$5)-INT((Census!$F145+AH$5))&gt;0.5,1,0)),Assumptions!$B$10))</f>
        <v>0</v>
      </c>
      <c r="AI145" s="30">
        <f>IF(AI$5&gt;$B145,0,INDEX(Decrements!$G$6:$G$58,Census!$G145+AI$5-18)/INDEX(Decrements!$G$6:$G$58,Census!$G145-17)*(INDEX(Decrements!$D$6:$D$58,Census!$G145+AI$5-18)+IF(AI$5=$B145,INDEX(Decrements!$F$6:$F$58,Census!$G145+AI$5-18),0)+INDEX(Decrements!$E$6:$E$58,Census!$G145+AI$5-18)*IF((Census!$F145+AI$5)&gt;=Assumptions!$B$11,1,0))*MIN(15/26*Census!$D145*(1+Assumptions!$B$9)^AI$5*(INT((Census!$F145+AI$5))+IF((Census!$F145+AI$5)-INT((Census!$F145+AI$5))&gt;0.5,1,0)),Assumptions!$B$10))</f>
        <v>0</v>
      </c>
      <c r="AJ145" s="30">
        <f>IF(AJ$5&gt;$B145,0,INDEX(Decrements!$G$6:$G$58,Census!$G145+AJ$5-18)/INDEX(Decrements!$G$6:$G$58,Census!$G145-17)*(INDEX(Decrements!$D$6:$D$58,Census!$G145+AJ$5-18)+IF(AJ$5=$B145,INDEX(Decrements!$F$6:$F$58,Census!$G145+AJ$5-18),0)+INDEX(Decrements!$E$6:$E$58,Census!$G145+AJ$5-18)*IF((Census!$F145+AJ$5)&gt;=Assumptions!$B$11,1,0))*MIN(15/26*Census!$D145*(1+Assumptions!$B$9)^AJ$5*(INT((Census!$F145+AJ$5))+IF((Census!$F145+AJ$5)-INT((Census!$F145+AJ$5))&gt;0.5,1,0)),Assumptions!$B$10))</f>
        <v>0</v>
      </c>
      <c r="AK145" s="30">
        <f>IF(AK$5&gt;$B145,0,INDEX(Decrements!$G$6:$G$58,Census!$G145+AK$5-18)/INDEX(Decrements!$G$6:$G$58,Census!$G145-17)*(INDEX(Decrements!$D$6:$D$58,Census!$G145+AK$5-18)+IF(AK$5=$B145,INDEX(Decrements!$F$6:$F$58,Census!$G145+AK$5-18),0)+INDEX(Decrements!$E$6:$E$58,Census!$G145+AK$5-18)*IF((Census!$F145+AK$5)&gt;=Assumptions!$B$11,1,0))*MIN(15/26*Census!$D145*(1+Assumptions!$B$9)^AK$5*(INT((Census!$F145+AK$5))+IF((Census!$F145+AK$5)-INT((Census!$F145+AK$5))&gt;0.5,1,0)),Assumptions!$B$10))</f>
        <v>0</v>
      </c>
      <c r="AL145" s="30">
        <f>IF(AL$5&gt;$B145,0,INDEX(Decrements!$G$6:$G$58,Census!$G145+AL$5-18)/INDEX(Decrements!$G$6:$G$58,Census!$G145-17)*(INDEX(Decrements!$D$6:$D$58,Census!$G145+AL$5-18)+IF(AL$5=$B145,INDEX(Decrements!$F$6:$F$58,Census!$G145+AL$5-18),0)+INDEX(Decrements!$E$6:$E$58,Census!$G145+AL$5-18)*IF((Census!$F145+AL$5)&gt;=Assumptions!$B$11,1,0))*MIN(15/26*Census!$D145*(1+Assumptions!$B$9)^AL$5*(INT((Census!$F145+AL$5))+IF((Census!$F145+AL$5)-INT((Census!$F145+AL$5))&gt;0.5,1,0)),Assumptions!$B$10))</f>
        <v>0</v>
      </c>
      <c r="AM145" s="30">
        <f>IF(AM$5&gt;$B145,0,INDEX(Decrements!$G$6:$G$58,Census!$G145+AM$5-18)/INDEX(Decrements!$G$6:$G$58,Census!$G145-17)*(INDEX(Decrements!$D$6:$D$58,Census!$G145+AM$5-18)+IF(AM$5=$B145,INDEX(Decrements!$F$6:$F$58,Census!$G145+AM$5-18),0)+INDEX(Decrements!$E$6:$E$58,Census!$G145+AM$5-18)*IF((Census!$F145+AM$5)&gt;=Assumptions!$B$11,1,0))*MIN(15/26*Census!$D145*(1+Assumptions!$B$9)^AM$5*(INT((Census!$F145+AM$5))+IF((Census!$F145+AM$5)-INT((Census!$F145+AM$5))&gt;0.5,1,0)),Assumptions!$B$10))</f>
        <v>0</v>
      </c>
      <c r="AN145" s="30">
        <f>IF(AN$5&gt;$B145,0,INDEX(Decrements!$G$6:$G$58,Census!$G145+AN$5-18)/INDEX(Decrements!$G$6:$G$58,Census!$G145-17)*(INDEX(Decrements!$D$6:$D$58,Census!$G145+AN$5-18)+IF(AN$5=$B145,INDEX(Decrements!$F$6:$F$58,Census!$G145+AN$5-18),0)+INDEX(Decrements!$E$6:$E$58,Census!$G145+AN$5-18)*IF((Census!$F145+AN$5)&gt;=Assumptions!$B$11,1,0))*MIN(15/26*Census!$D145*(1+Assumptions!$B$9)^AN$5*(INT((Census!$F145+AN$5))+IF((Census!$F145+AN$5)-INT((Census!$F145+AN$5))&gt;0.5,1,0)),Assumptions!$B$10))</f>
        <v>0</v>
      </c>
      <c r="AO145" s="30">
        <f>IF(AO$5&gt;$B145,0,INDEX(Decrements!$G$6:$G$58,Census!$G145+AO$5-18)/INDEX(Decrements!$G$6:$G$58,Census!$G145-17)*(INDEX(Decrements!$D$6:$D$58,Census!$G145+AO$5-18)+IF(AO$5=$B145,INDEX(Decrements!$F$6:$F$58,Census!$G145+AO$5-18),0)+INDEX(Decrements!$E$6:$E$58,Census!$G145+AO$5-18)*IF((Census!$F145+AO$5)&gt;=Assumptions!$B$11,1,0))*MIN(15/26*Census!$D145*(1+Assumptions!$B$9)^AO$5*(INT((Census!$F145+AO$5))+IF((Census!$F145+AO$5)-INT((Census!$F145+AO$5))&gt;0.5,1,0)),Assumptions!$B$10))</f>
        <v>0</v>
      </c>
      <c r="AP145" s="30">
        <f>IF(AP$5&gt;$B145,0,INDEX(Decrements!$G$6:$G$58,Census!$G145+AP$5-18)/INDEX(Decrements!$G$6:$G$58,Census!$G145-17)*(INDEX(Decrements!$D$6:$D$58,Census!$G145+AP$5-18)+IF(AP$5=$B145,INDEX(Decrements!$F$6:$F$58,Census!$G145+AP$5-18),0)+INDEX(Decrements!$E$6:$E$58,Census!$G145+AP$5-18)*IF((Census!$F145+AP$5)&gt;=Assumptions!$B$11,1,0))*MIN(15/26*Census!$D145*(1+Assumptions!$B$9)^AP$5*(INT((Census!$F145+AP$5))+IF((Census!$F145+AP$5)-INT((Census!$F145+AP$5))&gt;0.5,1,0)),Assumptions!$B$10))</f>
        <v>0</v>
      </c>
      <c r="AQ145" s="30">
        <f>IF(AQ$5&gt;$B145,0,INDEX(Decrements!$G$6:$G$58,Census!$G145+AQ$5-18)/INDEX(Decrements!$G$6:$G$58,Census!$G145-17)*(INDEX(Decrements!$D$6:$D$58,Census!$G145+AQ$5-18)+IF(AQ$5=$B145,INDEX(Decrements!$F$6:$F$58,Census!$G145+AQ$5-18),0)+INDEX(Decrements!$E$6:$E$58,Census!$G145+AQ$5-18)*IF((Census!$F145+AQ$5)&gt;=Assumptions!$B$11,1,0))*MIN(15/26*Census!$D145*(1+Assumptions!$B$9)^AQ$5*(INT((Census!$F145+AQ$5))+IF((Census!$F145+AQ$5)-INT((Census!$F145+AQ$5))&gt;0.5,1,0)),Assumptions!$B$10))</f>
        <v>0</v>
      </c>
      <c r="AR145" s="30">
        <f>IF(AR$5&gt;$B145,0,INDEX(Decrements!$G$6:$G$58,Census!$G145+AR$5-18)/INDEX(Decrements!$G$6:$G$58,Census!$G145-17)*(INDEX(Decrements!$D$6:$D$58,Census!$G145+AR$5-18)+IF(AR$5=$B145,INDEX(Decrements!$F$6:$F$58,Census!$G145+AR$5-18),0)+INDEX(Decrements!$E$6:$E$58,Census!$G145+AR$5-18)*IF((Census!$F145+AR$5)&gt;=Assumptions!$B$11,1,0))*MIN(15/26*Census!$D145*(1+Assumptions!$B$9)^AR$5*(INT((Census!$F145+AR$5))+IF((Census!$F145+AR$5)-INT((Census!$F145+AR$5))&gt;0.5,1,0)),Assumptions!$B$10))</f>
        <v>0</v>
      </c>
      <c r="AS145" s="30">
        <f>IF(AS$5&gt;$B145,0,INDEX(Decrements!$G$6:$G$58,Census!$G145+AS$5-18)/INDEX(Decrements!$G$6:$G$58,Census!$G145-17)*(INDEX(Decrements!$D$6:$D$58,Census!$G145+AS$5-18)+IF(AS$5=$B145,INDEX(Decrements!$F$6:$F$58,Census!$G145+AS$5-18),0)+INDEX(Decrements!$E$6:$E$58,Census!$G145+AS$5-18)*IF((Census!$F145+AS$5)&gt;=Assumptions!$B$11,1,0))*MIN(15/26*Census!$D145*(1+Assumptions!$B$9)^AS$5*(INT((Census!$F145+AS$5))+IF((Census!$F145+AS$5)-INT((Census!$F145+AS$5))&gt;0.5,1,0)),Assumptions!$B$10))</f>
        <v>0</v>
      </c>
      <c r="AT145" s="30">
        <f>IF(AT$5&gt;$B145,0,INDEX(Decrements!$G$6:$G$58,Census!$G145+AT$5-18)/INDEX(Decrements!$G$6:$G$58,Census!$G145-17)*(INDEX(Decrements!$D$6:$D$58,Census!$G145+AT$5-18)+IF(AT$5=$B145,INDEX(Decrements!$F$6:$F$58,Census!$G145+AT$5-18),0)+INDEX(Decrements!$E$6:$E$58,Census!$G145+AT$5-18)*IF((Census!$F145+AT$5)&gt;=Assumptions!$B$11,1,0))*MIN(15/26*Census!$D145*(1+Assumptions!$B$9)^AT$5*(INT((Census!$F145+AT$5))+IF((Census!$F145+AT$5)-INT((Census!$F145+AT$5))&gt;0.5,1,0)),Assumptions!$B$10))</f>
        <v>0</v>
      </c>
      <c r="AU145" s="30">
        <f>IF(AU$5&gt;$B145,0,INDEX(Decrements!$G$6:$G$58,Census!$G145+AU$5-18)/INDEX(Decrements!$G$6:$G$58,Census!$G145-17)*(INDEX(Decrements!$D$6:$D$58,Census!$G145+AU$5-18)+IF(AU$5=$B145,INDEX(Decrements!$F$6:$F$58,Census!$G145+AU$5-18),0)+INDEX(Decrements!$E$6:$E$58,Census!$G145+AU$5-18)*IF((Census!$F145+AU$5)&gt;=Assumptions!$B$11,1,0))*MIN(15/26*Census!$D145*(1+Assumptions!$B$9)^AU$5*(INT((Census!$F145+AU$5))+IF((Census!$F145+AU$5)-INT((Census!$F145+AU$5))&gt;0.5,1,0)),Assumptions!$B$10))</f>
        <v>0</v>
      </c>
    </row>
    <row r="146" spans="1:47" x14ac:dyDescent="0.3">
      <c r="A146" s="10" t="str">
        <f>Census!A146</f>
        <v>E141</v>
      </c>
      <c r="B146" s="29">
        <f>Census!H146</f>
        <v>7</v>
      </c>
      <c r="C146" s="30">
        <f>IF(C$5&gt;$B146,0,INDEX(Decrements!$G$6:$G$58,Census!$G146+C$5-18)/INDEX(Decrements!$G$6:$G$58,Census!$G146-17)*(INDEX(Decrements!$D$6:$D$58,Census!$G146+C$5-18)+IF(C$5=$B146,INDEX(Decrements!$F$6:$F$58,Census!$G146+C$5-18),0)+INDEX(Decrements!$E$6:$E$58,Census!$G146+C$5-18)*IF((Census!$F146+C$5)&gt;=Assumptions!$B$11,1,0))*MIN(15/26*Census!$D146*(1+Assumptions!$B$9)^C$5*(INT((Census!$F146+C$5))+IF((Census!$F146+C$5)-INT((Census!$F146+C$5))&gt;0.5,1,0)),Assumptions!$B$10))</f>
        <v>47197.025818633076</v>
      </c>
      <c r="D146" s="30">
        <f>IF(D$5&gt;$B146,0,INDEX(Decrements!$G$6:$G$58,Census!$G146+D$5-18)/INDEX(Decrements!$G$6:$G$58,Census!$G146-17)*(INDEX(Decrements!$D$6:$D$58,Census!$G146+D$5-18)+IF(D$5=$B146,INDEX(Decrements!$F$6:$F$58,Census!$G146+D$5-18),0)+INDEX(Decrements!$E$6:$E$58,Census!$G146+D$5-18)*IF((Census!$F146+D$5)&gt;=Assumptions!$B$11,1,0))*MIN(15/26*Census!$D146*(1+Assumptions!$B$9)^D$5*(INT((Census!$F146+D$5))+IF((Census!$F146+D$5)-INT((Census!$F146+D$5))&gt;0.5,1,0)),Assumptions!$B$10))</f>
        <v>46708.301846576251</v>
      </c>
      <c r="E146" s="30">
        <f>IF(E$5&gt;$B146,0,INDEX(Decrements!$G$6:$G$58,Census!$G146+E$5-18)/INDEX(Decrements!$G$6:$G$58,Census!$G146-17)*(INDEX(Decrements!$D$6:$D$58,Census!$G146+E$5-18)+IF(E$5=$B146,INDEX(Decrements!$F$6:$F$58,Census!$G146+E$5-18),0)+INDEX(Decrements!$E$6:$E$58,Census!$G146+E$5-18)*IF((Census!$F146+E$5)&gt;=Assumptions!$B$11,1,0))*MIN(15/26*Census!$D146*(1+Assumptions!$B$9)^E$5*(INT((Census!$F146+E$5))+IF((Census!$F146+E$5)-INT((Census!$F146+E$5))&gt;0.5,1,0)),Assumptions!$B$10))</f>
        <v>27284.105130249616</v>
      </c>
      <c r="F146" s="30">
        <f>IF(F$5&gt;$B146,0,INDEX(Decrements!$G$6:$G$58,Census!$G146+F$5-18)/INDEX(Decrements!$G$6:$G$58,Census!$G146-17)*(INDEX(Decrements!$D$6:$D$58,Census!$G146+F$5-18)+IF(F$5=$B146,INDEX(Decrements!$F$6:$F$58,Census!$G146+F$5-18),0)+INDEX(Decrements!$E$6:$E$58,Census!$G146+F$5-18)*IF((Census!$F146+F$5)&gt;=Assumptions!$B$11,1,0))*MIN(15/26*Census!$D146*(1+Assumptions!$B$9)^F$5*(INT((Census!$F146+F$5))+IF((Census!$F146+F$5)-INT((Census!$F146+F$5))&gt;0.5,1,0)),Assumptions!$B$10))</f>
        <v>27628.11070744634</v>
      </c>
      <c r="G146" s="30">
        <f>IF(G$5&gt;$B146,0,INDEX(Decrements!$G$6:$G$58,Census!$G146+G$5-18)/INDEX(Decrements!$G$6:$G$58,Census!$G146-17)*(INDEX(Decrements!$D$6:$D$58,Census!$G146+G$5-18)+IF(G$5=$B146,INDEX(Decrements!$F$6:$F$58,Census!$G146+G$5-18),0)+INDEX(Decrements!$E$6:$E$58,Census!$G146+G$5-18)*IF((Census!$F146+G$5)&gt;=Assumptions!$B$11,1,0))*MIN(15/26*Census!$D146*(1+Assumptions!$B$9)^G$5*(INT((Census!$F146+G$5))+IF((Census!$F146+G$5)-INT((Census!$F146+G$5))&gt;0.5,1,0)),Assumptions!$B$10))</f>
        <v>28017.632420394351</v>
      </c>
      <c r="H146" s="30">
        <f>IF(H$5&gt;$B146,0,INDEX(Decrements!$G$6:$G$58,Census!$G146+H$5-18)/INDEX(Decrements!$G$6:$G$58,Census!$G146-17)*(INDEX(Decrements!$D$6:$D$58,Census!$G146+H$5-18)+IF(H$5=$B146,INDEX(Decrements!$F$6:$F$58,Census!$G146+H$5-18),0)+INDEX(Decrements!$E$6:$E$58,Census!$G146+H$5-18)*IF((Census!$F146+H$5)&gt;=Assumptions!$B$11,1,0))*MIN(15/26*Census!$D146*(1+Assumptions!$B$9)^H$5*(INT((Census!$F146+H$5))+IF((Census!$F146+H$5)-INT((Census!$F146+H$5))&gt;0.5,1,0)),Assumptions!$B$10))</f>
        <v>28455.317659659937</v>
      </c>
      <c r="I146" s="30">
        <f>IF(I$5&gt;$B146,0,INDEX(Decrements!$G$6:$G$58,Census!$G146+I$5-18)/INDEX(Decrements!$G$6:$G$58,Census!$G146-17)*(INDEX(Decrements!$D$6:$D$58,Census!$G146+I$5-18)+IF(I$5=$B146,INDEX(Decrements!$F$6:$F$58,Census!$G146+I$5-18),0)+INDEX(Decrements!$E$6:$E$58,Census!$G146+I$5-18)*IF((Census!$F146+I$5)&gt;=Assumptions!$B$11,1,0))*MIN(15/26*Census!$D146*(1+Assumptions!$B$9)^I$5*(INT((Census!$F146+I$5))+IF((Census!$F146+I$5)-INT((Census!$F146+I$5))&gt;0.5,1,0)),Assumptions!$B$10))</f>
        <v>1794709.5064170405</v>
      </c>
      <c r="J146" s="30">
        <f>IF(J$5&gt;$B146,0,INDEX(Decrements!$G$6:$G$58,Census!$G146+J$5-18)/INDEX(Decrements!$G$6:$G$58,Census!$G146-17)*(INDEX(Decrements!$D$6:$D$58,Census!$G146+J$5-18)+IF(J$5=$B146,INDEX(Decrements!$F$6:$F$58,Census!$G146+J$5-18),0)+INDEX(Decrements!$E$6:$E$58,Census!$G146+J$5-18)*IF((Census!$F146+J$5)&gt;=Assumptions!$B$11,1,0))*MIN(15/26*Census!$D146*(1+Assumptions!$B$9)^J$5*(INT((Census!$F146+J$5))+IF((Census!$F146+J$5)-INT((Census!$F146+J$5))&gt;0.5,1,0)),Assumptions!$B$10))</f>
        <v>0</v>
      </c>
      <c r="K146" s="30">
        <f>IF(K$5&gt;$B146,0,INDEX(Decrements!$G$6:$G$58,Census!$G146+K$5-18)/INDEX(Decrements!$G$6:$G$58,Census!$G146-17)*(INDEX(Decrements!$D$6:$D$58,Census!$G146+K$5-18)+IF(K$5=$B146,INDEX(Decrements!$F$6:$F$58,Census!$G146+K$5-18),0)+INDEX(Decrements!$E$6:$E$58,Census!$G146+K$5-18)*IF((Census!$F146+K$5)&gt;=Assumptions!$B$11,1,0))*MIN(15/26*Census!$D146*(1+Assumptions!$B$9)^K$5*(INT((Census!$F146+K$5))+IF((Census!$F146+K$5)-INT((Census!$F146+K$5))&gt;0.5,1,0)),Assumptions!$B$10))</f>
        <v>0</v>
      </c>
      <c r="L146" s="30">
        <f>IF(L$5&gt;$B146,0,INDEX(Decrements!$G$6:$G$58,Census!$G146+L$5-18)/INDEX(Decrements!$G$6:$G$58,Census!$G146-17)*(INDEX(Decrements!$D$6:$D$58,Census!$G146+L$5-18)+IF(L$5=$B146,INDEX(Decrements!$F$6:$F$58,Census!$G146+L$5-18),0)+INDEX(Decrements!$E$6:$E$58,Census!$G146+L$5-18)*IF((Census!$F146+L$5)&gt;=Assumptions!$B$11,1,0))*MIN(15/26*Census!$D146*(1+Assumptions!$B$9)^L$5*(INT((Census!$F146+L$5))+IF((Census!$F146+L$5)-INT((Census!$F146+L$5))&gt;0.5,1,0)),Assumptions!$B$10))</f>
        <v>0</v>
      </c>
      <c r="M146" s="30">
        <f>IF(M$5&gt;$B146,0,INDEX(Decrements!$G$6:$G$58,Census!$G146+M$5-18)/INDEX(Decrements!$G$6:$G$58,Census!$G146-17)*(INDEX(Decrements!$D$6:$D$58,Census!$G146+M$5-18)+IF(M$5=$B146,INDEX(Decrements!$F$6:$F$58,Census!$G146+M$5-18),0)+INDEX(Decrements!$E$6:$E$58,Census!$G146+M$5-18)*IF((Census!$F146+M$5)&gt;=Assumptions!$B$11,1,0))*MIN(15/26*Census!$D146*(1+Assumptions!$B$9)^M$5*(INT((Census!$F146+M$5))+IF((Census!$F146+M$5)-INT((Census!$F146+M$5))&gt;0.5,1,0)),Assumptions!$B$10))</f>
        <v>0</v>
      </c>
      <c r="N146" s="30">
        <f>IF(N$5&gt;$B146,0,INDEX(Decrements!$G$6:$G$58,Census!$G146+N$5-18)/INDEX(Decrements!$G$6:$G$58,Census!$G146-17)*(INDEX(Decrements!$D$6:$D$58,Census!$G146+N$5-18)+IF(N$5=$B146,INDEX(Decrements!$F$6:$F$58,Census!$G146+N$5-18),0)+INDEX(Decrements!$E$6:$E$58,Census!$G146+N$5-18)*IF((Census!$F146+N$5)&gt;=Assumptions!$B$11,1,0))*MIN(15/26*Census!$D146*(1+Assumptions!$B$9)^N$5*(INT((Census!$F146+N$5))+IF((Census!$F146+N$5)-INT((Census!$F146+N$5))&gt;0.5,1,0)),Assumptions!$B$10))</f>
        <v>0</v>
      </c>
      <c r="O146" s="30">
        <f>IF(O$5&gt;$B146,0,INDEX(Decrements!$G$6:$G$58,Census!$G146+O$5-18)/INDEX(Decrements!$G$6:$G$58,Census!$G146-17)*(INDEX(Decrements!$D$6:$D$58,Census!$G146+O$5-18)+IF(O$5=$B146,INDEX(Decrements!$F$6:$F$58,Census!$G146+O$5-18),0)+INDEX(Decrements!$E$6:$E$58,Census!$G146+O$5-18)*IF((Census!$F146+O$5)&gt;=Assumptions!$B$11,1,0))*MIN(15/26*Census!$D146*(1+Assumptions!$B$9)^O$5*(INT((Census!$F146+O$5))+IF((Census!$F146+O$5)-INT((Census!$F146+O$5))&gt;0.5,1,0)),Assumptions!$B$10))</f>
        <v>0</v>
      </c>
      <c r="P146" s="30">
        <f>IF(P$5&gt;$B146,0,INDEX(Decrements!$G$6:$G$58,Census!$G146+P$5-18)/INDEX(Decrements!$G$6:$G$58,Census!$G146-17)*(INDEX(Decrements!$D$6:$D$58,Census!$G146+P$5-18)+IF(P$5=$B146,INDEX(Decrements!$F$6:$F$58,Census!$G146+P$5-18),0)+INDEX(Decrements!$E$6:$E$58,Census!$G146+P$5-18)*IF((Census!$F146+P$5)&gt;=Assumptions!$B$11,1,0))*MIN(15/26*Census!$D146*(1+Assumptions!$B$9)^P$5*(INT((Census!$F146+P$5))+IF((Census!$F146+P$5)-INT((Census!$F146+P$5))&gt;0.5,1,0)),Assumptions!$B$10))</f>
        <v>0</v>
      </c>
      <c r="Q146" s="30">
        <f>IF(Q$5&gt;$B146,0,INDEX(Decrements!$G$6:$G$58,Census!$G146+Q$5-18)/INDEX(Decrements!$G$6:$G$58,Census!$G146-17)*(INDEX(Decrements!$D$6:$D$58,Census!$G146+Q$5-18)+IF(Q$5=$B146,INDEX(Decrements!$F$6:$F$58,Census!$G146+Q$5-18),0)+INDEX(Decrements!$E$6:$E$58,Census!$G146+Q$5-18)*IF((Census!$F146+Q$5)&gt;=Assumptions!$B$11,1,0))*MIN(15/26*Census!$D146*(1+Assumptions!$B$9)^Q$5*(INT((Census!$F146+Q$5))+IF((Census!$F146+Q$5)-INT((Census!$F146+Q$5))&gt;0.5,1,0)),Assumptions!$B$10))</f>
        <v>0</v>
      </c>
      <c r="R146" s="30">
        <f>IF(R$5&gt;$B146,0,INDEX(Decrements!$G$6:$G$58,Census!$G146+R$5-18)/INDEX(Decrements!$G$6:$G$58,Census!$G146-17)*(INDEX(Decrements!$D$6:$D$58,Census!$G146+R$5-18)+IF(R$5=$B146,INDEX(Decrements!$F$6:$F$58,Census!$G146+R$5-18),0)+INDEX(Decrements!$E$6:$E$58,Census!$G146+R$5-18)*IF((Census!$F146+R$5)&gt;=Assumptions!$B$11,1,0))*MIN(15/26*Census!$D146*(1+Assumptions!$B$9)^R$5*(INT((Census!$F146+R$5))+IF((Census!$F146+R$5)-INT((Census!$F146+R$5))&gt;0.5,1,0)),Assumptions!$B$10))</f>
        <v>0</v>
      </c>
      <c r="S146" s="30">
        <f>IF(S$5&gt;$B146,0,INDEX(Decrements!$G$6:$G$58,Census!$G146+S$5-18)/INDEX(Decrements!$G$6:$G$58,Census!$G146-17)*(INDEX(Decrements!$D$6:$D$58,Census!$G146+S$5-18)+IF(S$5=$B146,INDEX(Decrements!$F$6:$F$58,Census!$G146+S$5-18),0)+INDEX(Decrements!$E$6:$E$58,Census!$G146+S$5-18)*IF((Census!$F146+S$5)&gt;=Assumptions!$B$11,1,0))*MIN(15/26*Census!$D146*(1+Assumptions!$B$9)^S$5*(INT((Census!$F146+S$5))+IF((Census!$F146+S$5)-INT((Census!$F146+S$5))&gt;0.5,1,0)),Assumptions!$B$10))</f>
        <v>0</v>
      </c>
      <c r="T146" s="30">
        <f>IF(T$5&gt;$B146,0,INDEX(Decrements!$G$6:$G$58,Census!$G146+T$5-18)/INDEX(Decrements!$G$6:$G$58,Census!$G146-17)*(INDEX(Decrements!$D$6:$D$58,Census!$G146+T$5-18)+IF(T$5=$B146,INDEX(Decrements!$F$6:$F$58,Census!$G146+T$5-18),0)+INDEX(Decrements!$E$6:$E$58,Census!$G146+T$5-18)*IF((Census!$F146+T$5)&gt;=Assumptions!$B$11,1,0))*MIN(15/26*Census!$D146*(1+Assumptions!$B$9)^T$5*(INT((Census!$F146+T$5))+IF((Census!$F146+T$5)-INT((Census!$F146+T$5))&gt;0.5,1,0)),Assumptions!$B$10))</f>
        <v>0</v>
      </c>
      <c r="U146" s="30">
        <f>IF(U$5&gt;$B146,0,INDEX(Decrements!$G$6:$G$58,Census!$G146+U$5-18)/INDEX(Decrements!$G$6:$G$58,Census!$G146-17)*(INDEX(Decrements!$D$6:$D$58,Census!$G146+U$5-18)+IF(U$5=$B146,INDEX(Decrements!$F$6:$F$58,Census!$G146+U$5-18),0)+INDEX(Decrements!$E$6:$E$58,Census!$G146+U$5-18)*IF((Census!$F146+U$5)&gt;=Assumptions!$B$11,1,0))*MIN(15/26*Census!$D146*(1+Assumptions!$B$9)^U$5*(INT((Census!$F146+U$5))+IF((Census!$F146+U$5)-INT((Census!$F146+U$5))&gt;0.5,1,0)),Assumptions!$B$10))</f>
        <v>0</v>
      </c>
      <c r="V146" s="30">
        <f>IF(V$5&gt;$B146,0,INDEX(Decrements!$G$6:$G$58,Census!$G146+V$5-18)/INDEX(Decrements!$G$6:$G$58,Census!$G146-17)*(INDEX(Decrements!$D$6:$D$58,Census!$G146+V$5-18)+IF(V$5=$B146,INDEX(Decrements!$F$6:$F$58,Census!$G146+V$5-18),0)+INDEX(Decrements!$E$6:$E$58,Census!$G146+V$5-18)*IF((Census!$F146+V$5)&gt;=Assumptions!$B$11,1,0))*MIN(15/26*Census!$D146*(1+Assumptions!$B$9)^V$5*(INT((Census!$F146+V$5))+IF((Census!$F146+V$5)-INT((Census!$F146+V$5))&gt;0.5,1,0)),Assumptions!$B$10))</f>
        <v>0</v>
      </c>
      <c r="W146" s="30">
        <f>IF(W$5&gt;$B146,0,INDEX(Decrements!$G$6:$G$58,Census!$G146+W$5-18)/INDEX(Decrements!$G$6:$G$58,Census!$G146-17)*(INDEX(Decrements!$D$6:$D$58,Census!$G146+W$5-18)+IF(W$5=$B146,INDEX(Decrements!$F$6:$F$58,Census!$G146+W$5-18),0)+INDEX(Decrements!$E$6:$E$58,Census!$G146+W$5-18)*IF((Census!$F146+W$5)&gt;=Assumptions!$B$11,1,0))*MIN(15/26*Census!$D146*(1+Assumptions!$B$9)^W$5*(INT((Census!$F146+W$5))+IF((Census!$F146+W$5)-INT((Census!$F146+W$5))&gt;0.5,1,0)),Assumptions!$B$10))</f>
        <v>0</v>
      </c>
      <c r="X146" s="30">
        <f>IF(X$5&gt;$B146,0,INDEX(Decrements!$G$6:$G$58,Census!$G146+X$5-18)/INDEX(Decrements!$G$6:$G$58,Census!$G146-17)*(INDEX(Decrements!$D$6:$D$58,Census!$G146+X$5-18)+IF(X$5=$B146,INDEX(Decrements!$F$6:$F$58,Census!$G146+X$5-18),0)+INDEX(Decrements!$E$6:$E$58,Census!$G146+X$5-18)*IF((Census!$F146+X$5)&gt;=Assumptions!$B$11,1,0))*MIN(15/26*Census!$D146*(1+Assumptions!$B$9)^X$5*(INT((Census!$F146+X$5))+IF((Census!$F146+X$5)-INT((Census!$F146+X$5))&gt;0.5,1,0)),Assumptions!$B$10))</f>
        <v>0</v>
      </c>
      <c r="Y146" s="30">
        <f>IF(Y$5&gt;$B146,0,INDEX(Decrements!$G$6:$G$58,Census!$G146+Y$5-18)/INDEX(Decrements!$G$6:$G$58,Census!$G146-17)*(INDEX(Decrements!$D$6:$D$58,Census!$G146+Y$5-18)+IF(Y$5=$B146,INDEX(Decrements!$F$6:$F$58,Census!$G146+Y$5-18),0)+INDEX(Decrements!$E$6:$E$58,Census!$G146+Y$5-18)*IF((Census!$F146+Y$5)&gt;=Assumptions!$B$11,1,0))*MIN(15/26*Census!$D146*(1+Assumptions!$B$9)^Y$5*(INT((Census!$F146+Y$5))+IF((Census!$F146+Y$5)-INT((Census!$F146+Y$5))&gt;0.5,1,0)),Assumptions!$B$10))</f>
        <v>0</v>
      </c>
      <c r="Z146" s="30">
        <f>IF(Z$5&gt;$B146,0,INDEX(Decrements!$G$6:$G$58,Census!$G146+Z$5-18)/INDEX(Decrements!$G$6:$G$58,Census!$G146-17)*(INDEX(Decrements!$D$6:$D$58,Census!$G146+Z$5-18)+IF(Z$5=$B146,INDEX(Decrements!$F$6:$F$58,Census!$G146+Z$5-18),0)+INDEX(Decrements!$E$6:$E$58,Census!$G146+Z$5-18)*IF((Census!$F146+Z$5)&gt;=Assumptions!$B$11,1,0))*MIN(15/26*Census!$D146*(1+Assumptions!$B$9)^Z$5*(INT((Census!$F146+Z$5))+IF((Census!$F146+Z$5)-INT((Census!$F146+Z$5))&gt;0.5,1,0)),Assumptions!$B$10))</f>
        <v>0</v>
      </c>
      <c r="AA146" s="30">
        <f>IF(AA$5&gt;$B146,0,INDEX(Decrements!$G$6:$G$58,Census!$G146+AA$5-18)/INDEX(Decrements!$G$6:$G$58,Census!$G146-17)*(INDEX(Decrements!$D$6:$D$58,Census!$G146+AA$5-18)+IF(AA$5=$B146,INDEX(Decrements!$F$6:$F$58,Census!$G146+AA$5-18),0)+INDEX(Decrements!$E$6:$E$58,Census!$G146+AA$5-18)*IF((Census!$F146+AA$5)&gt;=Assumptions!$B$11,1,0))*MIN(15/26*Census!$D146*(1+Assumptions!$B$9)^AA$5*(INT((Census!$F146+AA$5))+IF((Census!$F146+AA$5)-INT((Census!$F146+AA$5))&gt;0.5,1,0)),Assumptions!$B$10))</f>
        <v>0</v>
      </c>
      <c r="AB146" s="30">
        <f>IF(AB$5&gt;$B146,0,INDEX(Decrements!$G$6:$G$58,Census!$G146+AB$5-18)/INDEX(Decrements!$G$6:$G$58,Census!$G146-17)*(INDEX(Decrements!$D$6:$D$58,Census!$G146+AB$5-18)+IF(AB$5=$B146,INDEX(Decrements!$F$6:$F$58,Census!$G146+AB$5-18),0)+INDEX(Decrements!$E$6:$E$58,Census!$G146+AB$5-18)*IF((Census!$F146+AB$5)&gt;=Assumptions!$B$11,1,0))*MIN(15/26*Census!$D146*(1+Assumptions!$B$9)^AB$5*(INT((Census!$F146+AB$5))+IF((Census!$F146+AB$5)-INT((Census!$F146+AB$5))&gt;0.5,1,0)),Assumptions!$B$10))</f>
        <v>0</v>
      </c>
      <c r="AC146" s="30">
        <f>IF(AC$5&gt;$B146,0,INDEX(Decrements!$G$6:$G$58,Census!$G146+AC$5-18)/INDEX(Decrements!$G$6:$G$58,Census!$G146-17)*(INDEX(Decrements!$D$6:$D$58,Census!$G146+AC$5-18)+IF(AC$5=$B146,INDEX(Decrements!$F$6:$F$58,Census!$G146+AC$5-18),0)+INDEX(Decrements!$E$6:$E$58,Census!$G146+AC$5-18)*IF((Census!$F146+AC$5)&gt;=Assumptions!$B$11,1,0))*MIN(15/26*Census!$D146*(1+Assumptions!$B$9)^AC$5*(INT((Census!$F146+AC$5))+IF((Census!$F146+AC$5)-INT((Census!$F146+AC$5))&gt;0.5,1,0)),Assumptions!$B$10))</f>
        <v>0</v>
      </c>
      <c r="AD146" s="30">
        <f>IF(AD$5&gt;$B146,0,INDEX(Decrements!$G$6:$G$58,Census!$G146+AD$5-18)/INDEX(Decrements!$G$6:$G$58,Census!$G146-17)*(INDEX(Decrements!$D$6:$D$58,Census!$G146+AD$5-18)+IF(AD$5=$B146,INDEX(Decrements!$F$6:$F$58,Census!$G146+AD$5-18),0)+INDEX(Decrements!$E$6:$E$58,Census!$G146+AD$5-18)*IF((Census!$F146+AD$5)&gt;=Assumptions!$B$11,1,0))*MIN(15/26*Census!$D146*(1+Assumptions!$B$9)^AD$5*(INT((Census!$F146+AD$5))+IF((Census!$F146+AD$5)-INT((Census!$F146+AD$5))&gt;0.5,1,0)),Assumptions!$B$10))</f>
        <v>0</v>
      </c>
      <c r="AE146" s="30">
        <f>IF(AE$5&gt;$B146,0,INDEX(Decrements!$G$6:$G$58,Census!$G146+AE$5-18)/INDEX(Decrements!$G$6:$G$58,Census!$G146-17)*(INDEX(Decrements!$D$6:$D$58,Census!$G146+AE$5-18)+IF(AE$5=$B146,INDEX(Decrements!$F$6:$F$58,Census!$G146+AE$5-18),0)+INDEX(Decrements!$E$6:$E$58,Census!$G146+AE$5-18)*IF((Census!$F146+AE$5)&gt;=Assumptions!$B$11,1,0))*MIN(15/26*Census!$D146*(1+Assumptions!$B$9)^AE$5*(INT((Census!$F146+AE$5))+IF((Census!$F146+AE$5)-INT((Census!$F146+AE$5))&gt;0.5,1,0)),Assumptions!$B$10))</f>
        <v>0</v>
      </c>
      <c r="AF146" s="30">
        <f>IF(AF$5&gt;$B146,0,INDEX(Decrements!$G$6:$G$58,Census!$G146+AF$5-18)/INDEX(Decrements!$G$6:$G$58,Census!$G146-17)*(INDEX(Decrements!$D$6:$D$58,Census!$G146+AF$5-18)+IF(AF$5=$B146,INDEX(Decrements!$F$6:$F$58,Census!$G146+AF$5-18),0)+INDEX(Decrements!$E$6:$E$58,Census!$G146+AF$5-18)*IF((Census!$F146+AF$5)&gt;=Assumptions!$B$11,1,0))*MIN(15/26*Census!$D146*(1+Assumptions!$B$9)^AF$5*(INT((Census!$F146+AF$5))+IF((Census!$F146+AF$5)-INT((Census!$F146+AF$5))&gt;0.5,1,0)),Assumptions!$B$10))</f>
        <v>0</v>
      </c>
      <c r="AG146" s="30">
        <f>IF(AG$5&gt;$B146,0,INDEX(Decrements!$G$6:$G$58,Census!$G146+AG$5-18)/INDEX(Decrements!$G$6:$G$58,Census!$G146-17)*(INDEX(Decrements!$D$6:$D$58,Census!$G146+AG$5-18)+IF(AG$5=$B146,INDEX(Decrements!$F$6:$F$58,Census!$G146+AG$5-18),0)+INDEX(Decrements!$E$6:$E$58,Census!$G146+AG$5-18)*IF((Census!$F146+AG$5)&gt;=Assumptions!$B$11,1,0))*MIN(15/26*Census!$D146*(1+Assumptions!$B$9)^AG$5*(INT((Census!$F146+AG$5))+IF((Census!$F146+AG$5)-INT((Census!$F146+AG$5))&gt;0.5,1,0)),Assumptions!$B$10))</f>
        <v>0</v>
      </c>
      <c r="AH146" s="30">
        <f>IF(AH$5&gt;$B146,0,INDEX(Decrements!$G$6:$G$58,Census!$G146+AH$5-18)/INDEX(Decrements!$G$6:$G$58,Census!$G146-17)*(INDEX(Decrements!$D$6:$D$58,Census!$G146+AH$5-18)+IF(AH$5=$B146,INDEX(Decrements!$F$6:$F$58,Census!$G146+AH$5-18),0)+INDEX(Decrements!$E$6:$E$58,Census!$G146+AH$5-18)*IF((Census!$F146+AH$5)&gt;=Assumptions!$B$11,1,0))*MIN(15/26*Census!$D146*(1+Assumptions!$B$9)^AH$5*(INT((Census!$F146+AH$5))+IF((Census!$F146+AH$5)-INT((Census!$F146+AH$5))&gt;0.5,1,0)),Assumptions!$B$10))</f>
        <v>0</v>
      </c>
      <c r="AI146" s="30">
        <f>IF(AI$5&gt;$B146,0,INDEX(Decrements!$G$6:$G$58,Census!$G146+AI$5-18)/INDEX(Decrements!$G$6:$G$58,Census!$G146-17)*(INDEX(Decrements!$D$6:$D$58,Census!$G146+AI$5-18)+IF(AI$5=$B146,INDEX(Decrements!$F$6:$F$58,Census!$G146+AI$5-18),0)+INDEX(Decrements!$E$6:$E$58,Census!$G146+AI$5-18)*IF((Census!$F146+AI$5)&gt;=Assumptions!$B$11,1,0))*MIN(15/26*Census!$D146*(1+Assumptions!$B$9)^AI$5*(INT((Census!$F146+AI$5))+IF((Census!$F146+AI$5)-INT((Census!$F146+AI$5))&gt;0.5,1,0)),Assumptions!$B$10))</f>
        <v>0</v>
      </c>
      <c r="AJ146" s="30">
        <f>IF(AJ$5&gt;$B146,0,INDEX(Decrements!$G$6:$G$58,Census!$G146+AJ$5-18)/INDEX(Decrements!$G$6:$G$58,Census!$G146-17)*(INDEX(Decrements!$D$6:$D$58,Census!$G146+AJ$5-18)+IF(AJ$5=$B146,INDEX(Decrements!$F$6:$F$58,Census!$G146+AJ$5-18),0)+INDEX(Decrements!$E$6:$E$58,Census!$G146+AJ$5-18)*IF((Census!$F146+AJ$5)&gt;=Assumptions!$B$11,1,0))*MIN(15/26*Census!$D146*(1+Assumptions!$B$9)^AJ$5*(INT((Census!$F146+AJ$5))+IF((Census!$F146+AJ$5)-INT((Census!$F146+AJ$5))&gt;0.5,1,0)),Assumptions!$B$10))</f>
        <v>0</v>
      </c>
      <c r="AK146" s="30">
        <f>IF(AK$5&gt;$B146,0,INDEX(Decrements!$G$6:$G$58,Census!$G146+AK$5-18)/INDEX(Decrements!$G$6:$G$58,Census!$G146-17)*(INDEX(Decrements!$D$6:$D$58,Census!$G146+AK$5-18)+IF(AK$5=$B146,INDEX(Decrements!$F$6:$F$58,Census!$G146+AK$5-18),0)+INDEX(Decrements!$E$6:$E$58,Census!$G146+AK$5-18)*IF((Census!$F146+AK$5)&gt;=Assumptions!$B$11,1,0))*MIN(15/26*Census!$D146*(1+Assumptions!$B$9)^AK$5*(INT((Census!$F146+AK$5))+IF((Census!$F146+AK$5)-INT((Census!$F146+AK$5))&gt;0.5,1,0)),Assumptions!$B$10))</f>
        <v>0</v>
      </c>
      <c r="AL146" s="30">
        <f>IF(AL$5&gt;$B146,0,INDEX(Decrements!$G$6:$G$58,Census!$G146+AL$5-18)/INDEX(Decrements!$G$6:$G$58,Census!$G146-17)*(INDEX(Decrements!$D$6:$D$58,Census!$G146+AL$5-18)+IF(AL$5=$B146,INDEX(Decrements!$F$6:$F$58,Census!$G146+AL$5-18),0)+INDEX(Decrements!$E$6:$E$58,Census!$G146+AL$5-18)*IF((Census!$F146+AL$5)&gt;=Assumptions!$B$11,1,0))*MIN(15/26*Census!$D146*(1+Assumptions!$B$9)^AL$5*(INT((Census!$F146+AL$5))+IF((Census!$F146+AL$5)-INT((Census!$F146+AL$5))&gt;0.5,1,0)),Assumptions!$B$10))</f>
        <v>0</v>
      </c>
      <c r="AM146" s="30">
        <f>IF(AM$5&gt;$B146,0,INDEX(Decrements!$G$6:$G$58,Census!$G146+AM$5-18)/INDEX(Decrements!$G$6:$G$58,Census!$G146-17)*(INDEX(Decrements!$D$6:$D$58,Census!$G146+AM$5-18)+IF(AM$5=$B146,INDEX(Decrements!$F$6:$F$58,Census!$G146+AM$5-18),0)+INDEX(Decrements!$E$6:$E$58,Census!$G146+AM$5-18)*IF((Census!$F146+AM$5)&gt;=Assumptions!$B$11,1,0))*MIN(15/26*Census!$D146*(1+Assumptions!$B$9)^AM$5*(INT((Census!$F146+AM$5))+IF((Census!$F146+AM$5)-INT((Census!$F146+AM$5))&gt;0.5,1,0)),Assumptions!$B$10))</f>
        <v>0</v>
      </c>
      <c r="AN146" s="30">
        <f>IF(AN$5&gt;$B146,0,INDEX(Decrements!$G$6:$G$58,Census!$G146+AN$5-18)/INDEX(Decrements!$G$6:$G$58,Census!$G146-17)*(INDEX(Decrements!$D$6:$D$58,Census!$G146+AN$5-18)+IF(AN$5=$B146,INDEX(Decrements!$F$6:$F$58,Census!$G146+AN$5-18),0)+INDEX(Decrements!$E$6:$E$58,Census!$G146+AN$5-18)*IF((Census!$F146+AN$5)&gt;=Assumptions!$B$11,1,0))*MIN(15/26*Census!$D146*(1+Assumptions!$B$9)^AN$5*(INT((Census!$F146+AN$5))+IF((Census!$F146+AN$5)-INT((Census!$F146+AN$5))&gt;0.5,1,0)),Assumptions!$B$10))</f>
        <v>0</v>
      </c>
      <c r="AO146" s="30">
        <f>IF(AO$5&gt;$B146,0,INDEX(Decrements!$G$6:$G$58,Census!$G146+AO$5-18)/INDEX(Decrements!$G$6:$G$58,Census!$G146-17)*(INDEX(Decrements!$D$6:$D$58,Census!$G146+AO$5-18)+IF(AO$5=$B146,INDEX(Decrements!$F$6:$F$58,Census!$G146+AO$5-18),0)+INDEX(Decrements!$E$6:$E$58,Census!$G146+AO$5-18)*IF((Census!$F146+AO$5)&gt;=Assumptions!$B$11,1,0))*MIN(15/26*Census!$D146*(1+Assumptions!$B$9)^AO$5*(INT((Census!$F146+AO$5))+IF((Census!$F146+AO$5)-INT((Census!$F146+AO$5))&gt;0.5,1,0)),Assumptions!$B$10))</f>
        <v>0</v>
      </c>
      <c r="AP146" s="30">
        <f>IF(AP$5&gt;$B146,0,INDEX(Decrements!$G$6:$G$58,Census!$G146+AP$5-18)/INDEX(Decrements!$G$6:$G$58,Census!$G146-17)*(INDEX(Decrements!$D$6:$D$58,Census!$G146+AP$5-18)+IF(AP$5=$B146,INDEX(Decrements!$F$6:$F$58,Census!$G146+AP$5-18),0)+INDEX(Decrements!$E$6:$E$58,Census!$G146+AP$5-18)*IF((Census!$F146+AP$5)&gt;=Assumptions!$B$11,1,0))*MIN(15/26*Census!$D146*(1+Assumptions!$B$9)^AP$5*(INT((Census!$F146+AP$5))+IF((Census!$F146+AP$5)-INT((Census!$F146+AP$5))&gt;0.5,1,0)),Assumptions!$B$10))</f>
        <v>0</v>
      </c>
      <c r="AQ146" s="30">
        <f>IF(AQ$5&gt;$B146,0,INDEX(Decrements!$G$6:$G$58,Census!$G146+AQ$5-18)/INDEX(Decrements!$G$6:$G$58,Census!$G146-17)*(INDEX(Decrements!$D$6:$D$58,Census!$G146+AQ$5-18)+IF(AQ$5=$B146,INDEX(Decrements!$F$6:$F$58,Census!$G146+AQ$5-18),0)+INDEX(Decrements!$E$6:$E$58,Census!$G146+AQ$5-18)*IF((Census!$F146+AQ$5)&gt;=Assumptions!$B$11,1,0))*MIN(15/26*Census!$D146*(1+Assumptions!$B$9)^AQ$5*(INT((Census!$F146+AQ$5))+IF((Census!$F146+AQ$5)-INT((Census!$F146+AQ$5))&gt;0.5,1,0)),Assumptions!$B$10))</f>
        <v>0</v>
      </c>
      <c r="AR146" s="30">
        <f>IF(AR$5&gt;$B146,0,INDEX(Decrements!$G$6:$G$58,Census!$G146+AR$5-18)/INDEX(Decrements!$G$6:$G$58,Census!$G146-17)*(INDEX(Decrements!$D$6:$D$58,Census!$G146+AR$5-18)+IF(AR$5=$B146,INDEX(Decrements!$F$6:$F$58,Census!$G146+AR$5-18),0)+INDEX(Decrements!$E$6:$E$58,Census!$G146+AR$5-18)*IF((Census!$F146+AR$5)&gt;=Assumptions!$B$11,1,0))*MIN(15/26*Census!$D146*(1+Assumptions!$B$9)^AR$5*(INT((Census!$F146+AR$5))+IF((Census!$F146+AR$5)-INT((Census!$F146+AR$5))&gt;0.5,1,0)),Assumptions!$B$10))</f>
        <v>0</v>
      </c>
      <c r="AS146" s="30">
        <f>IF(AS$5&gt;$B146,0,INDEX(Decrements!$G$6:$G$58,Census!$G146+AS$5-18)/INDEX(Decrements!$G$6:$G$58,Census!$G146-17)*(INDEX(Decrements!$D$6:$D$58,Census!$G146+AS$5-18)+IF(AS$5=$B146,INDEX(Decrements!$F$6:$F$58,Census!$G146+AS$5-18),0)+INDEX(Decrements!$E$6:$E$58,Census!$G146+AS$5-18)*IF((Census!$F146+AS$5)&gt;=Assumptions!$B$11,1,0))*MIN(15/26*Census!$D146*(1+Assumptions!$B$9)^AS$5*(INT((Census!$F146+AS$5))+IF((Census!$F146+AS$5)-INT((Census!$F146+AS$5))&gt;0.5,1,0)),Assumptions!$B$10))</f>
        <v>0</v>
      </c>
      <c r="AT146" s="30">
        <f>IF(AT$5&gt;$B146,0,INDEX(Decrements!$G$6:$G$58,Census!$G146+AT$5-18)/INDEX(Decrements!$G$6:$G$58,Census!$G146-17)*(INDEX(Decrements!$D$6:$D$58,Census!$G146+AT$5-18)+IF(AT$5=$B146,INDEX(Decrements!$F$6:$F$58,Census!$G146+AT$5-18),0)+INDEX(Decrements!$E$6:$E$58,Census!$G146+AT$5-18)*IF((Census!$F146+AT$5)&gt;=Assumptions!$B$11,1,0))*MIN(15/26*Census!$D146*(1+Assumptions!$B$9)^AT$5*(INT((Census!$F146+AT$5))+IF((Census!$F146+AT$5)-INT((Census!$F146+AT$5))&gt;0.5,1,0)),Assumptions!$B$10))</f>
        <v>0</v>
      </c>
      <c r="AU146" s="30">
        <f>IF(AU$5&gt;$B146,0,INDEX(Decrements!$G$6:$G$58,Census!$G146+AU$5-18)/INDEX(Decrements!$G$6:$G$58,Census!$G146-17)*(INDEX(Decrements!$D$6:$D$58,Census!$G146+AU$5-18)+IF(AU$5=$B146,INDEX(Decrements!$F$6:$F$58,Census!$G146+AU$5-18),0)+INDEX(Decrements!$E$6:$E$58,Census!$G146+AU$5-18)*IF((Census!$F146+AU$5)&gt;=Assumptions!$B$11,1,0))*MIN(15/26*Census!$D146*(1+Assumptions!$B$9)^AU$5*(INT((Census!$F146+AU$5))+IF((Census!$F146+AU$5)-INT((Census!$F146+AU$5))&gt;0.5,1,0)),Assumptions!$B$10))</f>
        <v>0</v>
      </c>
    </row>
    <row r="147" spans="1:47" x14ac:dyDescent="0.3">
      <c r="A147" s="10" t="str">
        <f>Census!A147</f>
        <v>E142</v>
      </c>
      <c r="B147" s="29">
        <f>Census!H147</f>
        <v>19</v>
      </c>
      <c r="C147" s="30">
        <f>IF(C$5&gt;$B147,0,INDEX(Decrements!$G$6:$G$58,Census!$G147+C$5-18)/INDEX(Decrements!$G$6:$G$58,Census!$G147-17)*(INDEX(Decrements!$D$6:$D$58,Census!$G147+C$5-18)+IF(C$5=$B147,INDEX(Decrements!$F$6:$F$58,Census!$G147+C$5-18),0)+INDEX(Decrements!$E$6:$E$58,Census!$G147+C$5-18)*IF((Census!$F147+C$5)&gt;=Assumptions!$B$11,1,0))*MIN(15/26*Census!$D147*(1+Assumptions!$B$9)^C$5*(INT((Census!$F147+C$5))+IF((Census!$F147+C$5)-INT((Census!$F147+C$5))&gt;0.5,1,0)),Assumptions!$B$10))</f>
        <v>5505.4411655671292</v>
      </c>
      <c r="D147" s="30">
        <f>IF(D$5&gt;$B147,0,INDEX(Decrements!$G$6:$G$58,Census!$G147+D$5-18)/INDEX(Decrements!$G$6:$G$58,Census!$G147-17)*(INDEX(Decrements!$D$6:$D$58,Census!$G147+D$5-18)+IF(D$5=$B147,INDEX(Decrements!$F$6:$F$58,Census!$G147+D$5-18),0)+INDEX(Decrements!$E$6:$E$58,Census!$G147+D$5-18)*IF((Census!$F147+D$5)&gt;=Assumptions!$B$11,1,0))*MIN(15/26*Census!$D147*(1+Assumptions!$B$9)^D$5*(INT((Census!$F147+D$5))+IF((Census!$F147+D$5)-INT((Census!$F147+D$5))&gt;0.5,1,0)),Assumptions!$B$10))</f>
        <v>6781.5704025683362</v>
      </c>
      <c r="E147" s="30">
        <f>IF(E$5&gt;$B147,0,INDEX(Decrements!$G$6:$G$58,Census!$G147+E$5-18)/INDEX(Decrements!$G$6:$G$58,Census!$G147-17)*(INDEX(Decrements!$D$6:$D$58,Census!$G147+E$5-18)+IF(E$5=$B147,INDEX(Decrements!$F$6:$F$58,Census!$G147+E$5-18),0)+INDEX(Decrements!$E$6:$E$58,Census!$G147+E$5-18)*IF((Census!$F147+E$5)&gt;=Assumptions!$B$11,1,0))*MIN(15/26*Census!$D147*(1+Assumptions!$B$9)^E$5*(INT((Census!$F147+E$5))+IF((Census!$F147+E$5)-INT((Census!$F147+E$5))&gt;0.5,1,0)),Assumptions!$B$10))</f>
        <v>8122.137422922634</v>
      </c>
      <c r="F147" s="30">
        <f>IF(F$5&gt;$B147,0,INDEX(Decrements!$G$6:$G$58,Census!$G147+F$5-18)/INDEX(Decrements!$G$6:$G$58,Census!$G147-17)*(INDEX(Decrements!$D$6:$D$58,Census!$G147+F$5-18)+IF(F$5=$B147,INDEX(Decrements!$F$6:$F$58,Census!$G147+F$5-18),0)+INDEX(Decrements!$E$6:$E$58,Census!$G147+F$5-18)*IF((Census!$F147+F$5)&gt;=Assumptions!$B$11,1,0))*MIN(15/26*Census!$D147*(1+Assumptions!$B$9)^F$5*(INT((Census!$F147+F$5))+IF((Census!$F147+F$5)-INT((Census!$F147+F$5))&gt;0.5,1,0)),Assumptions!$B$10))</f>
        <v>9530.0493740752736</v>
      </c>
      <c r="G147" s="30">
        <f>IF(G$5&gt;$B147,0,INDEX(Decrements!$G$6:$G$58,Census!$G147+G$5-18)/INDEX(Decrements!$G$6:$G$58,Census!$G147-17)*(INDEX(Decrements!$D$6:$D$58,Census!$G147+G$5-18)+IF(G$5=$B147,INDEX(Decrements!$F$6:$F$58,Census!$G147+G$5-18),0)+INDEX(Decrements!$E$6:$E$58,Census!$G147+G$5-18)*IF((Census!$F147+G$5)&gt;=Assumptions!$B$11,1,0))*MIN(15/26*Census!$D147*(1+Assumptions!$B$9)^G$5*(INT((Census!$F147+G$5))+IF((Census!$F147+G$5)-INT((Census!$F147+G$5))&gt;0.5,1,0)),Assumptions!$B$10))</f>
        <v>6768.7984060321014</v>
      </c>
      <c r="H147" s="30">
        <f>IF(H$5&gt;$B147,0,INDEX(Decrements!$G$6:$G$58,Census!$G147+H$5-18)/INDEX(Decrements!$G$6:$G$58,Census!$G147-17)*(INDEX(Decrements!$D$6:$D$58,Census!$G147+H$5-18)+IF(H$5=$B147,INDEX(Decrements!$F$6:$F$58,Census!$G147+H$5-18),0)+INDEX(Decrements!$E$6:$E$58,Census!$G147+H$5-18)*IF((Census!$F147+H$5)&gt;=Assumptions!$B$11,1,0))*MIN(15/26*Census!$D147*(1+Assumptions!$B$9)^H$5*(INT((Census!$F147+H$5))+IF((Census!$F147+H$5)-INT((Census!$F147+H$5))&gt;0.5,1,0)),Assumptions!$B$10))</f>
        <v>7900.2283230116482</v>
      </c>
      <c r="I147" s="30">
        <f>IF(I$5&gt;$B147,0,INDEX(Decrements!$G$6:$G$58,Census!$G147+I$5-18)/INDEX(Decrements!$G$6:$G$58,Census!$G147-17)*(INDEX(Decrements!$D$6:$D$58,Census!$G147+I$5-18)+IF(I$5=$B147,INDEX(Decrements!$F$6:$F$58,Census!$G147+I$5-18),0)+INDEX(Decrements!$E$6:$E$58,Census!$G147+I$5-18)*IF((Census!$F147+I$5)&gt;=Assumptions!$B$11,1,0))*MIN(15/26*Census!$D147*(1+Assumptions!$B$9)^I$5*(INT((Census!$F147+I$5))+IF((Census!$F147+I$5)-INT((Census!$F147+I$5))&gt;0.5,1,0)),Assumptions!$B$10))</f>
        <v>9131.175781095757</v>
      </c>
      <c r="J147" s="30">
        <f>IF(J$5&gt;$B147,0,INDEX(Decrements!$G$6:$G$58,Census!$G147+J$5-18)/INDEX(Decrements!$G$6:$G$58,Census!$G147-17)*(INDEX(Decrements!$D$6:$D$58,Census!$G147+J$5-18)+IF(J$5=$B147,INDEX(Decrements!$F$6:$F$58,Census!$G147+J$5-18),0)+INDEX(Decrements!$E$6:$E$58,Census!$G147+J$5-18)*IF((Census!$F147+J$5)&gt;=Assumptions!$B$11,1,0))*MIN(15/26*Census!$D147*(1+Assumptions!$B$9)^J$5*(INT((Census!$F147+J$5))+IF((Census!$F147+J$5)-INT((Census!$F147+J$5))&gt;0.5,1,0)),Assumptions!$B$10))</f>
        <v>10469.926525302302</v>
      </c>
      <c r="K147" s="30">
        <f>IF(K$5&gt;$B147,0,INDEX(Decrements!$G$6:$G$58,Census!$G147+K$5-18)/INDEX(Decrements!$G$6:$G$58,Census!$G147-17)*(INDEX(Decrements!$D$6:$D$58,Census!$G147+K$5-18)+IF(K$5=$B147,INDEX(Decrements!$F$6:$F$58,Census!$G147+K$5-18),0)+INDEX(Decrements!$E$6:$E$58,Census!$G147+K$5-18)*IF((Census!$F147+K$5)&gt;=Assumptions!$B$11,1,0))*MIN(15/26*Census!$D147*(1+Assumptions!$B$9)^K$5*(INT((Census!$F147+K$5))+IF((Census!$F147+K$5)-INT((Census!$F147+K$5))&gt;0.5,1,0)),Assumptions!$B$10))</f>
        <v>11925.563210603163</v>
      </c>
      <c r="L147" s="30">
        <f>IF(L$5&gt;$B147,0,INDEX(Decrements!$G$6:$G$58,Census!$G147+L$5-18)/INDEX(Decrements!$G$6:$G$58,Census!$G147-17)*(INDEX(Decrements!$D$6:$D$58,Census!$G147+L$5-18)+IF(L$5=$B147,INDEX(Decrements!$F$6:$F$58,Census!$G147+L$5-18),0)+INDEX(Decrements!$E$6:$E$58,Census!$G147+L$5-18)*IF((Census!$F147+L$5)&gt;=Assumptions!$B$11,1,0))*MIN(15/26*Census!$D147*(1+Assumptions!$B$9)^L$5*(INT((Census!$F147+L$5))+IF((Census!$F147+L$5)-INT((Census!$F147+L$5))&gt;0.5,1,0)),Assumptions!$B$10))</f>
        <v>9398.1986325833423</v>
      </c>
      <c r="M147" s="30">
        <f>IF(M$5&gt;$B147,0,INDEX(Decrements!$G$6:$G$58,Census!$G147+M$5-18)/INDEX(Decrements!$G$6:$G$58,Census!$G147-17)*(INDEX(Decrements!$D$6:$D$58,Census!$G147+M$5-18)+IF(M$5=$B147,INDEX(Decrements!$F$6:$F$58,Census!$G147+M$5-18),0)+INDEX(Decrements!$E$6:$E$58,Census!$G147+M$5-18)*IF((Census!$F147+M$5)&gt;=Assumptions!$B$11,1,0))*MIN(15/26*Census!$D147*(1+Assumptions!$B$9)^M$5*(INT((Census!$F147+M$5))+IF((Census!$F147+M$5)-INT((Census!$F147+M$5))&gt;0.5,1,0)),Assumptions!$B$10))</f>
        <v>10739.25911738258</v>
      </c>
      <c r="N147" s="30">
        <f>IF(N$5&gt;$B147,0,INDEX(Decrements!$G$6:$G$58,Census!$G147+N$5-18)/INDEX(Decrements!$G$6:$G$58,Census!$G147-17)*(INDEX(Decrements!$D$6:$D$58,Census!$G147+N$5-18)+IF(N$5=$B147,INDEX(Decrements!$F$6:$F$58,Census!$G147+N$5-18),0)+INDEX(Decrements!$E$6:$E$58,Census!$G147+N$5-18)*IF((Census!$F147+N$5)&gt;=Assumptions!$B$11,1,0))*MIN(15/26*Census!$D147*(1+Assumptions!$B$9)^N$5*(INT((Census!$F147+N$5))+IF((Census!$F147+N$5)-INT((Census!$F147+N$5))&gt;0.5,1,0)),Assumptions!$B$10))</f>
        <v>12225.386297814144</v>
      </c>
      <c r="O147" s="30">
        <f>IF(O$5&gt;$B147,0,INDEX(Decrements!$G$6:$G$58,Census!$G147+O$5-18)/INDEX(Decrements!$G$6:$G$58,Census!$G147-17)*(INDEX(Decrements!$D$6:$D$58,Census!$G147+O$5-18)+IF(O$5=$B147,INDEX(Decrements!$F$6:$F$58,Census!$G147+O$5-18),0)+INDEX(Decrements!$E$6:$E$58,Census!$G147+O$5-18)*IF((Census!$F147+O$5)&gt;=Assumptions!$B$11,1,0))*MIN(15/26*Census!$D147*(1+Assumptions!$B$9)^O$5*(INT((Census!$F147+O$5))+IF((Census!$F147+O$5)-INT((Census!$F147+O$5))&gt;0.5,1,0)),Assumptions!$B$10))</f>
        <v>13872.77196753908</v>
      </c>
      <c r="P147" s="30">
        <f>IF(P$5&gt;$B147,0,INDEX(Decrements!$G$6:$G$58,Census!$G147+P$5-18)/INDEX(Decrements!$G$6:$G$58,Census!$G147-17)*(INDEX(Decrements!$D$6:$D$58,Census!$G147+P$5-18)+IF(P$5=$B147,INDEX(Decrements!$F$6:$F$58,Census!$G147+P$5-18),0)+INDEX(Decrements!$E$6:$E$58,Census!$G147+P$5-18)*IF((Census!$F147+P$5)&gt;=Assumptions!$B$11,1,0))*MIN(15/26*Census!$D147*(1+Assumptions!$B$9)^P$5*(INT((Census!$F147+P$5))+IF((Census!$F147+P$5)-INT((Census!$F147+P$5))&gt;0.5,1,0)),Assumptions!$B$10))</f>
        <v>15699.652260855833</v>
      </c>
      <c r="Q147" s="30">
        <f>IF(Q$5&gt;$B147,0,INDEX(Decrements!$G$6:$G$58,Census!$G147+Q$5-18)/INDEX(Decrements!$G$6:$G$58,Census!$G147-17)*(INDEX(Decrements!$D$6:$D$58,Census!$G147+Q$5-18)+IF(Q$5=$B147,INDEX(Decrements!$F$6:$F$58,Census!$G147+Q$5-18),0)+INDEX(Decrements!$E$6:$E$58,Census!$G147+Q$5-18)*IF((Census!$F147+Q$5)&gt;=Assumptions!$B$11,1,0))*MIN(15/26*Census!$D147*(1+Assumptions!$B$9)^Q$5*(INT((Census!$F147+Q$5))+IF((Census!$F147+Q$5)-INT((Census!$F147+Q$5))&gt;0.5,1,0)),Assumptions!$B$10))</f>
        <v>10454.674614132715</v>
      </c>
      <c r="R147" s="30">
        <f>IF(R$5&gt;$B147,0,INDEX(Decrements!$G$6:$G$58,Census!$G147+R$5-18)/INDEX(Decrements!$G$6:$G$58,Census!$G147-17)*(INDEX(Decrements!$D$6:$D$58,Census!$G147+R$5-18)+IF(R$5=$B147,INDEX(Decrements!$F$6:$F$58,Census!$G147+R$5-18),0)+INDEX(Decrements!$E$6:$E$58,Census!$G147+R$5-18)*IF((Census!$F147+R$5)&gt;=Assumptions!$B$11,1,0))*MIN(15/26*Census!$D147*(1+Assumptions!$B$9)^R$5*(INT((Census!$F147+R$5))+IF((Census!$F147+R$5)-INT((Census!$F147+R$5))&gt;0.5,1,0)),Assumptions!$B$10))</f>
        <v>12035.167642666416</v>
      </c>
      <c r="S147" s="30">
        <f>IF(S$5&gt;$B147,0,INDEX(Decrements!$G$6:$G$58,Census!$G147+S$5-18)/INDEX(Decrements!$G$6:$G$58,Census!$G147-17)*(INDEX(Decrements!$D$6:$D$58,Census!$G147+S$5-18)+IF(S$5=$B147,INDEX(Decrements!$F$6:$F$58,Census!$G147+S$5-18),0)+INDEX(Decrements!$E$6:$E$58,Census!$G147+S$5-18)*IF((Census!$F147+S$5)&gt;=Assumptions!$B$11,1,0))*MIN(15/26*Census!$D147*(1+Assumptions!$B$9)^S$5*(INT((Census!$F147+S$5))+IF((Census!$F147+S$5)-INT((Census!$F147+S$5))&gt;0.5,1,0)),Assumptions!$B$10))</f>
        <v>13840.298100673926</v>
      </c>
      <c r="T147" s="30">
        <f>IF(T$5&gt;$B147,0,INDEX(Decrements!$G$6:$G$58,Census!$G147+T$5-18)/INDEX(Decrements!$G$6:$G$58,Census!$G147-17)*(INDEX(Decrements!$D$6:$D$58,Census!$G147+T$5-18)+IF(T$5=$B147,INDEX(Decrements!$F$6:$F$58,Census!$G147+T$5-18),0)+INDEX(Decrements!$E$6:$E$58,Census!$G147+T$5-18)*IF((Census!$F147+T$5)&gt;=Assumptions!$B$11,1,0))*MIN(15/26*Census!$D147*(1+Assumptions!$B$9)^T$5*(INT((Census!$F147+T$5))+IF((Census!$F147+T$5)-INT((Census!$F147+T$5))&gt;0.5,1,0)),Assumptions!$B$10))</f>
        <v>15903.934955542696</v>
      </c>
      <c r="U147" s="30">
        <f>IF(U$5&gt;$B147,0,INDEX(Decrements!$G$6:$G$58,Census!$G147+U$5-18)/INDEX(Decrements!$G$6:$G$58,Census!$G147-17)*(INDEX(Decrements!$D$6:$D$58,Census!$G147+U$5-18)+IF(U$5=$B147,INDEX(Decrements!$F$6:$F$58,Census!$G147+U$5-18),0)+INDEX(Decrements!$E$6:$E$58,Census!$G147+U$5-18)*IF((Census!$F147+U$5)&gt;=Assumptions!$B$11,1,0))*MIN(15/26*Census!$D147*(1+Assumptions!$B$9)^U$5*(INT((Census!$F147+U$5))+IF((Census!$F147+U$5)-INT((Census!$F147+U$5))&gt;0.5,1,0)),Assumptions!$B$10))</f>
        <v>1132567.8431152138</v>
      </c>
      <c r="V147" s="30">
        <f>IF(V$5&gt;$B147,0,INDEX(Decrements!$G$6:$G$58,Census!$G147+V$5-18)/INDEX(Decrements!$G$6:$G$58,Census!$G147-17)*(INDEX(Decrements!$D$6:$D$58,Census!$G147+V$5-18)+IF(V$5=$B147,INDEX(Decrements!$F$6:$F$58,Census!$G147+V$5-18),0)+INDEX(Decrements!$E$6:$E$58,Census!$G147+V$5-18)*IF((Census!$F147+V$5)&gt;=Assumptions!$B$11,1,0))*MIN(15/26*Census!$D147*(1+Assumptions!$B$9)^V$5*(INT((Census!$F147+V$5))+IF((Census!$F147+V$5)-INT((Census!$F147+V$5))&gt;0.5,1,0)),Assumptions!$B$10))</f>
        <v>0</v>
      </c>
      <c r="W147" s="30">
        <f>IF(W$5&gt;$B147,0,INDEX(Decrements!$G$6:$G$58,Census!$G147+W$5-18)/INDEX(Decrements!$G$6:$G$58,Census!$G147-17)*(INDEX(Decrements!$D$6:$D$58,Census!$G147+W$5-18)+IF(W$5=$B147,INDEX(Decrements!$F$6:$F$58,Census!$G147+W$5-18),0)+INDEX(Decrements!$E$6:$E$58,Census!$G147+W$5-18)*IF((Census!$F147+W$5)&gt;=Assumptions!$B$11,1,0))*MIN(15/26*Census!$D147*(1+Assumptions!$B$9)^W$5*(INT((Census!$F147+W$5))+IF((Census!$F147+W$5)-INT((Census!$F147+W$5))&gt;0.5,1,0)),Assumptions!$B$10))</f>
        <v>0</v>
      </c>
      <c r="X147" s="30">
        <f>IF(X$5&gt;$B147,0,INDEX(Decrements!$G$6:$G$58,Census!$G147+X$5-18)/INDEX(Decrements!$G$6:$G$58,Census!$G147-17)*(INDEX(Decrements!$D$6:$D$58,Census!$G147+X$5-18)+IF(X$5=$B147,INDEX(Decrements!$F$6:$F$58,Census!$G147+X$5-18),0)+INDEX(Decrements!$E$6:$E$58,Census!$G147+X$5-18)*IF((Census!$F147+X$5)&gt;=Assumptions!$B$11,1,0))*MIN(15/26*Census!$D147*(1+Assumptions!$B$9)^X$5*(INT((Census!$F147+X$5))+IF((Census!$F147+X$5)-INT((Census!$F147+X$5))&gt;0.5,1,0)),Assumptions!$B$10))</f>
        <v>0</v>
      </c>
      <c r="Y147" s="30">
        <f>IF(Y$5&gt;$B147,0,INDEX(Decrements!$G$6:$G$58,Census!$G147+Y$5-18)/INDEX(Decrements!$G$6:$G$58,Census!$G147-17)*(INDEX(Decrements!$D$6:$D$58,Census!$G147+Y$5-18)+IF(Y$5=$B147,INDEX(Decrements!$F$6:$F$58,Census!$G147+Y$5-18),0)+INDEX(Decrements!$E$6:$E$58,Census!$G147+Y$5-18)*IF((Census!$F147+Y$5)&gt;=Assumptions!$B$11,1,0))*MIN(15/26*Census!$D147*(1+Assumptions!$B$9)^Y$5*(INT((Census!$F147+Y$5))+IF((Census!$F147+Y$5)-INT((Census!$F147+Y$5))&gt;0.5,1,0)),Assumptions!$B$10))</f>
        <v>0</v>
      </c>
      <c r="Z147" s="30">
        <f>IF(Z$5&gt;$B147,0,INDEX(Decrements!$G$6:$G$58,Census!$G147+Z$5-18)/INDEX(Decrements!$G$6:$G$58,Census!$G147-17)*(INDEX(Decrements!$D$6:$D$58,Census!$G147+Z$5-18)+IF(Z$5=$B147,INDEX(Decrements!$F$6:$F$58,Census!$G147+Z$5-18),0)+INDEX(Decrements!$E$6:$E$58,Census!$G147+Z$5-18)*IF((Census!$F147+Z$5)&gt;=Assumptions!$B$11,1,0))*MIN(15/26*Census!$D147*(1+Assumptions!$B$9)^Z$5*(INT((Census!$F147+Z$5))+IF((Census!$F147+Z$5)-INT((Census!$F147+Z$5))&gt;0.5,1,0)),Assumptions!$B$10))</f>
        <v>0</v>
      </c>
      <c r="AA147" s="30">
        <f>IF(AA$5&gt;$B147,0,INDEX(Decrements!$G$6:$G$58,Census!$G147+AA$5-18)/INDEX(Decrements!$G$6:$G$58,Census!$G147-17)*(INDEX(Decrements!$D$6:$D$58,Census!$G147+AA$5-18)+IF(AA$5=$B147,INDEX(Decrements!$F$6:$F$58,Census!$G147+AA$5-18),0)+INDEX(Decrements!$E$6:$E$58,Census!$G147+AA$5-18)*IF((Census!$F147+AA$5)&gt;=Assumptions!$B$11,1,0))*MIN(15/26*Census!$D147*(1+Assumptions!$B$9)^AA$5*(INT((Census!$F147+AA$5))+IF((Census!$F147+AA$5)-INT((Census!$F147+AA$5))&gt;0.5,1,0)),Assumptions!$B$10))</f>
        <v>0</v>
      </c>
      <c r="AB147" s="30">
        <f>IF(AB$5&gt;$B147,0,INDEX(Decrements!$G$6:$G$58,Census!$G147+AB$5-18)/INDEX(Decrements!$G$6:$G$58,Census!$G147-17)*(INDEX(Decrements!$D$6:$D$58,Census!$G147+AB$5-18)+IF(AB$5=$B147,INDEX(Decrements!$F$6:$F$58,Census!$G147+AB$5-18),0)+INDEX(Decrements!$E$6:$E$58,Census!$G147+AB$5-18)*IF((Census!$F147+AB$5)&gt;=Assumptions!$B$11,1,0))*MIN(15/26*Census!$D147*(1+Assumptions!$B$9)^AB$5*(INT((Census!$F147+AB$5))+IF((Census!$F147+AB$5)-INT((Census!$F147+AB$5))&gt;0.5,1,0)),Assumptions!$B$10))</f>
        <v>0</v>
      </c>
      <c r="AC147" s="30">
        <f>IF(AC$5&gt;$B147,0,INDEX(Decrements!$G$6:$G$58,Census!$G147+AC$5-18)/INDEX(Decrements!$G$6:$G$58,Census!$G147-17)*(INDEX(Decrements!$D$6:$D$58,Census!$G147+AC$5-18)+IF(AC$5=$B147,INDEX(Decrements!$F$6:$F$58,Census!$G147+AC$5-18),0)+INDEX(Decrements!$E$6:$E$58,Census!$G147+AC$5-18)*IF((Census!$F147+AC$5)&gt;=Assumptions!$B$11,1,0))*MIN(15/26*Census!$D147*(1+Assumptions!$B$9)^AC$5*(INT((Census!$F147+AC$5))+IF((Census!$F147+AC$5)-INT((Census!$F147+AC$5))&gt;0.5,1,0)),Assumptions!$B$10))</f>
        <v>0</v>
      </c>
      <c r="AD147" s="30">
        <f>IF(AD$5&gt;$B147,0,INDEX(Decrements!$G$6:$G$58,Census!$G147+AD$5-18)/INDEX(Decrements!$G$6:$G$58,Census!$G147-17)*(INDEX(Decrements!$D$6:$D$58,Census!$G147+AD$5-18)+IF(AD$5=$B147,INDEX(Decrements!$F$6:$F$58,Census!$G147+AD$5-18),0)+INDEX(Decrements!$E$6:$E$58,Census!$G147+AD$5-18)*IF((Census!$F147+AD$5)&gt;=Assumptions!$B$11,1,0))*MIN(15/26*Census!$D147*(1+Assumptions!$B$9)^AD$5*(INT((Census!$F147+AD$5))+IF((Census!$F147+AD$5)-INT((Census!$F147+AD$5))&gt;0.5,1,0)),Assumptions!$B$10))</f>
        <v>0</v>
      </c>
      <c r="AE147" s="30">
        <f>IF(AE$5&gt;$B147,0,INDEX(Decrements!$G$6:$G$58,Census!$G147+AE$5-18)/INDEX(Decrements!$G$6:$G$58,Census!$G147-17)*(INDEX(Decrements!$D$6:$D$58,Census!$G147+AE$5-18)+IF(AE$5=$B147,INDEX(Decrements!$F$6:$F$58,Census!$G147+AE$5-18),0)+INDEX(Decrements!$E$6:$E$58,Census!$G147+AE$5-18)*IF((Census!$F147+AE$5)&gt;=Assumptions!$B$11,1,0))*MIN(15/26*Census!$D147*(1+Assumptions!$B$9)^AE$5*(INT((Census!$F147+AE$5))+IF((Census!$F147+AE$5)-INT((Census!$F147+AE$5))&gt;0.5,1,0)),Assumptions!$B$10))</f>
        <v>0</v>
      </c>
      <c r="AF147" s="30">
        <f>IF(AF$5&gt;$B147,0,INDEX(Decrements!$G$6:$G$58,Census!$G147+AF$5-18)/INDEX(Decrements!$G$6:$G$58,Census!$G147-17)*(INDEX(Decrements!$D$6:$D$58,Census!$G147+AF$5-18)+IF(AF$5=$B147,INDEX(Decrements!$F$6:$F$58,Census!$G147+AF$5-18),0)+INDEX(Decrements!$E$6:$E$58,Census!$G147+AF$5-18)*IF((Census!$F147+AF$5)&gt;=Assumptions!$B$11,1,0))*MIN(15/26*Census!$D147*(1+Assumptions!$B$9)^AF$5*(INT((Census!$F147+AF$5))+IF((Census!$F147+AF$5)-INT((Census!$F147+AF$5))&gt;0.5,1,0)),Assumptions!$B$10))</f>
        <v>0</v>
      </c>
      <c r="AG147" s="30">
        <f>IF(AG$5&gt;$B147,0,INDEX(Decrements!$G$6:$G$58,Census!$G147+AG$5-18)/INDEX(Decrements!$G$6:$G$58,Census!$G147-17)*(INDEX(Decrements!$D$6:$D$58,Census!$G147+AG$5-18)+IF(AG$5=$B147,INDEX(Decrements!$F$6:$F$58,Census!$G147+AG$5-18),0)+INDEX(Decrements!$E$6:$E$58,Census!$G147+AG$5-18)*IF((Census!$F147+AG$5)&gt;=Assumptions!$B$11,1,0))*MIN(15/26*Census!$D147*(1+Assumptions!$B$9)^AG$5*(INT((Census!$F147+AG$5))+IF((Census!$F147+AG$5)-INT((Census!$F147+AG$5))&gt;0.5,1,0)),Assumptions!$B$10))</f>
        <v>0</v>
      </c>
      <c r="AH147" s="30">
        <f>IF(AH$5&gt;$B147,0,INDEX(Decrements!$G$6:$G$58,Census!$G147+AH$5-18)/INDEX(Decrements!$G$6:$G$58,Census!$G147-17)*(INDEX(Decrements!$D$6:$D$58,Census!$G147+AH$5-18)+IF(AH$5=$B147,INDEX(Decrements!$F$6:$F$58,Census!$G147+AH$5-18),0)+INDEX(Decrements!$E$6:$E$58,Census!$G147+AH$5-18)*IF((Census!$F147+AH$5)&gt;=Assumptions!$B$11,1,0))*MIN(15/26*Census!$D147*(1+Assumptions!$B$9)^AH$5*(INT((Census!$F147+AH$5))+IF((Census!$F147+AH$5)-INT((Census!$F147+AH$5))&gt;0.5,1,0)),Assumptions!$B$10))</f>
        <v>0</v>
      </c>
      <c r="AI147" s="30">
        <f>IF(AI$5&gt;$B147,0,INDEX(Decrements!$G$6:$G$58,Census!$G147+AI$5-18)/INDEX(Decrements!$G$6:$G$58,Census!$G147-17)*(INDEX(Decrements!$D$6:$D$58,Census!$G147+AI$5-18)+IF(AI$5=$B147,INDEX(Decrements!$F$6:$F$58,Census!$G147+AI$5-18),0)+INDEX(Decrements!$E$6:$E$58,Census!$G147+AI$5-18)*IF((Census!$F147+AI$5)&gt;=Assumptions!$B$11,1,0))*MIN(15/26*Census!$D147*(1+Assumptions!$B$9)^AI$5*(INT((Census!$F147+AI$5))+IF((Census!$F147+AI$5)-INT((Census!$F147+AI$5))&gt;0.5,1,0)),Assumptions!$B$10))</f>
        <v>0</v>
      </c>
      <c r="AJ147" s="30">
        <f>IF(AJ$5&gt;$B147,0,INDEX(Decrements!$G$6:$G$58,Census!$G147+AJ$5-18)/INDEX(Decrements!$G$6:$G$58,Census!$G147-17)*(INDEX(Decrements!$D$6:$D$58,Census!$G147+AJ$5-18)+IF(AJ$5=$B147,INDEX(Decrements!$F$6:$F$58,Census!$G147+AJ$5-18),0)+INDEX(Decrements!$E$6:$E$58,Census!$G147+AJ$5-18)*IF((Census!$F147+AJ$5)&gt;=Assumptions!$B$11,1,0))*MIN(15/26*Census!$D147*(1+Assumptions!$B$9)^AJ$5*(INT((Census!$F147+AJ$5))+IF((Census!$F147+AJ$5)-INT((Census!$F147+AJ$5))&gt;0.5,1,0)),Assumptions!$B$10))</f>
        <v>0</v>
      </c>
      <c r="AK147" s="30">
        <f>IF(AK$5&gt;$B147,0,INDEX(Decrements!$G$6:$G$58,Census!$G147+AK$5-18)/INDEX(Decrements!$G$6:$G$58,Census!$G147-17)*(INDEX(Decrements!$D$6:$D$58,Census!$G147+AK$5-18)+IF(AK$5=$B147,INDEX(Decrements!$F$6:$F$58,Census!$G147+AK$5-18),0)+INDEX(Decrements!$E$6:$E$58,Census!$G147+AK$5-18)*IF((Census!$F147+AK$5)&gt;=Assumptions!$B$11,1,0))*MIN(15/26*Census!$D147*(1+Assumptions!$B$9)^AK$5*(INT((Census!$F147+AK$5))+IF((Census!$F147+AK$5)-INT((Census!$F147+AK$5))&gt;0.5,1,0)),Assumptions!$B$10))</f>
        <v>0</v>
      </c>
      <c r="AL147" s="30">
        <f>IF(AL$5&gt;$B147,0,INDEX(Decrements!$G$6:$G$58,Census!$G147+AL$5-18)/INDEX(Decrements!$G$6:$G$58,Census!$G147-17)*(INDEX(Decrements!$D$6:$D$58,Census!$G147+AL$5-18)+IF(AL$5=$B147,INDEX(Decrements!$F$6:$F$58,Census!$G147+AL$5-18),0)+INDEX(Decrements!$E$6:$E$58,Census!$G147+AL$5-18)*IF((Census!$F147+AL$5)&gt;=Assumptions!$B$11,1,0))*MIN(15/26*Census!$D147*(1+Assumptions!$B$9)^AL$5*(INT((Census!$F147+AL$5))+IF((Census!$F147+AL$5)-INT((Census!$F147+AL$5))&gt;0.5,1,0)),Assumptions!$B$10))</f>
        <v>0</v>
      </c>
      <c r="AM147" s="30">
        <f>IF(AM$5&gt;$B147,0,INDEX(Decrements!$G$6:$G$58,Census!$G147+AM$5-18)/INDEX(Decrements!$G$6:$G$58,Census!$G147-17)*(INDEX(Decrements!$D$6:$D$58,Census!$G147+AM$5-18)+IF(AM$5=$B147,INDEX(Decrements!$F$6:$F$58,Census!$G147+AM$5-18),0)+INDEX(Decrements!$E$6:$E$58,Census!$G147+AM$5-18)*IF((Census!$F147+AM$5)&gt;=Assumptions!$B$11,1,0))*MIN(15/26*Census!$D147*(1+Assumptions!$B$9)^AM$5*(INT((Census!$F147+AM$5))+IF((Census!$F147+AM$5)-INT((Census!$F147+AM$5))&gt;0.5,1,0)),Assumptions!$B$10))</f>
        <v>0</v>
      </c>
      <c r="AN147" s="30">
        <f>IF(AN$5&gt;$B147,0,INDEX(Decrements!$G$6:$G$58,Census!$G147+AN$5-18)/INDEX(Decrements!$G$6:$G$58,Census!$G147-17)*(INDEX(Decrements!$D$6:$D$58,Census!$G147+AN$5-18)+IF(AN$5=$B147,INDEX(Decrements!$F$6:$F$58,Census!$G147+AN$5-18),0)+INDEX(Decrements!$E$6:$E$58,Census!$G147+AN$5-18)*IF((Census!$F147+AN$5)&gt;=Assumptions!$B$11,1,0))*MIN(15/26*Census!$D147*(1+Assumptions!$B$9)^AN$5*(INT((Census!$F147+AN$5))+IF((Census!$F147+AN$5)-INT((Census!$F147+AN$5))&gt;0.5,1,0)),Assumptions!$B$10))</f>
        <v>0</v>
      </c>
      <c r="AO147" s="30">
        <f>IF(AO$5&gt;$B147,0,INDEX(Decrements!$G$6:$G$58,Census!$G147+AO$5-18)/INDEX(Decrements!$G$6:$G$58,Census!$G147-17)*(INDEX(Decrements!$D$6:$D$58,Census!$G147+AO$5-18)+IF(AO$5=$B147,INDEX(Decrements!$F$6:$F$58,Census!$G147+AO$5-18),0)+INDEX(Decrements!$E$6:$E$58,Census!$G147+AO$5-18)*IF((Census!$F147+AO$5)&gt;=Assumptions!$B$11,1,0))*MIN(15/26*Census!$D147*(1+Assumptions!$B$9)^AO$5*(INT((Census!$F147+AO$5))+IF((Census!$F147+AO$5)-INT((Census!$F147+AO$5))&gt;0.5,1,0)),Assumptions!$B$10))</f>
        <v>0</v>
      </c>
      <c r="AP147" s="30">
        <f>IF(AP$5&gt;$B147,0,INDEX(Decrements!$G$6:$G$58,Census!$G147+AP$5-18)/INDEX(Decrements!$G$6:$G$58,Census!$G147-17)*(INDEX(Decrements!$D$6:$D$58,Census!$G147+AP$5-18)+IF(AP$5=$B147,INDEX(Decrements!$F$6:$F$58,Census!$G147+AP$5-18),0)+INDEX(Decrements!$E$6:$E$58,Census!$G147+AP$5-18)*IF((Census!$F147+AP$5)&gt;=Assumptions!$B$11,1,0))*MIN(15/26*Census!$D147*(1+Assumptions!$B$9)^AP$5*(INT((Census!$F147+AP$5))+IF((Census!$F147+AP$5)-INT((Census!$F147+AP$5))&gt;0.5,1,0)),Assumptions!$B$10))</f>
        <v>0</v>
      </c>
      <c r="AQ147" s="30">
        <f>IF(AQ$5&gt;$B147,0,INDEX(Decrements!$G$6:$G$58,Census!$G147+AQ$5-18)/INDEX(Decrements!$G$6:$G$58,Census!$G147-17)*(INDEX(Decrements!$D$6:$D$58,Census!$G147+AQ$5-18)+IF(AQ$5=$B147,INDEX(Decrements!$F$6:$F$58,Census!$G147+AQ$5-18),0)+INDEX(Decrements!$E$6:$E$58,Census!$G147+AQ$5-18)*IF((Census!$F147+AQ$5)&gt;=Assumptions!$B$11,1,0))*MIN(15/26*Census!$D147*(1+Assumptions!$B$9)^AQ$5*(INT((Census!$F147+AQ$5))+IF((Census!$F147+AQ$5)-INT((Census!$F147+AQ$5))&gt;0.5,1,0)),Assumptions!$B$10))</f>
        <v>0</v>
      </c>
      <c r="AR147" s="30">
        <f>IF(AR$5&gt;$B147,0,INDEX(Decrements!$G$6:$G$58,Census!$G147+AR$5-18)/INDEX(Decrements!$G$6:$G$58,Census!$G147-17)*(INDEX(Decrements!$D$6:$D$58,Census!$G147+AR$5-18)+IF(AR$5=$B147,INDEX(Decrements!$F$6:$F$58,Census!$G147+AR$5-18),0)+INDEX(Decrements!$E$6:$E$58,Census!$G147+AR$5-18)*IF((Census!$F147+AR$5)&gt;=Assumptions!$B$11,1,0))*MIN(15/26*Census!$D147*(1+Assumptions!$B$9)^AR$5*(INT((Census!$F147+AR$5))+IF((Census!$F147+AR$5)-INT((Census!$F147+AR$5))&gt;0.5,1,0)),Assumptions!$B$10))</f>
        <v>0</v>
      </c>
      <c r="AS147" s="30">
        <f>IF(AS$5&gt;$B147,0,INDEX(Decrements!$G$6:$G$58,Census!$G147+AS$5-18)/INDEX(Decrements!$G$6:$G$58,Census!$G147-17)*(INDEX(Decrements!$D$6:$D$58,Census!$G147+AS$5-18)+IF(AS$5=$B147,INDEX(Decrements!$F$6:$F$58,Census!$G147+AS$5-18),0)+INDEX(Decrements!$E$6:$E$58,Census!$G147+AS$5-18)*IF((Census!$F147+AS$5)&gt;=Assumptions!$B$11,1,0))*MIN(15/26*Census!$D147*(1+Assumptions!$B$9)^AS$5*(INT((Census!$F147+AS$5))+IF((Census!$F147+AS$5)-INT((Census!$F147+AS$5))&gt;0.5,1,0)),Assumptions!$B$10))</f>
        <v>0</v>
      </c>
      <c r="AT147" s="30">
        <f>IF(AT$5&gt;$B147,0,INDEX(Decrements!$G$6:$G$58,Census!$G147+AT$5-18)/INDEX(Decrements!$G$6:$G$58,Census!$G147-17)*(INDEX(Decrements!$D$6:$D$58,Census!$G147+AT$5-18)+IF(AT$5=$B147,INDEX(Decrements!$F$6:$F$58,Census!$G147+AT$5-18),0)+INDEX(Decrements!$E$6:$E$58,Census!$G147+AT$5-18)*IF((Census!$F147+AT$5)&gt;=Assumptions!$B$11,1,0))*MIN(15/26*Census!$D147*(1+Assumptions!$B$9)^AT$5*(INT((Census!$F147+AT$5))+IF((Census!$F147+AT$5)-INT((Census!$F147+AT$5))&gt;0.5,1,0)),Assumptions!$B$10))</f>
        <v>0</v>
      </c>
      <c r="AU147" s="30">
        <f>IF(AU$5&gt;$B147,0,INDEX(Decrements!$G$6:$G$58,Census!$G147+AU$5-18)/INDEX(Decrements!$G$6:$G$58,Census!$G147-17)*(INDEX(Decrements!$D$6:$D$58,Census!$G147+AU$5-18)+IF(AU$5=$B147,INDEX(Decrements!$F$6:$F$58,Census!$G147+AU$5-18),0)+INDEX(Decrements!$E$6:$E$58,Census!$G147+AU$5-18)*IF((Census!$F147+AU$5)&gt;=Assumptions!$B$11,1,0))*MIN(15/26*Census!$D147*(1+Assumptions!$B$9)^AU$5*(INT((Census!$F147+AU$5))+IF((Census!$F147+AU$5)-INT((Census!$F147+AU$5))&gt;0.5,1,0)),Assumptions!$B$10))</f>
        <v>0</v>
      </c>
    </row>
    <row r="148" spans="1:47" x14ac:dyDescent="0.3">
      <c r="A148" s="10" t="str">
        <f>Census!A148</f>
        <v>E143</v>
      </c>
      <c r="B148" s="29">
        <f>Census!H148</f>
        <v>28</v>
      </c>
      <c r="C148" s="30">
        <f>IF(C$5&gt;$B148,0,INDEX(Decrements!$G$6:$G$58,Census!$G148+C$5-18)/INDEX(Decrements!$G$6:$G$58,Census!$G148-17)*(INDEX(Decrements!$D$6:$D$58,Census!$G148+C$5-18)+IF(C$5=$B148,INDEX(Decrements!$F$6:$F$58,Census!$G148+C$5-18),0)+INDEX(Decrements!$E$6:$E$58,Census!$G148+C$5-18)*IF((Census!$F148+C$5)&gt;=Assumptions!$B$11,1,0))*MIN(15/26*Census!$D148*(1+Assumptions!$B$9)^C$5*(INT((Census!$F148+C$5))+IF((Census!$F148+C$5)-INT((Census!$F148+C$5))&gt;0.5,1,0)),Assumptions!$B$10))</f>
        <v>28844.412018299321</v>
      </c>
      <c r="D148" s="30">
        <f>IF(D$5&gt;$B148,0,INDEX(Decrements!$G$6:$G$58,Census!$G148+D$5-18)/INDEX(Decrements!$G$6:$G$58,Census!$G148-17)*(INDEX(Decrements!$D$6:$D$58,Census!$G148+D$5-18)+IF(D$5=$B148,INDEX(Decrements!$F$6:$F$58,Census!$G148+D$5-18),0)+INDEX(Decrements!$E$6:$E$58,Census!$G148+D$5-18)*IF((Census!$F148+D$5)&gt;=Assumptions!$B$11,1,0))*MIN(15/26*Census!$D148*(1+Assumptions!$B$9)^D$5*(INT((Census!$F148+D$5))+IF((Census!$F148+D$5)-INT((Census!$F148+D$5))&gt;0.5,1,0)),Assumptions!$B$10))</f>
        <v>30482.913277548185</v>
      </c>
      <c r="E148" s="30">
        <f>IF(E$5&gt;$B148,0,INDEX(Decrements!$G$6:$G$58,Census!$G148+E$5-18)/INDEX(Decrements!$G$6:$G$58,Census!$G148-17)*(INDEX(Decrements!$D$6:$D$58,Census!$G148+E$5-18)+IF(E$5=$B148,INDEX(Decrements!$F$6:$F$58,Census!$G148+E$5-18),0)+INDEX(Decrements!$E$6:$E$58,Census!$G148+E$5-18)*IF((Census!$F148+E$5)&gt;=Assumptions!$B$11,1,0))*MIN(15/26*Census!$D148*(1+Assumptions!$B$9)^E$5*(INT((Census!$F148+E$5))+IF((Census!$F148+E$5)-INT((Census!$F148+E$5))&gt;0.5,1,0)),Assumptions!$B$10))</f>
        <v>31947.96942043693</v>
      </c>
      <c r="F148" s="30">
        <f>IF(F$5&gt;$B148,0,INDEX(Decrements!$G$6:$G$58,Census!$G148+F$5-18)/INDEX(Decrements!$G$6:$G$58,Census!$G148-17)*(INDEX(Decrements!$D$6:$D$58,Census!$G148+F$5-18)+IF(F$5=$B148,INDEX(Decrements!$F$6:$F$58,Census!$G148+F$5-18),0)+INDEX(Decrements!$E$6:$E$58,Census!$G148+F$5-18)*IF((Census!$F148+F$5)&gt;=Assumptions!$B$11,1,0))*MIN(15/26*Census!$D148*(1+Assumptions!$B$9)^F$5*(INT((Census!$F148+F$5))+IF((Census!$F148+F$5)-INT((Census!$F148+F$5))&gt;0.5,1,0)),Assumptions!$B$10))</f>
        <v>24263.148540688693</v>
      </c>
      <c r="G148" s="30">
        <f>IF(G$5&gt;$B148,0,INDEX(Decrements!$G$6:$G$58,Census!$G148+G$5-18)/INDEX(Decrements!$G$6:$G$58,Census!$G148-17)*(INDEX(Decrements!$D$6:$D$58,Census!$G148+G$5-18)+IF(G$5=$B148,INDEX(Decrements!$F$6:$F$58,Census!$G148+G$5-18),0)+INDEX(Decrements!$E$6:$E$58,Census!$G148+G$5-18)*IF((Census!$F148+G$5)&gt;=Assumptions!$B$11,1,0))*MIN(15/26*Census!$D148*(1+Assumptions!$B$9)^G$5*(INT((Census!$F148+G$5))+IF((Census!$F148+G$5)-INT((Census!$F148+G$5))&gt;0.5,1,0)),Assumptions!$B$10))</f>
        <v>25954.006820788174</v>
      </c>
      <c r="H148" s="30">
        <f>IF(H$5&gt;$B148,0,INDEX(Decrements!$G$6:$G$58,Census!$G148+H$5-18)/INDEX(Decrements!$G$6:$G$58,Census!$G148-17)*(INDEX(Decrements!$D$6:$D$58,Census!$G148+H$5-18)+IF(H$5=$B148,INDEX(Decrements!$F$6:$F$58,Census!$G148+H$5-18),0)+INDEX(Decrements!$E$6:$E$58,Census!$G148+H$5-18)*IF((Census!$F148+H$5)&gt;=Assumptions!$B$11,1,0))*MIN(15/26*Census!$D148*(1+Assumptions!$B$9)^H$5*(INT((Census!$F148+H$5))+IF((Census!$F148+H$5)-INT((Census!$F148+H$5))&gt;0.5,1,0)),Assumptions!$B$10))</f>
        <v>27621.25696619496</v>
      </c>
      <c r="I148" s="30">
        <f>IF(I$5&gt;$B148,0,INDEX(Decrements!$G$6:$G$58,Census!$G148+I$5-18)/INDEX(Decrements!$G$6:$G$58,Census!$G148-17)*(INDEX(Decrements!$D$6:$D$58,Census!$G148+I$5-18)+IF(I$5=$B148,INDEX(Decrements!$F$6:$F$58,Census!$G148+I$5-18),0)+INDEX(Decrements!$E$6:$E$58,Census!$G148+I$5-18)*IF((Census!$F148+I$5)&gt;=Assumptions!$B$11,1,0))*MIN(15/26*Census!$D148*(1+Assumptions!$B$9)^I$5*(INT((Census!$F148+I$5))+IF((Census!$F148+I$5)-INT((Census!$F148+I$5))&gt;0.5,1,0)),Assumptions!$B$10))</f>
        <v>29265.197565353672</v>
      </c>
      <c r="J148" s="30">
        <f>IF(J$5&gt;$B148,0,INDEX(Decrements!$G$6:$G$58,Census!$G148+J$5-18)/INDEX(Decrements!$G$6:$G$58,Census!$G148-17)*(INDEX(Decrements!$D$6:$D$58,Census!$G148+J$5-18)+IF(J$5=$B148,INDEX(Decrements!$F$6:$F$58,Census!$G148+J$5-18),0)+INDEX(Decrements!$E$6:$E$58,Census!$G148+J$5-18)*IF((Census!$F148+J$5)&gt;=Assumptions!$B$11,1,0))*MIN(15/26*Census!$D148*(1+Assumptions!$B$9)^J$5*(INT((Census!$F148+J$5))+IF((Census!$F148+J$5)-INT((Census!$F148+J$5))&gt;0.5,1,0)),Assumptions!$B$10))</f>
        <v>30886.129213957403</v>
      </c>
      <c r="K148" s="30">
        <f>IF(K$5&gt;$B148,0,INDEX(Decrements!$G$6:$G$58,Census!$G148+K$5-18)/INDEX(Decrements!$G$6:$G$58,Census!$G148-17)*(INDEX(Decrements!$D$6:$D$58,Census!$G148+K$5-18)+IF(K$5=$B148,INDEX(Decrements!$F$6:$F$58,Census!$G148+K$5-18),0)+INDEX(Decrements!$E$6:$E$58,Census!$G148+K$5-18)*IF((Census!$F148+K$5)&gt;=Assumptions!$B$11,1,0))*MIN(15/26*Census!$D148*(1+Assumptions!$B$9)^K$5*(INT((Census!$F148+K$5))+IF((Census!$F148+K$5)-INT((Census!$F148+K$5))&gt;0.5,1,0)),Assumptions!$B$10))</f>
        <v>20504.969163834547</v>
      </c>
      <c r="L148" s="30">
        <f>IF(L$5&gt;$B148,0,INDEX(Decrements!$G$6:$G$58,Census!$G148+L$5-18)/INDEX(Decrements!$G$6:$G$58,Census!$G148-17)*(INDEX(Decrements!$D$6:$D$58,Census!$G148+L$5-18)+IF(L$5=$B148,INDEX(Decrements!$F$6:$F$58,Census!$G148+L$5-18),0)+INDEX(Decrements!$E$6:$E$58,Census!$G148+L$5-18)*IF((Census!$F148+L$5)&gt;=Assumptions!$B$11,1,0))*MIN(15/26*Census!$D148*(1+Assumptions!$B$9)^L$5*(INT((Census!$F148+L$5))+IF((Census!$F148+L$5)-INT((Census!$F148+L$5))&gt;0.5,1,0)),Assumptions!$B$10))</f>
        <v>22215.892011330649</v>
      </c>
      <c r="M148" s="30">
        <f>IF(M$5&gt;$B148,0,INDEX(Decrements!$G$6:$G$58,Census!$G148+M$5-18)/INDEX(Decrements!$G$6:$G$58,Census!$G148-17)*(INDEX(Decrements!$D$6:$D$58,Census!$G148+M$5-18)+IF(M$5=$B148,INDEX(Decrements!$F$6:$F$58,Census!$G148+M$5-18),0)+INDEX(Decrements!$E$6:$E$58,Census!$G148+M$5-18)*IF((Census!$F148+M$5)&gt;=Assumptions!$B$11,1,0))*MIN(15/26*Census!$D148*(1+Assumptions!$B$9)^M$5*(INT((Census!$F148+M$5))+IF((Census!$F148+M$5)-INT((Census!$F148+M$5))&gt;0.5,1,0)),Assumptions!$B$10))</f>
        <v>24004.74258737576</v>
      </c>
      <c r="N148" s="30">
        <f>IF(N$5&gt;$B148,0,INDEX(Decrements!$G$6:$G$58,Census!$G148+N$5-18)/INDEX(Decrements!$G$6:$G$58,Census!$G148-17)*(INDEX(Decrements!$D$6:$D$58,Census!$G148+N$5-18)+IF(N$5=$B148,INDEX(Decrements!$F$6:$F$58,Census!$G148+N$5-18),0)+INDEX(Decrements!$E$6:$E$58,Census!$G148+N$5-18)*IF((Census!$F148+N$5)&gt;=Assumptions!$B$11,1,0))*MIN(15/26*Census!$D148*(1+Assumptions!$B$9)^N$5*(INT((Census!$F148+N$5))+IF((Census!$F148+N$5)-INT((Census!$F148+N$5))&gt;0.5,1,0)),Assumptions!$B$10))</f>
        <v>25874.956075135477</v>
      </c>
      <c r="O148" s="30">
        <f>IF(O$5&gt;$B148,0,INDEX(Decrements!$G$6:$G$58,Census!$G148+O$5-18)/INDEX(Decrements!$G$6:$G$58,Census!$G148-17)*(INDEX(Decrements!$D$6:$D$58,Census!$G148+O$5-18)+IF(O$5=$B148,INDEX(Decrements!$F$6:$F$58,Census!$G148+O$5-18),0)+INDEX(Decrements!$E$6:$E$58,Census!$G148+O$5-18)*IF((Census!$F148+O$5)&gt;=Assumptions!$B$11,1,0))*MIN(15/26*Census!$D148*(1+Assumptions!$B$9)^O$5*(INT((Census!$F148+O$5))+IF((Census!$F148+O$5)-INT((Census!$F148+O$5))&gt;0.5,1,0)),Assumptions!$B$10))</f>
        <v>27830.171185127117</v>
      </c>
      <c r="P148" s="30">
        <f>IF(P$5&gt;$B148,0,INDEX(Decrements!$G$6:$G$58,Census!$G148+P$5-18)/INDEX(Decrements!$G$6:$G$58,Census!$G148-17)*(INDEX(Decrements!$D$6:$D$58,Census!$G148+P$5-18)+IF(P$5=$B148,INDEX(Decrements!$F$6:$F$58,Census!$G148+P$5-18),0)+INDEX(Decrements!$E$6:$E$58,Census!$G148+P$5-18)*IF((Census!$F148+P$5)&gt;=Assumptions!$B$11,1,0))*MIN(15/26*Census!$D148*(1+Assumptions!$B$9)^P$5*(INT((Census!$F148+P$5))+IF((Census!$F148+P$5)-INT((Census!$F148+P$5))&gt;0.5,1,0)),Assumptions!$B$10))</f>
        <v>18368.975696865087</v>
      </c>
      <c r="Q148" s="30">
        <f>IF(Q$5&gt;$B148,0,INDEX(Decrements!$G$6:$G$58,Census!$G148+Q$5-18)/INDEX(Decrements!$G$6:$G$58,Census!$G148-17)*(INDEX(Decrements!$D$6:$D$58,Census!$G148+Q$5-18)+IF(Q$5=$B148,INDEX(Decrements!$F$6:$F$58,Census!$G148+Q$5-18),0)+INDEX(Decrements!$E$6:$E$58,Census!$G148+Q$5-18)*IF((Census!$F148+Q$5)&gt;=Assumptions!$B$11,1,0))*MIN(15/26*Census!$D148*(1+Assumptions!$B$9)^Q$5*(INT((Census!$F148+Q$5))+IF((Census!$F148+Q$5)-INT((Census!$F148+Q$5))&gt;0.5,1,0)),Assumptions!$B$10))</f>
        <v>20134.410458463844</v>
      </c>
      <c r="R148" s="30">
        <f>IF(R$5&gt;$B148,0,INDEX(Decrements!$G$6:$G$58,Census!$G148+R$5-18)/INDEX(Decrements!$G$6:$G$58,Census!$G148-17)*(INDEX(Decrements!$D$6:$D$58,Census!$G148+R$5-18)+IF(R$5=$B148,INDEX(Decrements!$F$6:$F$58,Census!$G148+R$5-18),0)+INDEX(Decrements!$E$6:$E$58,Census!$G148+R$5-18)*IF((Census!$F148+R$5)&gt;=Assumptions!$B$11,1,0))*MIN(15/26*Census!$D148*(1+Assumptions!$B$9)^R$5*(INT((Census!$F148+R$5))+IF((Census!$F148+R$5)-INT((Census!$F148+R$5))&gt;0.5,1,0)),Assumptions!$B$10))</f>
        <v>21339.181945306518</v>
      </c>
      <c r="S148" s="30">
        <f>IF(S$5&gt;$B148,0,INDEX(Decrements!$G$6:$G$58,Census!$G148+S$5-18)/INDEX(Decrements!$G$6:$G$58,Census!$G148-17)*(INDEX(Decrements!$D$6:$D$58,Census!$G148+S$5-18)+IF(S$5=$B148,INDEX(Decrements!$F$6:$F$58,Census!$G148+S$5-18),0)+INDEX(Decrements!$E$6:$E$58,Census!$G148+S$5-18)*IF((Census!$F148+S$5)&gt;=Assumptions!$B$11,1,0))*MIN(15/26*Census!$D148*(1+Assumptions!$B$9)^S$5*(INT((Census!$F148+S$5))+IF((Census!$F148+S$5)-INT((Census!$F148+S$5))&gt;0.5,1,0)),Assumptions!$B$10))</f>
        <v>20767.412084971365</v>
      </c>
      <c r="T148" s="30">
        <f>IF(T$5&gt;$B148,0,INDEX(Decrements!$G$6:$G$58,Census!$G148+T$5-18)/INDEX(Decrements!$G$6:$G$58,Census!$G148-17)*(INDEX(Decrements!$D$6:$D$58,Census!$G148+T$5-18)+IF(T$5=$B148,INDEX(Decrements!$F$6:$F$58,Census!$G148+T$5-18),0)+INDEX(Decrements!$E$6:$E$58,Census!$G148+T$5-18)*IF((Census!$F148+T$5)&gt;=Assumptions!$B$11,1,0))*MIN(15/26*Census!$D148*(1+Assumptions!$B$9)^T$5*(INT((Census!$F148+T$5))+IF((Census!$F148+T$5)-INT((Census!$F148+T$5))&gt;0.5,1,0)),Assumptions!$B$10))</f>
        <v>20217.701659826253</v>
      </c>
      <c r="U148" s="30">
        <f>IF(U$5&gt;$B148,0,INDEX(Decrements!$G$6:$G$58,Census!$G148+U$5-18)/INDEX(Decrements!$G$6:$G$58,Census!$G148-17)*(INDEX(Decrements!$D$6:$D$58,Census!$G148+U$5-18)+IF(U$5=$B148,INDEX(Decrements!$F$6:$F$58,Census!$G148+U$5-18),0)+INDEX(Decrements!$E$6:$E$58,Census!$G148+U$5-18)*IF((Census!$F148+U$5)&gt;=Assumptions!$B$11,1,0))*MIN(15/26*Census!$D148*(1+Assumptions!$B$9)^U$5*(INT((Census!$F148+U$5))+IF((Census!$F148+U$5)-INT((Census!$F148+U$5))&gt;0.5,1,0)),Assumptions!$B$10))</f>
        <v>13699.006311373214</v>
      </c>
      <c r="V148" s="30">
        <f>IF(V$5&gt;$B148,0,INDEX(Decrements!$G$6:$G$58,Census!$G148+V$5-18)/INDEX(Decrements!$G$6:$G$58,Census!$G148-17)*(INDEX(Decrements!$D$6:$D$58,Census!$G148+V$5-18)+IF(V$5=$B148,INDEX(Decrements!$F$6:$F$58,Census!$G148+V$5-18),0)+INDEX(Decrements!$E$6:$E$58,Census!$G148+V$5-18)*IF((Census!$F148+V$5)&gt;=Assumptions!$B$11,1,0))*MIN(15/26*Census!$D148*(1+Assumptions!$B$9)^V$5*(INT((Census!$F148+V$5))+IF((Census!$F148+V$5)-INT((Census!$F148+V$5))&gt;0.5,1,0)),Assumptions!$B$10))</f>
        <v>13527.943738582888</v>
      </c>
      <c r="W148" s="30">
        <f>IF(W$5&gt;$B148,0,INDEX(Decrements!$G$6:$G$58,Census!$G148+W$5-18)/INDEX(Decrements!$G$6:$G$58,Census!$G148-17)*(INDEX(Decrements!$D$6:$D$58,Census!$G148+W$5-18)+IF(W$5=$B148,INDEX(Decrements!$F$6:$F$58,Census!$G148+W$5-18),0)+INDEX(Decrements!$E$6:$E$58,Census!$G148+W$5-18)*IF((Census!$F148+W$5)&gt;=Assumptions!$B$11,1,0))*MIN(15/26*Census!$D148*(1+Assumptions!$B$9)^W$5*(INT((Census!$F148+W$5))+IF((Census!$F148+W$5)-INT((Census!$F148+W$5))&gt;0.5,1,0)),Assumptions!$B$10))</f>
        <v>13368.035154970408</v>
      </c>
      <c r="X148" s="30">
        <f>IF(X$5&gt;$B148,0,INDEX(Decrements!$G$6:$G$58,Census!$G148+X$5-18)/INDEX(Decrements!$G$6:$G$58,Census!$G148-17)*(INDEX(Decrements!$D$6:$D$58,Census!$G148+X$5-18)+IF(X$5=$B148,INDEX(Decrements!$F$6:$F$58,Census!$G148+X$5-18),0)+INDEX(Decrements!$E$6:$E$58,Census!$G148+X$5-18)*IF((Census!$F148+X$5)&gt;=Assumptions!$B$11,1,0))*MIN(15/26*Census!$D148*(1+Assumptions!$B$9)^X$5*(INT((Census!$F148+X$5))+IF((Census!$F148+X$5)-INT((Census!$F148+X$5))&gt;0.5,1,0)),Assumptions!$B$10))</f>
        <v>13219.515597089739</v>
      </c>
      <c r="Y148" s="30">
        <f>IF(Y$5&gt;$B148,0,INDEX(Decrements!$G$6:$G$58,Census!$G148+Y$5-18)/INDEX(Decrements!$G$6:$G$58,Census!$G148-17)*(INDEX(Decrements!$D$6:$D$58,Census!$G148+Y$5-18)+IF(Y$5=$B148,INDEX(Decrements!$F$6:$F$58,Census!$G148+Y$5-18),0)+INDEX(Decrements!$E$6:$E$58,Census!$G148+Y$5-18)*IF((Census!$F148+Y$5)&gt;=Assumptions!$B$11,1,0))*MIN(15/26*Census!$D148*(1+Assumptions!$B$9)^Y$5*(INT((Census!$F148+Y$5))+IF((Census!$F148+Y$5)-INT((Census!$F148+Y$5))&gt;0.5,1,0)),Assumptions!$B$10))</f>
        <v>13082.627857677857</v>
      </c>
      <c r="Z148" s="30">
        <f>IF(Z$5&gt;$B148,0,INDEX(Decrements!$G$6:$G$58,Census!$G148+Z$5-18)/INDEX(Decrements!$G$6:$G$58,Census!$G148-17)*(INDEX(Decrements!$D$6:$D$58,Census!$G148+Z$5-18)+IF(Z$5=$B148,INDEX(Decrements!$F$6:$F$58,Census!$G148+Z$5-18),0)+INDEX(Decrements!$E$6:$E$58,Census!$G148+Z$5-18)*IF((Census!$F148+Z$5)&gt;=Assumptions!$B$11,1,0))*MIN(15/26*Census!$D148*(1+Assumptions!$B$9)^Z$5*(INT((Census!$F148+Z$5))+IF((Census!$F148+Z$5)-INT((Census!$F148+Z$5))&gt;0.5,1,0)),Assumptions!$B$10))</f>
        <v>7642.0631822858595</v>
      </c>
      <c r="AA148" s="30">
        <f>IF(AA$5&gt;$B148,0,INDEX(Decrements!$G$6:$G$58,Census!$G148+AA$5-18)/INDEX(Decrements!$G$6:$G$58,Census!$G148-17)*(INDEX(Decrements!$D$6:$D$58,Census!$G148+AA$5-18)+IF(AA$5=$B148,INDEX(Decrements!$F$6:$F$58,Census!$G148+AA$5-18),0)+INDEX(Decrements!$E$6:$E$58,Census!$G148+AA$5-18)*IF((Census!$F148+AA$5)&gt;=Assumptions!$B$11,1,0))*MIN(15/26*Census!$D148*(1+Assumptions!$B$9)^AA$5*(INT((Census!$F148+AA$5))+IF((Census!$F148+AA$5)-INT((Census!$F148+AA$5))&gt;0.5,1,0)),Assumptions!$B$10))</f>
        <v>7738.416437906526</v>
      </c>
      <c r="AB148" s="30">
        <f>IF(AB$5&gt;$B148,0,INDEX(Decrements!$G$6:$G$58,Census!$G148+AB$5-18)/INDEX(Decrements!$G$6:$G$58,Census!$G148-17)*(INDEX(Decrements!$D$6:$D$58,Census!$G148+AB$5-18)+IF(AB$5=$B148,INDEX(Decrements!$F$6:$F$58,Census!$G148+AB$5-18),0)+INDEX(Decrements!$E$6:$E$58,Census!$G148+AB$5-18)*IF((Census!$F148+AB$5)&gt;=Assumptions!$B$11,1,0))*MIN(15/26*Census!$D148*(1+Assumptions!$B$9)^AB$5*(INT((Census!$F148+AB$5))+IF((Census!$F148+AB$5)-INT((Census!$F148+AB$5))&gt;0.5,1,0)),Assumptions!$B$10))</f>
        <v>7847.5184050412518</v>
      </c>
      <c r="AC148" s="30">
        <f>IF(AC$5&gt;$B148,0,INDEX(Decrements!$G$6:$G$58,Census!$G148+AC$5-18)/INDEX(Decrements!$G$6:$G$58,Census!$G148-17)*(INDEX(Decrements!$D$6:$D$58,Census!$G148+AC$5-18)+IF(AC$5=$B148,INDEX(Decrements!$F$6:$F$58,Census!$G148+AC$5-18),0)+INDEX(Decrements!$E$6:$E$58,Census!$G148+AC$5-18)*IF((Census!$F148+AC$5)&gt;=Assumptions!$B$11,1,0))*MIN(15/26*Census!$D148*(1+Assumptions!$B$9)^AC$5*(INT((Census!$F148+AC$5))+IF((Census!$F148+AC$5)-INT((Census!$F148+AC$5))&gt;0.5,1,0)),Assumptions!$B$10))</f>
        <v>7970.1105969586306</v>
      </c>
      <c r="AD148" s="30">
        <f>IF(AD$5&gt;$B148,0,INDEX(Decrements!$G$6:$G$58,Census!$G148+AD$5-18)/INDEX(Decrements!$G$6:$G$58,Census!$G148-17)*(INDEX(Decrements!$D$6:$D$58,Census!$G148+AD$5-18)+IF(AD$5=$B148,INDEX(Decrements!$F$6:$F$58,Census!$G148+AD$5-18),0)+INDEX(Decrements!$E$6:$E$58,Census!$G148+AD$5-18)*IF((Census!$F148+AD$5)&gt;=Assumptions!$B$11,1,0))*MIN(15/26*Census!$D148*(1+Assumptions!$B$9)^AD$5*(INT((Census!$F148+AD$5))+IF((Census!$F148+AD$5)-INT((Census!$F148+AD$5))&gt;0.5,1,0)),Assumptions!$B$10))</f>
        <v>502684.01240992476</v>
      </c>
      <c r="AE148" s="30">
        <f>IF(AE$5&gt;$B148,0,INDEX(Decrements!$G$6:$G$58,Census!$G148+AE$5-18)/INDEX(Decrements!$G$6:$G$58,Census!$G148-17)*(INDEX(Decrements!$D$6:$D$58,Census!$G148+AE$5-18)+IF(AE$5=$B148,INDEX(Decrements!$F$6:$F$58,Census!$G148+AE$5-18),0)+INDEX(Decrements!$E$6:$E$58,Census!$G148+AE$5-18)*IF((Census!$F148+AE$5)&gt;=Assumptions!$B$11,1,0))*MIN(15/26*Census!$D148*(1+Assumptions!$B$9)^AE$5*(INT((Census!$F148+AE$5))+IF((Census!$F148+AE$5)-INT((Census!$F148+AE$5))&gt;0.5,1,0)),Assumptions!$B$10))</f>
        <v>0</v>
      </c>
      <c r="AF148" s="30">
        <f>IF(AF$5&gt;$B148,0,INDEX(Decrements!$G$6:$G$58,Census!$G148+AF$5-18)/INDEX(Decrements!$G$6:$G$58,Census!$G148-17)*(INDEX(Decrements!$D$6:$D$58,Census!$G148+AF$5-18)+IF(AF$5=$B148,INDEX(Decrements!$F$6:$F$58,Census!$G148+AF$5-18),0)+INDEX(Decrements!$E$6:$E$58,Census!$G148+AF$5-18)*IF((Census!$F148+AF$5)&gt;=Assumptions!$B$11,1,0))*MIN(15/26*Census!$D148*(1+Assumptions!$B$9)^AF$5*(INT((Census!$F148+AF$5))+IF((Census!$F148+AF$5)-INT((Census!$F148+AF$5))&gt;0.5,1,0)),Assumptions!$B$10))</f>
        <v>0</v>
      </c>
      <c r="AG148" s="30">
        <f>IF(AG$5&gt;$B148,0,INDEX(Decrements!$G$6:$G$58,Census!$G148+AG$5-18)/INDEX(Decrements!$G$6:$G$58,Census!$G148-17)*(INDEX(Decrements!$D$6:$D$58,Census!$G148+AG$5-18)+IF(AG$5=$B148,INDEX(Decrements!$F$6:$F$58,Census!$G148+AG$5-18),0)+INDEX(Decrements!$E$6:$E$58,Census!$G148+AG$5-18)*IF((Census!$F148+AG$5)&gt;=Assumptions!$B$11,1,0))*MIN(15/26*Census!$D148*(1+Assumptions!$B$9)^AG$5*(INT((Census!$F148+AG$5))+IF((Census!$F148+AG$5)-INT((Census!$F148+AG$5))&gt;0.5,1,0)),Assumptions!$B$10))</f>
        <v>0</v>
      </c>
      <c r="AH148" s="30">
        <f>IF(AH$5&gt;$B148,0,INDEX(Decrements!$G$6:$G$58,Census!$G148+AH$5-18)/INDEX(Decrements!$G$6:$G$58,Census!$G148-17)*(INDEX(Decrements!$D$6:$D$58,Census!$G148+AH$5-18)+IF(AH$5=$B148,INDEX(Decrements!$F$6:$F$58,Census!$G148+AH$5-18),0)+INDEX(Decrements!$E$6:$E$58,Census!$G148+AH$5-18)*IF((Census!$F148+AH$5)&gt;=Assumptions!$B$11,1,0))*MIN(15/26*Census!$D148*(1+Assumptions!$B$9)^AH$5*(INT((Census!$F148+AH$5))+IF((Census!$F148+AH$5)-INT((Census!$F148+AH$5))&gt;0.5,1,0)),Assumptions!$B$10))</f>
        <v>0</v>
      </c>
      <c r="AI148" s="30">
        <f>IF(AI$5&gt;$B148,0,INDEX(Decrements!$G$6:$G$58,Census!$G148+AI$5-18)/INDEX(Decrements!$G$6:$G$58,Census!$G148-17)*(INDEX(Decrements!$D$6:$D$58,Census!$G148+AI$5-18)+IF(AI$5=$B148,INDEX(Decrements!$F$6:$F$58,Census!$G148+AI$5-18),0)+INDEX(Decrements!$E$6:$E$58,Census!$G148+AI$5-18)*IF((Census!$F148+AI$5)&gt;=Assumptions!$B$11,1,0))*MIN(15/26*Census!$D148*(1+Assumptions!$B$9)^AI$5*(INT((Census!$F148+AI$5))+IF((Census!$F148+AI$5)-INT((Census!$F148+AI$5))&gt;0.5,1,0)),Assumptions!$B$10))</f>
        <v>0</v>
      </c>
      <c r="AJ148" s="30">
        <f>IF(AJ$5&gt;$B148,0,INDEX(Decrements!$G$6:$G$58,Census!$G148+AJ$5-18)/INDEX(Decrements!$G$6:$G$58,Census!$G148-17)*(INDEX(Decrements!$D$6:$D$58,Census!$G148+AJ$5-18)+IF(AJ$5=$B148,INDEX(Decrements!$F$6:$F$58,Census!$G148+AJ$5-18),0)+INDEX(Decrements!$E$6:$E$58,Census!$G148+AJ$5-18)*IF((Census!$F148+AJ$5)&gt;=Assumptions!$B$11,1,0))*MIN(15/26*Census!$D148*(1+Assumptions!$B$9)^AJ$5*(INT((Census!$F148+AJ$5))+IF((Census!$F148+AJ$5)-INT((Census!$F148+AJ$5))&gt;0.5,1,0)),Assumptions!$B$10))</f>
        <v>0</v>
      </c>
      <c r="AK148" s="30">
        <f>IF(AK$5&gt;$B148,0,INDEX(Decrements!$G$6:$G$58,Census!$G148+AK$5-18)/INDEX(Decrements!$G$6:$G$58,Census!$G148-17)*(INDEX(Decrements!$D$6:$D$58,Census!$G148+AK$5-18)+IF(AK$5=$B148,INDEX(Decrements!$F$6:$F$58,Census!$G148+AK$5-18),0)+INDEX(Decrements!$E$6:$E$58,Census!$G148+AK$5-18)*IF((Census!$F148+AK$5)&gt;=Assumptions!$B$11,1,0))*MIN(15/26*Census!$D148*(1+Assumptions!$B$9)^AK$5*(INT((Census!$F148+AK$5))+IF((Census!$F148+AK$5)-INT((Census!$F148+AK$5))&gt;0.5,1,0)),Assumptions!$B$10))</f>
        <v>0</v>
      </c>
      <c r="AL148" s="30">
        <f>IF(AL$5&gt;$B148,0,INDEX(Decrements!$G$6:$G$58,Census!$G148+AL$5-18)/INDEX(Decrements!$G$6:$G$58,Census!$G148-17)*(INDEX(Decrements!$D$6:$D$58,Census!$G148+AL$5-18)+IF(AL$5=$B148,INDEX(Decrements!$F$6:$F$58,Census!$G148+AL$5-18),0)+INDEX(Decrements!$E$6:$E$58,Census!$G148+AL$5-18)*IF((Census!$F148+AL$5)&gt;=Assumptions!$B$11,1,0))*MIN(15/26*Census!$D148*(1+Assumptions!$B$9)^AL$5*(INT((Census!$F148+AL$5))+IF((Census!$F148+AL$5)-INT((Census!$F148+AL$5))&gt;0.5,1,0)),Assumptions!$B$10))</f>
        <v>0</v>
      </c>
      <c r="AM148" s="30">
        <f>IF(AM$5&gt;$B148,0,INDEX(Decrements!$G$6:$G$58,Census!$G148+AM$5-18)/INDEX(Decrements!$G$6:$G$58,Census!$G148-17)*(INDEX(Decrements!$D$6:$D$58,Census!$G148+AM$5-18)+IF(AM$5=$B148,INDEX(Decrements!$F$6:$F$58,Census!$G148+AM$5-18),0)+INDEX(Decrements!$E$6:$E$58,Census!$G148+AM$5-18)*IF((Census!$F148+AM$5)&gt;=Assumptions!$B$11,1,0))*MIN(15/26*Census!$D148*(1+Assumptions!$B$9)^AM$5*(INT((Census!$F148+AM$5))+IF((Census!$F148+AM$5)-INT((Census!$F148+AM$5))&gt;0.5,1,0)),Assumptions!$B$10))</f>
        <v>0</v>
      </c>
      <c r="AN148" s="30">
        <f>IF(AN$5&gt;$B148,0,INDEX(Decrements!$G$6:$G$58,Census!$G148+AN$5-18)/INDEX(Decrements!$G$6:$G$58,Census!$G148-17)*(INDEX(Decrements!$D$6:$D$58,Census!$G148+AN$5-18)+IF(AN$5=$B148,INDEX(Decrements!$F$6:$F$58,Census!$G148+AN$5-18),0)+INDEX(Decrements!$E$6:$E$58,Census!$G148+AN$5-18)*IF((Census!$F148+AN$5)&gt;=Assumptions!$B$11,1,0))*MIN(15/26*Census!$D148*(1+Assumptions!$B$9)^AN$5*(INT((Census!$F148+AN$5))+IF((Census!$F148+AN$5)-INT((Census!$F148+AN$5))&gt;0.5,1,0)),Assumptions!$B$10))</f>
        <v>0</v>
      </c>
      <c r="AO148" s="30">
        <f>IF(AO$5&gt;$B148,0,INDEX(Decrements!$G$6:$G$58,Census!$G148+AO$5-18)/INDEX(Decrements!$G$6:$G$58,Census!$G148-17)*(INDEX(Decrements!$D$6:$D$58,Census!$G148+AO$5-18)+IF(AO$5=$B148,INDEX(Decrements!$F$6:$F$58,Census!$G148+AO$5-18),0)+INDEX(Decrements!$E$6:$E$58,Census!$G148+AO$5-18)*IF((Census!$F148+AO$5)&gt;=Assumptions!$B$11,1,0))*MIN(15/26*Census!$D148*(1+Assumptions!$B$9)^AO$5*(INT((Census!$F148+AO$5))+IF((Census!$F148+AO$5)-INT((Census!$F148+AO$5))&gt;0.5,1,0)),Assumptions!$B$10))</f>
        <v>0</v>
      </c>
      <c r="AP148" s="30">
        <f>IF(AP$5&gt;$B148,0,INDEX(Decrements!$G$6:$G$58,Census!$G148+AP$5-18)/INDEX(Decrements!$G$6:$G$58,Census!$G148-17)*(INDEX(Decrements!$D$6:$D$58,Census!$G148+AP$5-18)+IF(AP$5=$B148,INDEX(Decrements!$F$6:$F$58,Census!$G148+AP$5-18),0)+INDEX(Decrements!$E$6:$E$58,Census!$G148+AP$5-18)*IF((Census!$F148+AP$5)&gt;=Assumptions!$B$11,1,0))*MIN(15/26*Census!$D148*(1+Assumptions!$B$9)^AP$5*(INT((Census!$F148+AP$5))+IF((Census!$F148+AP$5)-INT((Census!$F148+AP$5))&gt;0.5,1,0)),Assumptions!$B$10))</f>
        <v>0</v>
      </c>
      <c r="AQ148" s="30">
        <f>IF(AQ$5&gt;$B148,0,INDEX(Decrements!$G$6:$G$58,Census!$G148+AQ$5-18)/INDEX(Decrements!$G$6:$G$58,Census!$G148-17)*(INDEX(Decrements!$D$6:$D$58,Census!$G148+AQ$5-18)+IF(AQ$5=$B148,INDEX(Decrements!$F$6:$F$58,Census!$G148+AQ$5-18),0)+INDEX(Decrements!$E$6:$E$58,Census!$G148+AQ$5-18)*IF((Census!$F148+AQ$5)&gt;=Assumptions!$B$11,1,0))*MIN(15/26*Census!$D148*(1+Assumptions!$B$9)^AQ$5*(INT((Census!$F148+AQ$5))+IF((Census!$F148+AQ$5)-INT((Census!$F148+AQ$5))&gt;0.5,1,0)),Assumptions!$B$10))</f>
        <v>0</v>
      </c>
      <c r="AR148" s="30">
        <f>IF(AR$5&gt;$B148,0,INDEX(Decrements!$G$6:$G$58,Census!$G148+AR$5-18)/INDEX(Decrements!$G$6:$G$58,Census!$G148-17)*(INDEX(Decrements!$D$6:$D$58,Census!$G148+AR$5-18)+IF(AR$5=$B148,INDEX(Decrements!$F$6:$F$58,Census!$G148+AR$5-18),0)+INDEX(Decrements!$E$6:$E$58,Census!$G148+AR$5-18)*IF((Census!$F148+AR$5)&gt;=Assumptions!$B$11,1,0))*MIN(15/26*Census!$D148*(1+Assumptions!$B$9)^AR$5*(INT((Census!$F148+AR$5))+IF((Census!$F148+AR$5)-INT((Census!$F148+AR$5))&gt;0.5,1,0)),Assumptions!$B$10))</f>
        <v>0</v>
      </c>
      <c r="AS148" s="30">
        <f>IF(AS$5&gt;$B148,0,INDEX(Decrements!$G$6:$G$58,Census!$G148+AS$5-18)/INDEX(Decrements!$G$6:$G$58,Census!$G148-17)*(INDEX(Decrements!$D$6:$D$58,Census!$G148+AS$5-18)+IF(AS$5=$B148,INDEX(Decrements!$F$6:$F$58,Census!$G148+AS$5-18),0)+INDEX(Decrements!$E$6:$E$58,Census!$G148+AS$5-18)*IF((Census!$F148+AS$5)&gt;=Assumptions!$B$11,1,0))*MIN(15/26*Census!$D148*(1+Assumptions!$B$9)^AS$5*(INT((Census!$F148+AS$5))+IF((Census!$F148+AS$5)-INT((Census!$F148+AS$5))&gt;0.5,1,0)),Assumptions!$B$10))</f>
        <v>0</v>
      </c>
      <c r="AT148" s="30">
        <f>IF(AT$5&gt;$B148,0,INDEX(Decrements!$G$6:$G$58,Census!$G148+AT$5-18)/INDEX(Decrements!$G$6:$G$58,Census!$G148-17)*(INDEX(Decrements!$D$6:$D$58,Census!$G148+AT$5-18)+IF(AT$5=$B148,INDEX(Decrements!$F$6:$F$58,Census!$G148+AT$5-18),0)+INDEX(Decrements!$E$6:$E$58,Census!$G148+AT$5-18)*IF((Census!$F148+AT$5)&gt;=Assumptions!$B$11,1,0))*MIN(15/26*Census!$D148*(1+Assumptions!$B$9)^AT$5*(INT((Census!$F148+AT$5))+IF((Census!$F148+AT$5)-INT((Census!$F148+AT$5))&gt;0.5,1,0)),Assumptions!$B$10))</f>
        <v>0</v>
      </c>
      <c r="AU148" s="30">
        <f>IF(AU$5&gt;$B148,0,INDEX(Decrements!$G$6:$G$58,Census!$G148+AU$5-18)/INDEX(Decrements!$G$6:$G$58,Census!$G148-17)*(INDEX(Decrements!$D$6:$D$58,Census!$G148+AU$5-18)+IF(AU$5=$B148,INDEX(Decrements!$F$6:$F$58,Census!$G148+AU$5-18),0)+INDEX(Decrements!$E$6:$E$58,Census!$G148+AU$5-18)*IF((Census!$F148+AU$5)&gt;=Assumptions!$B$11,1,0))*MIN(15/26*Census!$D148*(1+Assumptions!$B$9)^AU$5*(INT((Census!$F148+AU$5))+IF((Census!$F148+AU$5)-INT((Census!$F148+AU$5))&gt;0.5,1,0)),Assumptions!$B$10))</f>
        <v>0</v>
      </c>
    </row>
    <row r="149" spans="1:47" x14ac:dyDescent="0.3">
      <c r="A149" s="10" t="str">
        <f>Census!A149</f>
        <v>E144</v>
      </c>
      <c r="B149" s="29">
        <f>Census!H149</f>
        <v>31</v>
      </c>
      <c r="C149" s="30">
        <f>IF(C$5&gt;$B149,0,INDEX(Decrements!$G$6:$G$58,Census!$G149+C$5-18)/INDEX(Decrements!$G$6:$G$58,Census!$G149-17)*(INDEX(Decrements!$D$6:$D$58,Census!$G149+C$5-18)+IF(C$5=$B149,INDEX(Decrements!$F$6:$F$58,Census!$G149+C$5-18),0)+INDEX(Decrements!$E$6:$E$58,Census!$G149+C$5-18)*IF((Census!$F149+C$5)&gt;=Assumptions!$B$11,1,0))*MIN(15/26*Census!$D149*(1+Assumptions!$B$9)^C$5*(INT((Census!$F149+C$5))+IF((Census!$F149+C$5)-INT((Census!$F149+C$5))&gt;0.5,1,0)),Assumptions!$B$10))</f>
        <v>42.898953757283891</v>
      </c>
      <c r="D149" s="30">
        <f>IF(D$5&gt;$B149,0,INDEX(Decrements!$G$6:$G$58,Census!$G149+D$5-18)/INDEX(Decrements!$G$6:$G$58,Census!$G149-17)*(INDEX(Decrements!$D$6:$D$58,Census!$G149+D$5-18)+IF(D$5=$B149,INDEX(Decrements!$F$6:$F$58,Census!$G149+D$5-18),0)+INDEX(Decrements!$E$6:$E$58,Census!$G149+D$5-18)*IF((Census!$F149+D$5)&gt;=Assumptions!$B$11,1,0))*MIN(15/26*Census!$D149*(1+Assumptions!$B$9)^D$5*(INT((Census!$F149+D$5))+IF((Census!$F149+D$5)-INT((Census!$F149+D$5))&gt;0.5,1,0)),Assumptions!$B$10))</f>
        <v>52.535743518965106</v>
      </c>
      <c r="E149" s="30">
        <f>IF(E$5&gt;$B149,0,INDEX(Decrements!$G$6:$G$58,Census!$G149+E$5-18)/INDEX(Decrements!$G$6:$G$58,Census!$G149-17)*(INDEX(Decrements!$D$6:$D$58,Census!$G149+E$5-18)+IF(E$5=$B149,INDEX(Decrements!$F$6:$F$58,Census!$G149+E$5-18),0)+INDEX(Decrements!$E$6:$E$58,Census!$G149+E$5-18)*IF((Census!$F149+E$5)&gt;=Assumptions!$B$11,1,0))*MIN(15/26*Census!$D149*(1+Assumptions!$B$9)^E$5*(INT((Census!$F149+E$5))+IF((Census!$F149+E$5)-INT((Census!$F149+E$5))&gt;0.5,1,0)),Assumptions!$B$10))</f>
        <v>9262.6513948367392</v>
      </c>
      <c r="F149" s="30">
        <f>IF(F$5&gt;$B149,0,INDEX(Decrements!$G$6:$G$58,Census!$G149+F$5-18)/INDEX(Decrements!$G$6:$G$58,Census!$G149-17)*(INDEX(Decrements!$D$6:$D$58,Census!$G149+F$5-18)+IF(F$5=$B149,INDEX(Decrements!$F$6:$F$58,Census!$G149+F$5-18),0)+INDEX(Decrements!$E$6:$E$58,Census!$G149+F$5-18)*IF((Census!$F149+F$5)&gt;=Assumptions!$B$11,1,0))*MIN(15/26*Census!$D149*(1+Assumptions!$B$9)^F$5*(INT((Census!$F149+F$5))+IF((Census!$F149+F$5)-INT((Census!$F149+F$5))&gt;0.5,1,0)),Assumptions!$B$10))</f>
        <v>10382.159761758281</v>
      </c>
      <c r="G149" s="30">
        <f>IF(G$5&gt;$B149,0,INDEX(Decrements!$G$6:$G$58,Census!$G149+G$5-18)/INDEX(Decrements!$G$6:$G$58,Census!$G149-17)*(INDEX(Decrements!$D$6:$D$58,Census!$G149+G$5-18)+IF(G$5=$B149,INDEX(Decrements!$F$6:$F$58,Census!$G149+G$5-18),0)+INDEX(Decrements!$E$6:$E$58,Census!$G149+G$5-18)*IF((Census!$F149+G$5)&gt;=Assumptions!$B$11,1,0))*MIN(15/26*Census!$D149*(1+Assumptions!$B$9)^G$5*(INT((Census!$F149+G$5))+IF((Census!$F149+G$5)-INT((Census!$F149+G$5))&gt;0.5,1,0)),Assumptions!$B$10))</f>
        <v>11399.393603964203</v>
      </c>
      <c r="H149" s="30">
        <f>IF(H$5&gt;$B149,0,INDEX(Decrements!$G$6:$G$58,Census!$G149+H$5-18)/INDEX(Decrements!$G$6:$G$58,Census!$G149-17)*(INDEX(Decrements!$D$6:$D$58,Census!$G149+H$5-18)+IF(H$5=$B149,INDEX(Decrements!$F$6:$F$58,Census!$G149+H$5-18),0)+INDEX(Decrements!$E$6:$E$58,Census!$G149+H$5-18)*IF((Census!$F149+H$5)&gt;=Assumptions!$B$11,1,0))*MIN(15/26*Census!$D149*(1+Assumptions!$B$9)^H$5*(INT((Census!$F149+H$5))+IF((Census!$F149+H$5)-INT((Census!$F149+H$5))&gt;0.5,1,0)),Assumptions!$B$10))</f>
        <v>12320.618227902807</v>
      </c>
      <c r="I149" s="30">
        <f>IF(I$5&gt;$B149,0,INDEX(Decrements!$G$6:$G$58,Census!$G149+I$5-18)/INDEX(Decrements!$G$6:$G$58,Census!$G149-17)*(INDEX(Decrements!$D$6:$D$58,Census!$G149+I$5-18)+IF(I$5=$B149,INDEX(Decrements!$F$6:$F$58,Census!$G149+I$5-18),0)+INDEX(Decrements!$E$6:$E$58,Census!$G149+I$5-18)*IF((Census!$F149+I$5)&gt;=Assumptions!$B$11,1,0))*MIN(15/26*Census!$D149*(1+Assumptions!$B$9)^I$5*(INT((Census!$F149+I$5))+IF((Census!$F149+I$5)-INT((Census!$F149+I$5))&gt;0.5,1,0)),Assumptions!$B$10))</f>
        <v>9596.917950308396</v>
      </c>
      <c r="J149" s="30">
        <f>IF(J$5&gt;$B149,0,INDEX(Decrements!$G$6:$G$58,Census!$G149+J$5-18)/INDEX(Decrements!$G$6:$G$58,Census!$G149-17)*(INDEX(Decrements!$D$6:$D$58,Census!$G149+J$5-18)+IF(J$5=$B149,INDEX(Decrements!$F$6:$F$58,Census!$G149+J$5-18),0)+INDEX(Decrements!$E$6:$E$58,Census!$G149+J$5-18)*IF((Census!$F149+J$5)&gt;=Assumptions!$B$11,1,0))*MIN(15/26*Census!$D149*(1+Assumptions!$B$9)^J$5*(INT((Census!$F149+J$5))+IF((Census!$F149+J$5)-INT((Census!$F149+J$5))&gt;0.5,1,0)),Assumptions!$B$10))</f>
        <v>10485.690650756253</v>
      </c>
      <c r="K149" s="30">
        <f>IF(K$5&gt;$B149,0,INDEX(Decrements!$G$6:$G$58,Census!$G149+K$5-18)/INDEX(Decrements!$G$6:$G$58,Census!$G149-17)*(INDEX(Decrements!$D$6:$D$58,Census!$G149+K$5-18)+IF(K$5=$B149,INDEX(Decrements!$F$6:$F$58,Census!$G149+K$5-18),0)+INDEX(Decrements!$E$6:$E$58,Census!$G149+K$5-18)*IF((Census!$F149+K$5)&gt;=Assumptions!$B$11,1,0))*MIN(15/26*Census!$D149*(1+Assumptions!$B$9)^K$5*(INT((Census!$F149+K$5))+IF((Census!$F149+K$5)-INT((Census!$F149+K$5))&gt;0.5,1,0)),Assumptions!$B$10))</f>
        <v>11362.17312432488</v>
      </c>
      <c r="L149" s="30">
        <f>IF(L$5&gt;$B149,0,INDEX(Decrements!$G$6:$G$58,Census!$G149+L$5-18)/INDEX(Decrements!$G$6:$G$58,Census!$G149-17)*(INDEX(Decrements!$D$6:$D$58,Census!$G149+L$5-18)+IF(L$5=$B149,INDEX(Decrements!$F$6:$F$58,Census!$G149+L$5-18),0)+INDEX(Decrements!$E$6:$E$58,Census!$G149+L$5-18)*IF((Census!$F149+L$5)&gt;=Assumptions!$B$11,1,0))*MIN(15/26*Census!$D149*(1+Assumptions!$B$9)^L$5*(INT((Census!$F149+L$5))+IF((Census!$F149+L$5)-INT((Census!$F149+L$5))&gt;0.5,1,0)),Assumptions!$B$10))</f>
        <v>12226.518436074381</v>
      </c>
      <c r="M149" s="30">
        <f>IF(M$5&gt;$B149,0,INDEX(Decrements!$G$6:$G$58,Census!$G149+M$5-18)/INDEX(Decrements!$G$6:$G$58,Census!$G149-17)*(INDEX(Decrements!$D$6:$D$58,Census!$G149+M$5-18)+IF(M$5=$B149,INDEX(Decrements!$F$6:$F$58,Census!$G149+M$5-18),0)+INDEX(Decrements!$E$6:$E$58,Census!$G149+M$5-18)*IF((Census!$F149+M$5)&gt;=Assumptions!$B$11,1,0))*MIN(15/26*Census!$D149*(1+Assumptions!$B$9)^M$5*(INT((Census!$F149+M$5))+IF((Census!$F149+M$5)-INT((Census!$F149+M$5))&gt;0.5,1,0)),Assumptions!$B$10))</f>
        <v>13078.880611084001</v>
      </c>
      <c r="N149" s="30">
        <f>IF(N$5&gt;$B149,0,INDEX(Decrements!$G$6:$G$58,Census!$G149+N$5-18)/INDEX(Decrements!$G$6:$G$58,Census!$G149-17)*(INDEX(Decrements!$D$6:$D$58,Census!$G149+N$5-18)+IF(N$5=$B149,INDEX(Decrements!$F$6:$F$58,Census!$G149+N$5-18),0)+INDEX(Decrements!$E$6:$E$58,Census!$G149+N$5-18)*IF((Census!$F149+N$5)&gt;=Assumptions!$B$11,1,0))*MIN(15/26*Census!$D149*(1+Assumptions!$B$9)^N$5*(INT((Census!$F149+N$5))+IF((Census!$F149+N$5)-INT((Census!$F149+N$5))&gt;0.5,1,0)),Assumptions!$B$10))</f>
        <v>8786.2964350235889</v>
      </c>
      <c r="O149" s="30">
        <f>IF(O$5&gt;$B149,0,INDEX(Decrements!$G$6:$G$58,Census!$G149+O$5-18)/INDEX(Decrements!$G$6:$G$58,Census!$G149-17)*(INDEX(Decrements!$D$6:$D$58,Census!$G149+O$5-18)+IF(O$5=$B149,INDEX(Decrements!$F$6:$F$58,Census!$G149+O$5-18),0)+INDEX(Decrements!$E$6:$E$58,Census!$G149+O$5-18)*IF((Census!$F149+O$5)&gt;=Assumptions!$B$11,1,0))*MIN(15/26*Census!$D149*(1+Assumptions!$B$9)^O$5*(INT((Census!$F149+O$5))+IF((Census!$F149+O$5)-INT((Census!$F149+O$5))&gt;0.5,1,0)),Assumptions!$B$10))</f>
        <v>9619.6243827325907</v>
      </c>
      <c r="P149" s="30">
        <f>IF(P$5&gt;$B149,0,INDEX(Decrements!$G$6:$G$58,Census!$G149+P$5-18)/INDEX(Decrements!$G$6:$G$58,Census!$G149-17)*(INDEX(Decrements!$D$6:$D$58,Census!$G149+P$5-18)+IF(P$5=$B149,INDEX(Decrements!$F$6:$F$58,Census!$G149+P$5-18),0)+INDEX(Decrements!$E$6:$E$58,Census!$G149+P$5-18)*IF((Census!$F149+P$5)&gt;=Assumptions!$B$11,1,0))*MIN(15/26*Census!$D149*(1+Assumptions!$B$9)^P$5*(INT((Census!$F149+P$5))+IF((Census!$F149+P$5)-INT((Census!$F149+P$5))&gt;0.5,1,0)),Assumptions!$B$10))</f>
        <v>10491.653910064711</v>
      </c>
      <c r="Q149" s="30">
        <f>IF(Q$5&gt;$B149,0,INDEX(Decrements!$G$6:$G$58,Census!$G149+Q$5-18)/INDEX(Decrements!$G$6:$G$58,Census!$G149-17)*(INDEX(Decrements!$D$6:$D$58,Census!$G149+Q$5-18)+IF(Q$5=$B149,INDEX(Decrements!$F$6:$F$58,Census!$G149+Q$5-18),0)+INDEX(Decrements!$E$6:$E$58,Census!$G149+Q$5-18)*IF((Census!$F149+Q$5)&gt;=Assumptions!$B$11,1,0))*MIN(15/26*Census!$D149*(1+Assumptions!$B$9)^Q$5*(INT((Census!$F149+Q$5))+IF((Census!$F149+Q$5)-INT((Census!$F149+Q$5))&gt;0.5,1,0)),Assumptions!$B$10))</f>
        <v>11404.094532407953</v>
      </c>
      <c r="R149" s="30">
        <f>IF(R$5&gt;$B149,0,INDEX(Decrements!$G$6:$G$58,Census!$G149+R$5-18)/INDEX(Decrements!$G$6:$G$58,Census!$G149-17)*(INDEX(Decrements!$D$6:$D$58,Census!$G149+R$5-18)+IF(R$5=$B149,INDEX(Decrements!$F$6:$F$58,Census!$G149+R$5-18),0)+INDEX(Decrements!$E$6:$E$58,Census!$G149+R$5-18)*IF((Census!$F149+R$5)&gt;=Assumptions!$B$11,1,0))*MIN(15/26*Census!$D149*(1+Assumptions!$B$9)^R$5*(INT((Census!$F149+R$5))+IF((Census!$F149+R$5)-INT((Census!$F149+R$5))&gt;0.5,1,0)),Assumptions!$B$10))</f>
        <v>12358.756481483511</v>
      </c>
      <c r="S149" s="30">
        <f>IF(S$5&gt;$B149,0,INDEX(Decrements!$G$6:$G$58,Census!$G149+S$5-18)/INDEX(Decrements!$G$6:$G$58,Census!$G149-17)*(INDEX(Decrements!$D$6:$D$58,Census!$G149+S$5-18)+IF(S$5=$B149,INDEX(Decrements!$F$6:$F$58,Census!$G149+S$5-18),0)+INDEX(Decrements!$E$6:$E$58,Census!$G149+S$5-18)*IF((Census!$F149+S$5)&gt;=Assumptions!$B$11,1,0))*MIN(15/26*Census!$D149*(1+Assumptions!$B$9)^S$5*(INT((Census!$F149+S$5))+IF((Census!$F149+S$5)-INT((Census!$F149+S$5))&gt;0.5,1,0)),Assumptions!$B$10))</f>
        <v>8213.2506417908608</v>
      </c>
      <c r="T149" s="30">
        <f>IF(T$5&gt;$B149,0,INDEX(Decrements!$G$6:$G$58,Census!$G149+T$5-18)/INDEX(Decrements!$G$6:$G$58,Census!$G149-17)*(INDEX(Decrements!$D$6:$D$58,Census!$G149+T$5-18)+IF(T$5=$B149,INDEX(Decrements!$F$6:$F$58,Census!$G149+T$5-18),0)+INDEX(Decrements!$E$6:$E$58,Census!$G149+T$5-18)*IF((Census!$F149+T$5)&gt;=Assumptions!$B$11,1,0))*MIN(15/26*Census!$D149*(1+Assumptions!$B$9)^T$5*(INT((Census!$F149+T$5))+IF((Census!$F149+T$5)-INT((Census!$F149+T$5))&gt;0.5,1,0)),Assumptions!$B$10))</f>
        <v>9058.8892033910724</v>
      </c>
      <c r="U149" s="30">
        <f>IF(U$5&gt;$B149,0,INDEX(Decrements!$G$6:$G$58,Census!$G149+U$5-18)/INDEX(Decrements!$G$6:$G$58,Census!$G149-17)*(INDEX(Decrements!$D$6:$D$58,Census!$G149+U$5-18)+IF(U$5=$B149,INDEX(Decrements!$F$6:$F$58,Census!$G149+U$5-18),0)+INDEX(Decrements!$E$6:$E$58,Census!$G149+U$5-18)*IF((Census!$F149+U$5)&gt;=Assumptions!$B$11,1,0))*MIN(15/26*Census!$D149*(1+Assumptions!$B$9)^U$5*(INT((Census!$F149+U$5))+IF((Census!$F149+U$5)-INT((Census!$F149+U$5))&gt;0.5,1,0)),Assumptions!$B$10))</f>
        <v>9971.7804787626883</v>
      </c>
      <c r="V149" s="30">
        <f>IF(V$5&gt;$B149,0,INDEX(Decrements!$G$6:$G$58,Census!$G149+V$5-18)/INDEX(Decrements!$G$6:$G$58,Census!$G149-17)*(INDEX(Decrements!$D$6:$D$58,Census!$G149+V$5-18)+IF(V$5=$B149,INDEX(Decrements!$F$6:$F$58,Census!$G149+V$5-18),0)+INDEX(Decrements!$E$6:$E$58,Census!$G149+V$5-18)*IF((Census!$F149+V$5)&gt;=Assumptions!$B$11,1,0))*MIN(15/26*Census!$D149*(1+Assumptions!$B$9)^V$5*(INT((Census!$F149+V$5))+IF((Census!$F149+V$5)-INT((Census!$F149+V$5))&gt;0.5,1,0)),Assumptions!$B$10))</f>
        <v>10957.367663475987</v>
      </c>
      <c r="W149" s="30">
        <f>IF(W$5&gt;$B149,0,INDEX(Decrements!$G$6:$G$58,Census!$G149+W$5-18)/INDEX(Decrements!$G$6:$G$58,Census!$G149-17)*(INDEX(Decrements!$D$6:$D$58,Census!$G149+W$5-18)+IF(W$5=$B149,INDEX(Decrements!$F$6:$F$58,Census!$G149+W$5-18),0)+INDEX(Decrements!$E$6:$E$58,Census!$G149+W$5-18)*IF((Census!$F149+W$5)&gt;=Assumptions!$B$11,1,0))*MIN(15/26*Census!$D149*(1+Assumptions!$B$9)^W$5*(INT((Census!$F149+W$5))+IF((Census!$F149+W$5)-INT((Census!$F149+W$5))&gt;0.5,1,0)),Assumptions!$B$10))</f>
        <v>12021.614532214342</v>
      </c>
      <c r="X149" s="30">
        <f>IF(X$5&gt;$B149,0,INDEX(Decrements!$G$6:$G$58,Census!$G149+X$5-18)/INDEX(Decrements!$G$6:$G$58,Census!$G149-17)*(INDEX(Decrements!$D$6:$D$58,Census!$G149+X$5-18)+IF(X$5=$B149,INDEX(Decrements!$F$6:$F$58,Census!$G149+X$5-18),0)+INDEX(Decrements!$E$6:$E$58,Census!$G149+X$5-18)*IF((Census!$F149+X$5)&gt;=Assumptions!$B$11,1,0))*MIN(15/26*Census!$D149*(1+Assumptions!$B$9)^X$5*(INT((Census!$F149+X$5))+IF((Census!$F149+X$5)-INT((Census!$F149+X$5))&gt;0.5,1,0)),Assumptions!$B$10))</f>
        <v>9163.7367162536775</v>
      </c>
      <c r="Y149" s="30">
        <f>IF(Y$5&gt;$B149,0,INDEX(Decrements!$G$6:$G$58,Census!$G149+Y$5-18)/INDEX(Decrements!$G$6:$G$58,Census!$G149-17)*(INDEX(Decrements!$D$6:$D$58,Census!$G149+Y$5-18)+IF(Y$5=$B149,INDEX(Decrements!$F$6:$F$58,Census!$G149+Y$5-18),0)+INDEX(Decrements!$E$6:$E$58,Census!$G149+Y$5-18)*IF((Census!$F149+Y$5)&gt;=Assumptions!$B$11,1,0))*MIN(15/26*Census!$D149*(1+Assumptions!$B$9)^Y$5*(INT((Census!$F149+Y$5))+IF((Census!$F149+Y$5)-INT((Census!$F149+Y$5))&gt;0.5,1,0)),Assumptions!$B$10))</f>
        <v>9087.220456312667</v>
      </c>
      <c r="Z149" s="30">
        <f>IF(Z$5&gt;$B149,0,INDEX(Decrements!$G$6:$G$58,Census!$G149+Z$5-18)/INDEX(Decrements!$G$6:$G$58,Census!$G149-17)*(INDEX(Decrements!$D$6:$D$58,Census!$G149+Z$5-18)+IF(Z$5=$B149,INDEX(Decrements!$F$6:$F$58,Census!$G149+Z$5-18),0)+INDEX(Decrements!$E$6:$E$58,Census!$G149+Z$5-18)*IF((Census!$F149+Z$5)&gt;=Assumptions!$B$11,1,0))*MIN(15/26*Census!$D149*(1+Assumptions!$B$9)^Z$5*(INT((Census!$F149+Z$5))+IF((Census!$F149+Z$5)-INT((Census!$F149+Z$5))&gt;0.5,1,0)),Assumptions!$B$10))</f>
        <v>8979.8039427446183</v>
      </c>
      <c r="AA149" s="30">
        <f>IF(AA$5&gt;$B149,0,INDEX(Decrements!$G$6:$G$58,Census!$G149+AA$5-18)/INDEX(Decrements!$G$6:$G$58,Census!$G149-17)*(INDEX(Decrements!$D$6:$D$58,Census!$G149+AA$5-18)+IF(AA$5=$B149,INDEX(Decrements!$F$6:$F$58,Census!$G149+AA$5-18),0)+INDEX(Decrements!$E$6:$E$58,Census!$G149+AA$5-18)*IF((Census!$F149+AA$5)&gt;=Assumptions!$B$11,1,0))*MIN(15/26*Census!$D149*(1+Assumptions!$B$9)^AA$5*(INT((Census!$F149+AA$5))+IF((Census!$F149+AA$5)-INT((Census!$F149+AA$5))&gt;0.5,1,0)),Assumptions!$B$10))</f>
        <v>8880.0378592498673</v>
      </c>
      <c r="AB149" s="30">
        <f>IF(AB$5&gt;$B149,0,INDEX(Decrements!$G$6:$G$58,Census!$G149+AB$5-18)/INDEX(Decrements!$G$6:$G$58,Census!$G149-17)*(INDEX(Decrements!$D$6:$D$58,Census!$G149+AB$5-18)+IF(AB$5=$B149,INDEX(Decrements!$F$6:$F$58,Census!$G149+AB$5-18),0)+INDEX(Decrements!$E$6:$E$58,Census!$G149+AB$5-18)*IF((Census!$F149+AB$5)&gt;=Assumptions!$B$11,1,0))*MIN(15/26*Census!$D149*(1+Assumptions!$B$9)^AB$5*(INT((Census!$F149+AB$5))+IF((Census!$F149+AB$5)-INT((Census!$F149+AB$5))&gt;0.5,1,0)),Assumptions!$B$10))</f>
        <v>8788.0852986952104</v>
      </c>
      <c r="AC149" s="30">
        <f>IF(AC$5&gt;$B149,0,INDEX(Decrements!$G$6:$G$58,Census!$G149+AC$5-18)/INDEX(Decrements!$G$6:$G$58,Census!$G149-17)*(INDEX(Decrements!$D$6:$D$58,Census!$G149+AC$5-18)+IF(AC$5=$B149,INDEX(Decrements!$F$6:$F$58,Census!$G149+AC$5-18),0)+INDEX(Decrements!$E$6:$E$58,Census!$G149+AC$5-18)*IF((Census!$F149+AC$5)&gt;=Assumptions!$B$11,1,0))*MIN(15/26*Census!$D149*(1+Assumptions!$B$9)^AC$5*(INT((Census!$F149+AC$5))+IF((Census!$F149+AC$5)-INT((Census!$F149+AC$5))&gt;0.5,1,0)),Assumptions!$B$10))</f>
        <v>5133.4566598202482</v>
      </c>
      <c r="AD149" s="30">
        <f>IF(AD$5&gt;$B149,0,INDEX(Decrements!$G$6:$G$58,Census!$G149+AD$5-18)/INDEX(Decrements!$G$6:$G$58,Census!$G149-17)*(INDEX(Decrements!$D$6:$D$58,Census!$G149+AD$5-18)+IF(AD$5=$B149,INDEX(Decrements!$F$6:$F$58,Census!$G149+AD$5-18),0)+INDEX(Decrements!$E$6:$E$58,Census!$G149+AD$5-18)*IF((Census!$F149+AD$5)&gt;=Assumptions!$B$11,1,0))*MIN(15/26*Census!$D149*(1+Assumptions!$B$9)^AD$5*(INT((Census!$F149+AD$5))+IF((Census!$F149+AD$5)-INT((Census!$F149+AD$5))&gt;0.5,1,0)),Assumptions!$B$10))</f>
        <v>5198.1807074972949</v>
      </c>
      <c r="AE149" s="30">
        <f>IF(AE$5&gt;$B149,0,INDEX(Decrements!$G$6:$G$58,Census!$G149+AE$5-18)/INDEX(Decrements!$G$6:$G$58,Census!$G149-17)*(INDEX(Decrements!$D$6:$D$58,Census!$G149+AE$5-18)+IF(AE$5=$B149,INDEX(Decrements!$F$6:$F$58,Census!$G149+AE$5-18),0)+INDEX(Decrements!$E$6:$E$58,Census!$G149+AE$5-18)*IF((Census!$F149+AE$5)&gt;=Assumptions!$B$11,1,0))*MIN(15/26*Census!$D149*(1+Assumptions!$B$9)^AE$5*(INT((Census!$F149+AE$5))+IF((Census!$F149+AE$5)-INT((Census!$F149+AE$5))&gt;0.5,1,0)),Assumptions!$B$10))</f>
        <v>5271.4685365073301</v>
      </c>
      <c r="AF149" s="30">
        <f>IF(AF$5&gt;$B149,0,INDEX(Decrements!$G$6:$G$58,Census!$G149+AF$5-18)/INDEX(Decrements!$G$6:$G$58,Census!$G149-17)*(INDEX(Decrements!$D$6:$D$58,Census!$G149+AF$5-18)+IF(AF$5=$B149,INDEX(Decrements!$F$6:$F$58,Census!$G149+AF$5-18),0)+INDEX(Decrements!$E$6:$E$58,Census!$G149+AF$5-18)*IF((Census!$F149+AF$5)&gt;=Assumptions!$B$11,1,0))*MIN(15/26*Census!$D149*(1+Assumptions!$B$9)^AF$5*(INT((Census!$F149+AF$5))+IF((Census!$F149+AF$5)-INT((Census!$F149+AF$5))&gt;0.5,1,0)),Assumptions!$B$10))</f>
        <v>5353.8182487550612</v>
      </c>
      <c r="AG149" s="30">
        <f>IF(AG$5&gt;$B149,0,INDEX(Decrements!$G$6:$G$58,Census!$G149+AG$5-18)/INDEX(Decrements!$G$6:$G$58,Census!$G149-17)*(INDEX(Decrements!$D$6:$D$58,Census!$G149+AG$5-18)+IF(AG$5=$B149,INDEX(Decrements!$F$6:$F$58,Census!$G149+AG$5-18),0)+INDEX(Decrements!$E$6:$E$58,Census!$G149+AG$5-18)*IF((Census!$F149+AG$5)&gt;=Assumptions!$B$11,1,0))*MIN(15/26*Census!$D149*(1+Assumptions!$B$9)^AG$5*(INT((Census!$F149+AG$5))+IF((Census!$F149+AG$5)-INT((Census!$F149+AG$5))&gt;0.5,1,0)),Assumptions!$B$10))</f>
        <v>337671.4546501594</v>
      </c>
      <c r="AH149" s="30">
        <f>IF(AH$5&gt;$B149,0,INDEX(Decrements!$G$6:$G$58,Census!$G149+AH$5-18)/INDEX(Decrements!$G$6:$G$58,Census!$G149-17)*(INDEX(Decrements!$D$6:$D$58,Census!$G149+AH$5-18)+IF(AH$5=$B149,INDEX(Decrements!$F$6:$F$58,Census!$G149+AH$5-18),0)+INDEX(Decrements!$E$6:$E$58,Census!$G149+AH$5-18)*IF((Census!$F149+AH$5)&gt;=Assumptions!$B$11,1,0))*MIN(15/26*Census!$D149*(1+Assumptions!$B$9)^AH$5*(INT((Census!$F149+AH$5))+IF((Census!$F149+AH$5)-INT((Census!$F149+AH$5))&gt;0.5,1,0)),Assumptions!$B$10))</f>
        <v>0</v>
      </c>
      <c r="AI149" s="30">
        <f>IF(AI$5&gt;$B149,0,INDEX(Decrements!$G$6:$G$58,Census!$G149+AI$5-18)/INDEX(Decrements!$G$6:$G$58,Census!$G149-17)*(INDEX(Decrements!$D$6:$D$58,Census!$G149+AI$5-18)+IF(AI$5=$B149,INDEX(Decrements!$F$6:$F$58,Census!$G149+AI$5-18),0)+INDEX(Decrements!$E$6:$E$58,Census!$G149+AI$5-18)*IF((Census!$F149+AI$5)&gt;=Assumptions!$B$11,1,0))*MIN(15/26*Census!$D149*(1+Assumptions!$B$9)^AI$5*(INT((Census!$F149+AI$5))+IF((Census!$F149+AI$5)-INT((Census!$F149+AI$5))&gt;0.5,1,0)),Assumptions!$B$10))</f>
        <v>0</v>
      </c>
      <c r="AJ149" s="30">
        <f>IF(AJ$5&gt;$B149,0,INDEX(Decrements!$G$6:$G$58,Census!$G149+AJ$5-18)/INDEX(Decrements!$G$6:$G$58,Census!$G149-17)*(INDEX(Decrements!$D$6:$D$58,Census!$G149+AJ$5-18)+IF(AJ$5=$B149,INDEX(Decrements!$F$6:$F$58,Census!$G149+AJ$5-18),0)+INDEX(Decrements!$E$6:$E$58,Census!$G149+AJ$5-18)*IF((Census!$F149+AJ$5)&gt;=Assumptions!$B$11,1,0))*MIN(15/26*Census!$D149*(1+Assumptions!$B$9)^AJ$5*(INT((Census!$F149+AJ$5))+IF((Census!$F149+AJ$5)-INT((Census!$F149+AJ$5))&gt;0.5,1,0)),Assumptions!$B$10))</f>
        <v>0</v>
      </c>
      <c r="AK149" s="30">
        <f>IF(AK$5&gt;$B149,0,INDEX(Decrements!$G$6:$G$58,Census!$G149+AK$5-18)/INDEX(Decrements!$G$6:$G$58,Census!$G149-17)*(INDEX(Decrements!$D$6:$D$58,Census!$G149+AK$5-18)+IF(AK$5=$B149,INDEX(Decrements!$F$6:$F$58,Census!$G149+AK$5-18),0)+INDEX(Decrements!$E$6:$E$58,Census!$G149+AK$5-18)*IF((Census!$F149+AK$5)&gt;=Assumptions!$B$11,1,0))*MIN(15/26*Census!$D149*(1+Assumptions!$B$9)^AK$5*(INT((Census!$F149+AK$5))+IF((Census!$F149+AK$5)-INT((Census!$F149+AK$5))&gt;0.5,1,0)),Assumptions!$B$10))</f>
        <v>0</v>
      </c>
      <c r="AL149" s="30">
        <f>IF(AL$5&gt;$B149,0,INDEX(Decrements!$G$6:$G$58,Census!$G149+AL$5-18)/INDEX(Decrements!$G$6:$G$58,Census!$G149-17)*(INDEX(Decrements!$D$6:$D$58,Census!$G149+AL$5-18)+IF(AL$5=$B149,INDEX(Decrements!$F$6:$F$58,Census!$G149+AL$5-18),0)+INDEX(Decrements!$E$6:$E$58,Census!$G149+AL$5-18)*IF((Census!$F149+AL$5)&gt;=Assumptions!$B$11,1,0))*MIN(15/26*Census!$D149*(1+Assumptions!$B$9)^AL$5*(INT((Census!$F149+AL$5))+IF((Census!$F149+AL$5)-INT((Census!$F149+AL$5))&gt;0.5,1,0)),Assumptions!$B$10))</f>
        <v>0</v>
      </c>
      <c r="AM149" s="30">
        <f>IF(AM$5&gt;$B149,0,INDEX(Decrements!$G$6:$G$58,Census!$G149+AM$5-18)/INDEX(Decrements!$G$6:$G$58,Census!$G149-17)*(INDEX(Decrements!$D$6:$D$58,Census!$G149+AM$5-18)+IF(AM$5=$B149,INDEX(Decrements!$F$6:$F$58,Census!$G149+AM$5-18),0)+INDEX(Decrements!$E$6:$E$58,Census!$G149+AM$5-18)*IF((Census!$F149+AM$5)&gt;=Assumptions!$B$11,1,0))*MIN(15/26*Census!$D149*(1+Assumptions!$B$9)^AM$5*(INT((Census!$F149+AM$5))+IF((Census!$F149+AM$5)-INT((Census!$F149+AM$5))&gt;0.5,1,0)),Assumptions!$B$10))</f>
        <v>0</v>
      </c>
      <c r="AN149" s="30">
        <f>IF(AN$5&gt;$B149,0,INDEX(Decrements!$G$6:$G$58,Census!$G149+AN$5-18)/INDEX(Decrements!$G$6:$G$58,Census!$G149-17)*(INDEX(Decrements!$D$6:$D$58,Census!$G149+AN$5-18)+IF(AN$5=$B149,INDEX(Decrements!$F$6:$F$58,Census!$G149+AN$5-18),0)+INDEX(Decrements!$E$6:$E$58,Census!$G149+AN$5-18)*IF((Census!$F149+AN$5)&gt;=Assumptions!$B$11,1,0))*MIN(15/26*Census!$D149*(1+Assumptions!$B$9)^AN$5*(INT((Census!$F149+AN$5))+IF((Census!$F149+AN$5)-INT((Census!$F149+AN$5))&gt;0.5,1,0)),Assumptions!$B$10))</f>
        <v>0</v>
      </c>
      <c r="AO149" s="30">
        <f>IF(AO$5&gt;$B149,0,INDEX(Decrements!$G$6:$G$58,Census!$G149+AO$5-18)/INDEX(Decrements!$G$6:$G$58,Census!$G149-17)*(INDEX(Decrements!$D$6:$D$58,Census!$G149+AO$5-18)+IF(AO$5=$B149,INDEX(Decrements!$F$6:$F$58,Census!$G149+AO$5-18),0)+INDEX(Decrements!$E$6:$E$58,Census!$G149+AO$5-18)*IF((Census!$F149+AO$5)&gt;=Assumptions!$B$11,1,0))*MIN(15/26*Census!$D149*(1+Assumptions!$B$9)^AO$5*(INT((Census!$F149+AO$5))+IF((Census!$F149+AO$5)-INT((Census!$F149+AO$5))&gt;0.5,1,0)),Assumptions!$B$10))</f>
        <v>0</v>
      </c>
      <c r="AP149" s="30">
        <f>IF(AP$5&gt;$B149,0,INDEX(Decrements!$G$6:$G$58,Census!$G149+AP$5-18)/INDEX(Decrements!$G$6:$G$58,Census!$G149-17)*(INDEX(Decrements!$D$6:$D$58,Census!$G149+AP$5-18)+IF(AP$5=$B149,INDEX(Decrements!$F$6:$F$58,Census!$G149+AP$5-18),0)+INDEX(Decrements!$E$6:$E$58,Census!$G149+AP$5-18)*IF((Census!$F149+AP$5)&gt;=Assumptions!$B$11,1,0))*MIN(15/26*Census!$D149*(1+Assumptions!$B$9)^AP$5*(INT((Census!$F149+AP$5))+IF((Census!$F149+AP$5)-INT((Census!$F149+AP$5))&gt;0.5,1,0)),Assumptions!$B$10))</f>
        <v>0</v>
      </c>
      <c r="AQ149" s="30">
        <f>IF(AQ$5&gt;$B149,0,INDEX(Decrements!$G$6:$G$58,Census!$G149+AQ$5-18)/INDEX(Decrements!$G$6:$G$58,Census!$G149-17)*(INDEX(Decrements!$D$6:$D$58,Census!$G149+AQ$5-18)+IF(AQ$5=$B149,INDEX(Decrements!$F$6:$F$58,Census!$G149+AQ$5-18),0)+INDEX(Decrements!$E$6:$E$58,Census!$G149+AQ$5-18)*IF((Census!$F149+AQ$5)&gt;=Assumptions!$B$11,1,0))*MIN(15/26*Census!$D149*(1+Assumptions!$B$9)^AQ$5*(INT((Census!$F149+AQ$5))+IF((Census!$F149+AQ$5)-INT((Census!$F149+AQ$5))&gt;0.5,1,0)),Assumptions!$B$10))</f>
        <v>0</v>
      </c>
      <c r="AR149" s="30">
        <f>IF(AR$5&gt;$B149,0,INDEX(Decrements!$G$6:$G$58,Census!$G149+AR$5-18)/INDEX(Decrements!$G$6:$G$58,Census!$G149-17)*(INDEX(Decrements!$D$6:$D$58,Census!$G149+AR$5-18)+IF(AR$5=$B149,INDEX(Decrements!$F$6:$F$58,Census!$G149+AR$5-18),0)+INDEX(Decrements!$E$6:$E$58,Census!$G149+AR$5-18)*IF((Census!$F149+AR$5)&gt;=Assumptions!$B$11,1,0))*MIN(15/26*Census!$D149*(1+Assumptions!$B$9)^AR$5*(INT((Census!$F149+AR$5))+IF((Census!$F149+AR$5)-INT((Census!$F149+AR$5))&gt;0.5,1,0)),Assumptions!$B$10))</f>
        <v>0</v>
      </c>
      <c r="AS149" s="30">
        <f>IF(AS$5&gt;$B149,0,INDEX(Decrements!$G$6:$G$58,Census!$G149+AS$5-18)/INDEX(Decrements!$G$6:$G$58,Census!$G149-17)*(INDEX(Decrements!$D$6:$D$58,Census!$G149+AS$5-18)+IF(AS$5=$B149,INDEX(Decrements!$F$6:$F$58,Census!$G149+AS$5-18),0)+INDEX(Decrements!$E$6:$E$58,Census!$G149+AS$5-18)*IF((Census!$F149+AS$5)&gt;=Assumptions!$B$11,1,0))*MIN(15/26*Census!$D149*(1+Assumptions!$B$9)^AS$5*(INT((Census!$F149+AS$5))+IF((Census!$F149+AS$5)-INT((Census!$F149+AS$5))&gt;0.5,1,0)),Assumptions!$B$10))</f>
        <v>0</v>
      </c>
      <c r="AT149" s="30">
        <f>IF(AT$5&gt;$B149,0,INDEX(Decrements!$G$6:$G$58,Census!$G149+AT$5-18)/INDEX(Decrements!$G$6:$G$58,Census!$G149-17)*(INDEX(Decrements!$D$6:$D$58,Census!$G149+AT$5-18)+IF(AT$5=$B149,INDEX(Decrements!$F$6:$F$58,Census!$G149+AT$5-18),0)+INDEX(Decrements!$E$6:$E$58,Census!$G149+AT$5-18)*IF((Census!$F149+AT$5)&gt;=Assumptions!$B$11,1,0))*MIN(15/26*Census!$D149*(1+Assumptions!$B$9)^AT$5*(INT((Census!$F149+AT$5))+IF((Census!$F149+AT$5)-INT((Census!$F149+AT$5))&gt;0.5,1,0)),Assumptions!$B$10))</f>
        <v>0</v>
      </c>
      <c r="AU149" s="30">
        <f>IF(AU$5&gt;$B149,0,INDEX(Decrements!$G$6:$G$58,Census!$G149+AU$5-18)/INDEX(Decrements!$G$6:$G$58,Census!$G149-17)*(INDEX(Decrements!$D$6:$D$58,Census!$G149+AU$5-18)+IF(AU$5=$B149,INDEX(Decrements!$F$6:$F$58,Census!$G149+AU$5-18),0)+INDEX(Decrements!$E$6:$E$58,Census!$G149+AU$5-18)*IF((Census!$F149+AU$5)&gt;=Assumptions!$B$11,1,0))*MIN(15/26*Census!$D149*(1+Assumptions!$B$9)^AU$5*(INT((Census!$F149+AU$5))+IF((Census!$F149+AU$5)-INT((Census!$F149+AU$5))&gt;0.5,1,0)),Assumptions!$B$10))</f>
        <v>0</v>
      </c>
    </row>
    <row r="150" spans="1:47" x14ac:dyDescent="0.3">
      <c r="A150" s="10" t="str">
        <f>Census!A150</f>
        <v>E145</v>
      </c>
      <c r="B150" s="29">
        <f>Census!H150</f>
        <v>21</v>
      </c>
      <c r="C150" s="30">
        <f>IF(C$5&gt;$B150,0,INDEX(Decrements!$G$6:$G$58,Census!$G150+C$5-18)/INDEX(Decrements!$G$6:$G$58,Census!$G150-17)*(INDEX(Decrements!$D$6:$D$58,Census!$G150+C$5-18)+IF(C$5=$B150,INDEX(Decrements!$F$6:$F$58,Census!$G150+C$5-18),0)+INDEX(Decrements!$E$6:$E$58,Census!$G150+C$5-18)*IF((Census!$F150+C$5)&gt;=Assumptions!$B$11,1,0))*MIN(15/26*Census!$D150*(1+Assumptions!$B$9)^C$5*(INT((Census!$F150+C$5))+IF((Census!$F150+C$5)-INT((Census!$F150+C$5))&gt;0.5,1,0)),Assumptions!$B$10))</f>
        <v>21785.516699193508</v>
      </c>
      <c r="D150" s="30">
        <f>IF(D$5&gt;$B150,0,INDEX(Decrements!$G$6:$G$58,Census!$G150+D$5-18)/INDEX(Decrements!$G$6:$G$58,Census!$G150-17)*(INDEX(Decrements!$D$6:$D$58,Census!$G150+D$5-18)+IF(D$5=$B150,INDEX(Decrements!$F$6:$F$58,Census!$G150+D$5-18),0)+INDEX(Decrements!$E$6:$E$58,Census!$G150+D$5-18)*IF((Census!$F150+D$5)&gt;=Assumptions!$B$11,1,0))*MIN(15/26*Census!$D150*(1+Assumptions!$B$9)^D$5*(INT((Census!$F150+D$5))+IF((Census!$F150+D$5)-INT((Census!$F150+D$5))&gt;0.5,1,0)),Assumptions!$B$10))</f>
        <v>14797.9659553686</v>
      </c>
      <c r="E150" s="30">
        <f>IF(E$5&gt;$B150,0,INDEX(Decrements!$G$6:$G$58,Census!$G150+E$5-18)/INDEX(Decrements!$G$6:$G$58,Census!$G150-17)*(INDEX(Decrements!$D$6:$D$58,Census!$G150+E$5-18)+IF(E$5=$B150,INDEX(Decrements!$F$6:$F$58,Census!$G150+E$5-18),0)+INDEX(Decrements!$E$6:$E$58,Census!$G150+E$5-18)*IF((Census!$F150+E$5)&gt;=Assumptions!$B$11,1,0))*MIN(15/26*Census!$D150*(1+Assumptions!$B$9)^E$5*(INT((Census!$F150+E$5))+IF((Census!$F150+E$5)-INT((Census!$F150+E$5))&gt;0.5,1,0)),Assumptions!$B$10))</f>
        <v>16357.24831126941</v>
      </c>
      <c r="F150" s="30">
        <f>IF(F$5&gt;$B150,0,INDEX(Decrements!$G$6:$G$58,Census!$G150+F$5-18)/INDEX(Decrements!$G$6:$G$58,Census!$G150-17)*(INDEX(Decrements!$D$6:$D$58,Census!$G150+F$5-18)+IF(F$5=$B150,INDEX(Decrements!$F$6:$F$58,Census!$G150+F$5-18),0)+INDEX(Decrements!$E$6:$E$58,Census!$G150+F$5-18)*IF((Census!$F150+F$5)&gt;=Assumptions!$B$11,1,0))*MIN(15/26*Census!$D150*(1+Assumptions!$B$9)^F$5*(INT((Census!$F150+F$5))+IF((Census!$F150+F$5)-INT((Census!$F150+F$5))&gt;0.5,1,0)),Assumptions!$B$10))</f>
        <v>17989.967249670539</v>
      </c>
      <c r="G150" s="30">
        <f>IF(G$5&gt;$B150,0,INDEX(Decrements!$G$6:$G$58,Census!$G150+G$5-18)/INDEX(Decrements!$G$6:$G$58,Census!$G150-17)*(INDEX(Decrements!$D$6:$D$58,Census!$G150+G$5-18)+IF(G$5=$B150,INDEX(Decrements!$F$6:$F$58,Census!$G150+G$5-18),0)+INDEX(Decrements!$E$6:$E$58,Census!$G150+G$5-18)*IF((Census!$F150+G$5)&gt;=Assumptions!$B$11,1,0))*MIN(15/26*Census!$D150*(1+Assumptions!$B$9)^G$5*(INT((Census!$F150+G$5))+IF((Census!$F150+G$5)-INT((Census!$F150+G$5))&gt;0.5,1,0)),Assumptions!$B$10))</f>
        <v>19699.371266453236</v>
      </c>
      <c r="H150" s="30">
        <f>IF(H$5&gt;$B150,0,INDEX(Decrements!$G$6:$G$58,Census!$G150+H$5-18)/INDEX(Decrements!$G$6:$G$58,Census!$G150-17)*(INDEX(Decrements!$D$6:$D$58,Census!$G150+H$5-18)+IF(H$5=$B150,INDEX(Decrements!$F$6:$F$58,Census!$G150+H$5-18),0)+INDEX(Decrements!$E$6:$E$58,Census!$G150+H$5-18)*IF((Census!$F150+H$5)&gt;=Assumptions!$B$11,1,0))*MIN(15/26*Census!$D150*(1+Assumptions!$B$9)^H$5*(INT((Census!$F150+H$5))+IF((Census!$F150+H$5)-INT((Census!$F150+H$5))&gt;0.5,1,0)),Assumptions!$B$10))</f>
        <v>21488.899481610195</v>
      </c>
      <c r="I150" s="30">
        <f>IF(I$5&gt;$B150,0,INDEX(Decrements!$G$6:$G$58,Census!$G150+I$5-18)/INDEX(Decrements!$G$6:$G$58,Census!$G150-17)*(INDEX(Decrements!$D$6:$D$58,Census!$G150+I$5-18)+IF(I$5=$B150,INDEX(Decrements!$F$6:$F$58,Census!$G150+I$5-18),0)+INDEX(Decrements!$E$6:$E$58,Census!$G150+I$5-18)*IF((Census!$F150+I$5)&gt;=Assumptions!$B$11,1,0))*MIN(15/26*Census!$D150*(1+Assumptions!$B$9)^I$5*(INT((Census!$F150+I$5))+IF((Census!$F150+I$5)-INT((Census!$F150+I$5))&gt;0.5,1,0)),Assumptions!$B$10))</f>
        <v>14364.868833097702</v>
      </c>
      <c r="J150" s="30">
        <f>IF(J$5&gt;$B150,0,INDEX(Decrements!$G$6:$G$58,Census!$G150+J$5-18)/INDEX(Decrements!$G$6:$G$58,Census!$G150-17)*(INDEX(Decrements!$D$6:$D$58,Census!$G150+J$5-18)+IF(J$5=$B150,INDEX(Decrements!$F$6:$F$58,Census!$G150+J$5-18),0)+INDEX(Decrements!$E$6:$E$58,Census!$G150+J$5-18)*IF((Census!$F150+J$5)&gt;=Assumptions!$B$11,1,0))*MIN(15/26*Census!$D150*(1+Assumptions!$B$9)^J$5*(INT((Census!$F150+J$5))+IF((Census!$F150+J$5)-INT((Census!$F150+J$5))&gt;0.5,1,0)),Assumptions!$B$10))</f>
        <v>15927.709759376028</v>
      </c>
      <c r="K150" s="30">
        <f>IF(K$5&gt;$B150,0,INDEX(Decrements!$G$6:$G$58,Census!$G150+K$5-18)/INDEX(Decrements!$G$6:$G$58,Census!$G150-17)*(INDEX(Decrements!$D$6:$D$58,Census!$G150+K$5-18)+IF(K$5=$B150,INDEX(Decrements!$F$6:$F$58,Census!$G150+K$5-18),0)+INDEX(Decrements!$E$6:$E$58,Census!$G150+K$5-18)*IF((Census!$F150+K$5)&gt;=Assumptions!$B$11,1,0))*MIN(15/26*Census!$D150*(1+Assumptions!$B$9)^K$5*(INT((Census!$F150+K$5))+IF((Census!$F150+K$5)-INT((Census!$F150+K$5))&gt;0.5,1,0)),Assumptions!$B$10))</f>
        <v>17616.681522153285</v>
      </c>
      <c r="L150" s="30">
        <f>IF(L$5&gt;$B150,0,INDEX(Decrements!$G$6:$G$58,Census!$G150+L$5-18)/INDEX(Decrements!$G$6:$G$58,Census!$G150-17)*(INDEX(Decrements!$D$6:$D$58,Census!$G150+L$5-18)+IF(L$5=$B150,INDEX(Decrements!$F$6:$F$58,Census!$G150+L$5-18),0)+INDEX(Decrements!$E$6:$E$58,Census!$G150+L$5-18)*IF((Census!$F150+L$5)&gt;=Assumptions!$B$11,1,0))*MIN(15/26*Census!$D150*(1+Assumptions!$B$9)^L$5*(INT((Census!$F150+L$5))+IF((Census!$F150+L$5)-INT((Census!$F150+L$5))&gt;0.5,1,0)),Assumptions!$B$10))</f>
        <v>19442.037298280935</v>
      </c>
      <c r="M150" s="30">
        <f>IF(M$5&gt;$B150,0,INDEX(Decrements!$G$6:$G$58,Census!$G150+M$5-18)/INDEX(Decrements!$G$6:$G$58,Census!$G150-17)*(INDEX(Decrements!$D$6:$D$58,Census!$G150+M$5-18)+IF(M$5=$B150,INDEX(Decrements!$F$6:$F$58,Census!$G150+M$5-18),0)+INDEX(Decrements!$E$6:$E$58,Census!$G150+M$5-18)*IF((Census!$F150+M$5)&gt;=Assumptions!$B$11,1,0))*MIN(15/26*Census!$D150*(1+Assumptions!$B$9)^M$5*(INT((Census!$F150+M$5))+IF((Census!$F150+M$5)-INT((Census!$F150+M$5))&gt;0.5,1,0)),Assumptions!$B$10))</f>
        <v>21415.011726261731</v>
      </c>
      <c r="N150" s="30">
        <f>IF(N$5&gt;$B150,0,INDEX(Decrements!$G$6:$G$58,Census!$G150+N$5-18)/INDEX(Decrements!$G$6:$G$58,Census!$G150-17)*(INDEX(Decrements!$D$6:$D$58,Census!$G150+N$5-18)+IF(N$5=$B150,INDEX(Decrements!$F$6:$F$58,Census!$G150+N$5-18),0)+INDEX(Decrements!$E$6:$E$58,Census!$G150+N$5-18)*IF((Census!$F150+N$5)&gt;=Assumptions!$B$11,1,0))*MIN(15/26*Census!$D150*(1+Assumptions!$B$9)^N$5*(INT((Census!$F150+N$5))+IF((Census!$F150+N$5)-INT((Census!$F150+N$5))&gt;0.5,1,0)),Assumptions!$B$10))</f>
        <v>16383.417906806188</v>
      </c>
      <c r="O150" s="30">
        <f>IF(O$5&gt;$B150,0,INDEX(Decrements!$G$6:$G$58,Census!$G150+O$5-18)/INDEX(Decrements!$G$6:$G$58,Census!$G150-17)*(INDEX(Decrements!$D$6:$D$58,Census!$G150+O$5-18)+IF(O$5=$B150,INDEX(Decrements!$F$6:$F$58,Census!$G150+O$5-18),0)+INDEX(Decrements!$E$6:$E$58,Census!$G150+O$5-18)*IF((Census!$F150+O$5)&gt;=Assumptions!$B$11,1,0))*MIN(15/26*Census!$D150*(1+Assumptions!$B$9)^O$5*(INT((Census!$F150+O$5))+IF((Census!$F150+O$5)-INT((Census!$F150+O$5))&gt;0.5,1,0)),Assumptions!$B$10))</f>
        <v>18232.843034399884</v>
      </c>
      <c r="P150" s="30">
        <f>IF(P$5&gt;$B150,0,INDEX(Decrements!$G$6:$G$58,Census!$G150+P$5-18)/INDEX(Decrements!$G$6:$G$58,Census!$G150-17)*(INDEX(Decrements!$D$6:$D$58,Census!$G150+P$5-18)+IF(P$5=$B150,INDEX(Decrements!$F$6:$F$58,Census!$G150+P$5-18),0)+INDEX(Decrements!$E$6:$E$58,Census!$G150+P$5-18)*IF((Census!$F150+P$5)&gt;=Assumptions!$B$11,1,0))*MIN(15/26*Census!$D150*(1+Assumptions!$B$9)^P$5*(INT((Census!$F150+P$5))+IF((Census!$F150+P$5)-INT((Census!$F150+P$5))&gt;0.5,1,0)),Assumptions!$B$10))</f>
        <v>20269.484615701367</v>
      </c>
      <c r="Q150" s="30">
        <f>IF(Q$5&gt;$B150,0,INDEX(Decrements!$G$6:$G$58,Census!$G150+Q$5-18)/INDEX(Decrements!$G$6:$G$58,Census!$G150-17)*(INDEX(Decrements!$D$6:$D$58,Census!$G150+Q$5-18)+IF(Q$5=$B150,INDEX(Decrements!$F$6:$F$58,Census!$G150+Q$5-18),0)+INDEX(Decrements!$E$6:$E$58,Census!$G150+Q$5-18)*IF((Census!$F150+Q$5)&gt;=Assumptions!$B$11,1,0))*MIN(15/26*Census!$D150*(1+Assumptions!$B$9)^Q$5*(INT((Census!$F150+Q$5))+IF((Census!$F150+Q$5)-INT((Census!$F150+Q$5))&gt;0.5,1,0)),Assumptions!$B$10))</f>
        <v>22513.746078134118</v>
      </c>
      <c r="R150" s="30">
        <f>IF(R$5&gt;$B150,0,INDEX(Decrements!$G$6:$G$58,Census!$G150+R$5-18)/INDEX(Decrements!$G$6:$G$58,Census!$G150-17)*(INDEX(Decrements!$D$6:$D$58,Census!$G150+R$5-18)+IF(R$5=$B150,INDEX(Decrements!$F$6:$F$58,Census!$G150+R$5-18),0)+INDEX(Decrements!$E$6:$E$58,Census!$G150+R$5-18)*IF((Census!$F150+R$5)&gt;=Assumptions!$B$11,1,0))*MIN(15/26*Census!$D150*(1+Assumptions!$B$9)^R$5*(INT((Census!$F150+R$5))+IF((Census!$F150+R$5)-INT((Census!$F150+R$5))&gt;0.5,1,0)),Assumptions!$B$10))</f>
        <v>24988.568715327125</v>
      </c>
      <c r="S150" s="30">
        <f>IF(S$5&gt;$B150,0,INDEX(Decrements!$G$6:$G$58,Census!$G150+S$5-18)/INDEX(Decrements!$G$6:$G$58,Census!$G150-17)*(INDEX(Decrements!$D$6:$D$58,Census!$G150+S$5-18)+IF(S$5=$B150,INDEX(Decrements!$F$6:$F$58,Census!$G150+S$5-18),0)+INDEX(Decrements!$E$6:$E$58,Census!$G150+S$5-18)*IF((Census!$F150+S$5)&gt;=Assumptions!$B$11,1,0))*MIN(15/26*Census!$D150*(1+Assumptions!$B$9)^S$5*(INT((Census!$F150+S$5))+IF((Census!$F150+S$5)-INT((Census!$F150+S$5))&gt;0.5,1,0)),Assumptions!$B$10))</f>
        <v>15238.09938259788</v>
      </c>
      <c r="T150" s="30">
        <f>IF(T$5&gt;$B150,0,INDEX(Decrements!$G$6:$G$58,Census!$G150+T$5-18)/INDEX(Decrements!$G$6:$G$58,Census!$G150-17)*(INDEX(Decrements!$D$6:$D$58,Census!$G150+T$5-18)+IF(T$5=$B150,INDEX(Decrements!$F$6:$F$58,Census!$G150+T$5-18),0)+INDEX(Decrements!$E$6:$E$58,Census!$G150+T$5-18)*IF((Census!$F150+T$5)&gt;=Assumptions!$B$11,1,0))*MIN(15/26*Census!$D150*(1+Assumptions!$B$9)^T$5*(INT((Census!$F150+T$5))+IF((Census!$F150+T$5)-INT((Census!$F150+T$5))&gt;0.5,1,0)),Assumptions!$B$10))</f>
        <v>15430.22557286387</v>
      </c>
      <c r="U150" s="30">
        <f>IF(U$5&gt;$B150,0,INDEX(Decrements!$G$6:$G$58,Census!$G150+U$5-18)/INDEX(Decrements!$G$6:$G$58,Census!$G150-17)*(INDEX(Decrements!$D$6:$D$58,Census!$G150+U$5-18)+IF(U$5=$B150,INDEX(Decrements!$F$6:$F$58,Census!$G150+U$5-18),0)+INDEX(Decrements!$E$6:$E$58,Census!$G150+U$5-18)*IF((Census!$F150+U$5)&gt;=Assumptions!$B$11,1,0))*MIN(15/26*Census!$D150*(1+Assumptions!$B$9)^U$5*(INT((Census!$F150+U$5))+IF((Census!$F150+U$5)-INT((Census!$F150+U$5))&gt;0.5,1,0)),Assumptions!$B$10))</f>
        <v>15647.772402611306</v>
      </c>
      <c r="V150" s="30">
        <f>IF(V$5&gt;$B150,0,INDEX(Decrements!$G$6:$G$58,Census!$G150+V$5-18)/INDEX(Decrements!$G$6:$G$58,Census!$G150-17)*(INDEX(Decrements!$D$6:$D$58,Census!$G150+V$5-18)+IF(V$5=$B150,INDEX(Decrements!$F$6:$F$58,Census!$G150+V$5-18),0)+INDEX(Decrements!$E$6:$E$58,Census!$G150+V$5-18)*IF((Census!$F150+V$5)&gt;=Assumptions!$B$11,1,0))*MIN(15/26*Census!$D150*(1+Assumptions!$B$9)^V$5*(INT((Census!$F150+V$5))+IF((Census!$F150+V$5)-INT((Census!$F150+V$5))&gt;0.5,1,0)),Assumptions!$B$10))</f>
        <v>15892.218432355952</v>
      </c>
      <c r="W150" s="30">
        <f>IF(W$5&gt;$B150,0,INDEX(Decrements!$G$6:$G$58,Census!$G150+W$5-18)/INDEX(Decrements!$G$6:$G$58,Census!$G150-17)*(INDEX(Decrements!$D$6:$D$58,Census!$G150+W$5-18)+IF(W$5=$B150,INDEX(Decrements!$F$6:$F$58,Census!$G150+W$5-18),0)+INDEX(Decrements!$E$6:$E$58,Census!$G150+W$5-18)*IF((Census!$F150+W$5)&gt;=Assumptions!$B$11,1,0))*MIN(15/26*Census!$D150*(1+Assumptions!$B$9)^W$5*(INT((Census!$F150+W$5))+IF((Census!$F150+W$5)-INT((Census!$F150+W$5))&gt;0.5,1,0)),Assumptions!$B$10))</f>
        <v>1002340.4356170596</v>
      </c>
      <c r="X150" s="30">
        <f>IF(X$5&gt;$B150,0,INDEX(Decrements!$G$6:$G$58,Census!$G150+X$5-18)/INDEX(Decrements!$G$6:$G$58,Census!$G150-17)*(INDEX(Decrements!$D$6:$D$58,Census!$G150+X$5-18)+IF(X$5=$B150,INDEX(Decrements!$F$6:$F$58,Census!$G150+X$5-18),0)+INDEX(Decrements!$E$6:$E$58,Census!$G150+X$5-18)*IF((Census!$F150+X$5)&gt;=Assumptions!$B$11,1,0))*MIN(15/26*Census!$D150*(1+Assumptions!$B$9)^X$5*(INT((Census!$F150+X$5))+IF((Census!$F150+X$5)-INT((Census!$F150+X$5))&gt;0.5,1,0)),Assumptions!$B$10))</f>
        <v>0</v>
      </c>
      <c r="Y150" s="30">
        <f>IF(Y$5&gt;$B150,0,INDEX(Decrements!$G$6:$G$58,Census!$G150+Y$5-18)/INDEX(Decrements!$G$6:$G$58,Census!$G150-17)*(INDEX(Decrements!$D$6:$D$58,Census!$G150+Y$5-18)+IF(Y$5=$B150,INDEX(Decrements!$F$6:$F$58,Census!$G150+Y$5-18),0)+INDEX(Decrements!$E$6:$E$58,Census!$G150+Y$5-18)*IF((Census!$F150+Y$5)&gt;=Assumptions!$B$11,1,0))*MIN(15/26*Census!$D150*(1+Assumptions!$B$9)^Y$5*(INT((Census!$F150+Y$5))+IF((Census!$F150+Y$5)-INT((Census!$F150+Y$5))&gt;0.5,1,0)),Assumptions!$B$10))</f>
        <v>0</v>
      </c>
      <c r="Z150" s="30">
        <f>IF(Z$5&gt;$B150,0,INDEX(Decrements!$G$6:$G$58,Census!$G150+Z$5-18)/INDEX(Decrements!$G$6:$G$58,Census!$G150-17)*(INDEX(Decrements!$D$6:$D$58,Census!$G150+Z$5-18)+IF(Z$5=$B150,INDEX(Decrements!$F$6:$F$58,Census!$G150+Z$5-18),0)+INDEX(Decrements!$E$6:$E$58,Census!$G150+Z$5-18)*IF((Census!$F150+Z$5)&gt;=Assumptions!$B$11,1,0))*MIN(15/26*Census!$D150*(1+Assumptions!$B$9)^Z$5*(INT((Census!$F150+Z$5))+IF((Census!$F150+Z$5)-INT((Census!$F150+Z$5))&gt;0.5,1,0)),Assumptions!$B$10))</f>
        <v>0</v>
      </c>
      <c r="AA150" s="30">
        <f>IF(AA$5&gt;$B150,0,INDEX(Decrements!$G$6:$G$58,Census!$G150+AA$5-18)/INDEX(Decrements!$G$6:$G$58,Census!$G150-17)*(INDEX(Decrements!$D$6:$D$58,Census!$G150+AA$5-18)+IF(AA$5=$B150,INDEX(Decrements!$F$6:$F$58,Census!$G150+AA$5-18),0)+INDEX(Decrements!$E$6:$E$58,Census!$G150+AA$5-18)*IF((Census!$F150+AA$5)&gt;=Assumptions!$B$11,1,0))*MIN(15/26*Census!$D150*(1+Assumptions!$B$9)^AA$5*(INT((Census!$F150+AA$5))+IF((Census!$F150+AA$5)-INT((Census!$F150+AA$5))&gt;0.5,1,0)),Assumptions!$B$10))</f>
        <v>0</v>
      </c>
      <c r="AB150" s="30">
        <f>IF(AB$5&gt;$B150,0,INDEX(Decrements!$G$6:$G$58,Census!$G150+AB$5-18)/INDEX(Decrements!$G$6:$G$58,Census!$G150-17)*(INDEX(Decrements!$D$6:$D$58,Census!$G150+AB$5-18)+IF(AB$5=$B150,INDEX(Decrements!$F$6:$F$58,Census!$G150+AB$5-18),0)+INDEX(Decrements!$E$6:$E$58,Census!$G150+AB$5-18)*IF((Census!$F150+AB$5)&gt;=Assumptions!$B$11,1,0))*MIN(15/26*Census!$D150*(1+Assumptions!$B$9)^AB$5*(INT((Census!$F150+AB$5))+IF((Census!$F150+AB$5)-INT((Census!$F150+AB$5))&gt;0.5,1,0)),Assumptions!$B$10))</f>
        <v>0</v>
      </c>
      <c r="AC150" s="30">
        <f>IF(AC$5&gt;$B150,0,INDEX(Decrements!$G$6:$G$58,Census!$G150+AC$5-18)/INDEX(Decrements!$G$6:$G$58,Census!$G150-17)*(INDEX(Decrements!$D$6:$D$58,Census!$G150+AC$5-18)+IF(AC$5=$B150,INDEX(Decrements!$F$6:$F$58,Census!$G150+AC$5-18),0)+INDEX(Decrements!$E$6:$E$58,Census!$G150+AC$5-18)*IF((Census!$F150+AC$5)&gt;=Assumptions!$B$11,1,0))*MIN(15/26*Census!$D150*(1+Assumptions!$B$9)^AC$5*(INT((Census!$F150+AC$5))+IF((Census!$F150+AC$5)-INT((Census!$F150+AC$5))&gt;0.5,1,0)),Assumptions!$B$10))</f>
        <v>0</v>
      </c>
      <c r="AD150" s="30">
        <f>IF(AD$5&gt;$B150,0,INDEX(Decrements!$G$6:$G$58,Census!$G150+AD$5-18)/INDEX(Decrements!$G$6:$G$58,Census!$G150-17)*(INDEX(Decrements!$D$6:$D$58,Census!$G150+AD$5-18)+IF(AD$5=$B150,INDEX(Decrements!$F$6:$F$58,Census!$G150+AD$5-18),0)+INDEX(Decrements!$E$6:$E$58,Census!$G150+AD$5-18)*IF((Census!$F150+AD$5)&gt;=Assumptions!$B$11,1,0))*MIN(15/26*Census!$D150*(1+Assumptions!$B$9)^AD$5*(INT((Census!$F150+AD$5))+IF((Census!$F150+AD$5)-INT((Census!$F150+AD$5))&gt;0.5,1,0)),Assumptions!$B$10))</f>
        <v>0</v>
      </c>
      <c r="AE150" s="30">
        <f>IF(AE$5&gt;$B150,0,INDEX(Decrements!$G$6:$G$58,Census!$G150+AE$5-18)/INDEX(Decrements!$G$6:$G$58,Census!$G150-17)*(INDEX(Decrements!$D$6:$D$58,Census!$G150+AE$5-18)+IF(AE$5=$B150,INDEX(Decrements!$F$6:$F$58,Census!$G150+AE$5-18),0)+INDEX(Decrements!$E$6:$E$58,Census!$G150+AE$5-18)*IF((Census!$F150+AE$5)&gt;=Assumptions!$B$11,1,0))*MIN(15/26*Census!$D150*(1+Assumptions!$B$9)^AE$5*(INT((Census!$F150+AE$5))+IF((Census!$F150+AE$5)-INT((Census!$F150+AE$5))&gt;0.5,1,0)),Assumptions!$B$10))</f>
        <v>0</v>
      </c>
      <c r="AF150" s="30">
        <f>IF(AF$5&gt;$B150,0,INDEX(Decrements!$G$6:$G$58,Census!$G150+AF$5-18)/INDEX(Decrements!$G$6:$G$58,Census!$G150-17)*(INDEX(Decrements!$D$6:$D$58,Census!$G150+AF$5-18)+IF(AF$5=$B150,INDEX(Decrements!$F$6:$F$58,Census!$G150+AF$5-18),0)+INDEX(Decrements!$E$6:$E$58,Census!$G150+AF$5-18)*IF((Census!$F150+AF$5)&gt;=Assumptions!$B$11,1,0))*MIN(15/26*Census!$D150*(1+Assumptions!$B$9)^AF$5*(INT((Census!$F150+AF$5))+IF((Census!$F150+AF$5)-INT((Census!$F150+AF$5))&gt;0.5,1,0)),Assumptions!$B$10))</f>
        <v>0</v>
      </c>
      <c r="AG150" s="30">
        <f>IF(AG$5&gt;$B150,0,INDEX(Decrements!$G$6:$G$58,Census!$G150+AG$5-18)/INDEX(Decrements!$G$6:$G$58,Census!$G150-17)*(INDEX(Decrements!$D$6:$D$58,Census!$G150+AG$5-18)+IF(AG$5=$B150,INDEX(Decrements!$F$6:$F$58,Census!$G150+AG$5-18),0)+INDEX(Decrements!$E$6:$E$58,Census!$G150+AG$5-18)*IF((Census!$F150+AG$5)&gt;=Assumptions!$B$11,1,0))*MIN(15/26*Census!$D150*(1+Assumptions!$B$9)^AG$5*(INT((Census!$F150+AG$5))+IF((Census!$F150+AG$5)-INT((Census!$F150+AG$5))&gt;0.5,1,0)),Assumptions!$B$10))</f>
        <v>0</v>
      </c>
      <c r="AH150" s="30">
        <f>IF(AH$5&gt;$B150,0,INDEX(Decrements!$G$6:$G$58,Census!$G150+AH$5-18)/INDEX(Decrements!$G$6:$G$58,Census!$G150-17)*(INDEX(Decrements!$D$6:$D$58,Census!$G150+AH$5-18)+IF(AH$5=$B150,INDEX(Decrements!$F$6:$F$58,Census!$G150+AH$5-18),0)+INDEX(Decrements!$E$6:$E$58,Census!$G150+AH$5-18)*IF((Census!$F150+AH$5)&gt;=Assumptions!$B$11,1,0))*MIN(15/26*Census!$D150*(1+Assumptions!$B$9)^AH$5*(INT((Census!$F150+AH$5))+IF((Census!$F150+AH$5)-INT((Census!$F150+AH$5))&gt;0.5,1,0)),Assumptions!$B$10))</f>
        <v>0</v>
      </c>
      <c r="AI150" s="30">
        <f>IF(AI$5&gt;$B150,0,INDEX(Decrements!$G$6:$G$58,Census!$G150+AI$5-18)/INDEX(Decrements!$G$6:$G$58,Census!$G150-17)*(INDEX(Decrements!$D$6:$D$58,Census!$G150+AI$5-18)+IF(AI$5=$B150,INDEX(Decrements!$F$6:$F$58,Census!$G150+AI$5-18),0)+INDEX(Decrements!$E$6:$E$58,Census!$G150+AI$5-18)*IF((Census!$F150+AI$5)&gt;=Assumptions!$B$11,1,0))*MIN(15/26*Census!$D150*(1+Assumptions!$B$9)^AI$5*(INT((Census!$F150+AI$5))+IF((Census!$F150+AI$5)-INT((Census!$F150+AI$5))&gt;0.5,1,0)),Assumptions!$B$10))</f>
        <v>0</v>
      </c>
      <c r="AJ150" s="30">
        <f>IF(AJ$5&gt;$B150,0,INDEX(Decrements!$G$6:$G$58,Census!$G150+AJ$5-18)/INDEX(Decrements!$G$6:$G$58,Census!$G150-17)*(INDEX(Decrements!$D$6:$D$58,Census!$G150+AJ$5-18)+IF(AJ$5=$B150,INDEX(Decrements!$F$6:$F$58,Census!$G150+AJ$5-18),0)+INDEX(Decrements!$E$6:$E$58,Census!$G150+AJ$5-18)*IF((Census!$F150+AJ$5)&gt;=Assumptions!$B$11,1,0))*MIN(15/26*Census!$D150*(1+Assumptions!$B$9)^AJ$5*(INT((Census!$F150+AJ$5))+IF((Census!$F150+AJ$5)-INT((Census!$F150+AJ$5))&gt;0.5,1,0)),Assumptions!$B$10))</f>
        <v>0</v>
      </c>
      <c r="AK150" s="30">
        <f>IF(AK$5&gt;$B150,0,INDEX(Decrements!$G$6:$G$58,Census!$G150+AK$5-18)/INDEX(Decrements!$G$6:$G$58,Census!$G150-17)*(INDEX(Decrements!$D$6:$D$58,Census!$G150+AK$5-18)+IF(AK$5=$B150,INDEX(Decrements!$F$6:$F$58,Census!$G150+AK$5-18),0)+INDEX(Decrements!$E$6:$E$58,Census!$G150+AK$5-18)*IF((Census!$F150+AK$5)&gt;=Assumptions!$B$11,1,0))*MIN(15/26*Census!$D150*(1+Assumptions!$B$9)^AK$5*(INT((Census!$F150+AK$5))+IF((Census!$F150+AK$5)-INT((Census!$F150+AK$5))&gt;0.5,1,0)),Assumptions!$B$10))</f>
        <v>0</v>
      </c>
      <c r="AL150" s="30">
        <f>IF(AL$5&gt;$B150,0,INDEX(Decrements!$G$6:$G$58,Census!$G150+AL$5-18)/INDEX(Decrements!$G$6:$G$58,Census!$G150-17)*(INDEX(Decrements!$D$6:$D$58,Census!$G150+AL$5-18)+IF(AL$5=$B150,INDEX(Decrements!$F$6:$F$58,Census!$G150+AL$5-18),0)+INDEX(Decrements!$E$6:$E$58,Census!$G150+AL$5-18)*IF((Census!$F150+AL$5)&gt;=Assumptions!$B$11,1,0))*MIN(15/26*Census!$D150*(1+Assumptions!$B$9)^AL$5*(INT((Census!$F150+AL$5))+IF((Census!$F150+AL$5)-INT((Census!$F150+AL$5))&gt;0.5,1,0)),Assumptions!$B$10))</f>
        <v>0</v>
      </c>
      <c r="AM150" s="30">
        <f>IF(AM$5&gt;$B150,0,INDEX(Decrements!$G$6:$G$58,Census!$G150+AM$5-18)/INDEX(Decrements!$G$6:$G$58,Census!$G150-17)*(INDEX(Decrements!$D$6:$D$58,Census!$G150+AM$5-18)+IF(AM$5=$B150,INDEX(Decrements!$F$6:$F$58,Census!$G150+AM$5-18),0)+INDEX(Decrements!$E$6:$E$58,Census!$G150+AM$5-18)*IF((Census!$F150+AM$5)&gt;=Assumptions!$B$11,1,0))*MIN(15/26*Census!$D150*(1+Assumptions!$B$9)^AM$5*(INT((Census!$F150+AM$5))+IF((Census!$F150+AM$5)-INT((Census!$F150+AM$5))&gt;0.5,1,0)),Assumptions!$B$10))</f>
        <v>0</v>
      </c>
      <c r="AN150" s="30">
        <f>IF(AN$5&gt;$B150,0,INDEX(Decrements!$G$6:$G$58,Census!$G150+AN$5-18)/INDEX(Decrements!$G$6:$G$58,Census!$G150-17)*(INDEX(Decrements!$D$6:$D$58,Census!$G150+AN$5-18)+IF(AN$5=$B150,INDEX(Decrements!$F$6:$F$58,Census!$G150+AN$5-18),0)+INDEX(Decrements!$E$6:$E$58,Census!$G150+AN$5-18)*IF((Census!$F150+AN$5)&gt;=Assumptions!$B$11,1,0))*MIN(15/26*Census!$D150*(1+Assumptions!$B$9)^AN$5*(INT((Census!$F150+AN$5))+IF((Census!$F150+AN$5)-INT((Census!$F150+AN$5))&gt;0.5,1,0)),Assumptions!$B$10))</f>
        <v>0</v>
      </c>
      <c r="AO150" s="30">
        <f>IF(AO$5&gt;$B150,0,INDEX(Decrements!$G$6:$G$58,Census!$G150+AO$5-18)/INDEX(Decrements!$G$6:$G$58,Census!$G150-17)*(INDEX(Decrements!$D$6:$D$58,Census!$G150+AO$5-18)+IF(AO$5=$B150,INDEX(Decrements!$F$6:$F$58,Census!$G150+AO$5-18),0)+INDEX(Decrements!$E$6:$E$58,Census!$G150+AO$5-18)*IF((Census!$F150+AO$5)&gt;=Assumptions!$B$11,1,0))*MIN(15/26*Census!$D150*(1+Assumptions!$B$9)^AO$5*(INT((Census!$F150+AO$5))+IF((Census!$F150+AO$5)-INT((Census!$F150+AO$5))&gt;0.5,1,0)),Assumptions!$B$10))</f>
        <v>0</v>
      </c>
      <c r="AP150" s="30">
        <f>IF(AP$5&gt;$B150,0,INDEX(Decrements!$G$6:$G$58,Census!$G150+AP$5-18)/INDEX(Decrements!$G$6:$G$58,Census!$G150-17)*(INDEX(Decrements!$D$6:$D$58,Census!$G150+AP$5-18)+IF(AP$5=$B150,INDEX(Decrements!$F$6:$F$58,Census!$G150+AP$5-18),0)+INDEX(Decrements!$E$6:$E$58,Census!$G150+AP$5-18)*IF((Census!$F150+AP$5)&gt;=Assumptions!$B$11,1,0))*MIN(15/26*Census!$D150*(1+Assumptions!$B$9)^AP$5*(INT((Census!$F150+AP$5))+IF((Census!$F150+AP$5)-INT((Census!$F150+AP$5))&gt;0.5,1,0)),Assumptions!$B$10))</f>
        <v>0</v>
      </c>
      <c r="AQ150" s="30">
        <f>IF(AQ$5&gt;$B150,0,INDEX(Decrements!$G$6:$G$58,Census!$G150+AQ$5-18)/INDEX(Decrements!$G$6:$G$58,Census!$G150-17)*(INDEX(Decrements!$D$6:$D$58,Census!$G150+AQ$5-18)+IF(AQ$5=$B150,INDEX(Decrements!$F$6:$F$58,Census!$G150+AQ$5-18),0)+INDEX(Decrements!$E$6:$E$58,Census!$G150+AQ$5-18)*IF((Census!$F150+AQ$5)&gt;=Assumptions!$B$11,1,0))*MIN(15/26*Census!$D150*(1+Assumptions!$B$9)^AQ$5*(INT((Census!$F150+AQ$5))+IF((Census!$F150+AQ$5)-INT((Census!$F150+AQ$5))&gt;0.5,1,0)),Assumptions!$B$10))</f>
        <v>0</v>
      </c>
      <c r="AR150" s="30">
        <f>IF(AR$5&gt;$B150,0,INDEX(Decrements!$G$6:$G$58,Census!$G150+AR$5-18)/INDEX(Decrements!$G$6:$G$58,Census!$G150-17)*(INDEX(Decrements!$D$6:$D$58,Census!$G150+AR$5-18)+IF(AR$5=$B150,INDEX(Decrements!$F$6:$F$58,Census!$G150+AR$5-18),0)+INDEX(Decrements!$E$6:$E$58,Census!$G150+AR$5-18)*IF((Census!$F150+AR$5)&gt;=Assumptions!$B$11,1,0))*MIN(15/26*Census!$D150*(1+Assumptions!$B$9)^AR$5*(INT((Census!$F150+AR$5))+IF((Census!$F150+AR$5)-INT((Census!$F150+AR$5))&gt;0.5,1,0)),Assumptions!$B$10))</f>
        <v>0</v>
      </c>
      <c r="AS150" s="30">
        <f>IF(AS$5&gt;$B150,0,INDEX(Decrements!$G$6:$G$58,Census!$G150+AS$5-18)/INDEX(Decrements!$G$6:$G$58,Census!$G150-17)*(INDEX(Decrements!$D$6:$D$58,Census!$G150+AS$5-18)+IF(AS$5=$B150,INDEX(Decrements!$F$6:$F$58,Census!$G150+AS$5-18),0)+INDEX(Decrements!$E$6:$E$58,Census!$G150+AS$5-18)*IF((Census!$F150+AS$5)&gt;=Assumptions!$B$11,1,0))*MIN(15/26*Census!$D150*(1+Assumptions!$B$9)^AS$5*(INT((Census!$F150+AS$5))+IF((Census!$F150+AS$5)-INT((Census!$F150+AS$5))&gt;0.5,1,0)),Assumptions!$B$10))</f>
        <v>0</v>
      </c>
      <c r="AT150" s="30">
        <f>IF(AT$5&gt;$B150,0,INDEX(Decrements!$G$6:$G$58,Census!$G150+AT$5-18)/INDEX(Decrements!$G$6:$G$58,Census!$G150-17)*(INDEX(Decrements!$D$6:$D$58,Census!$G150+AT$5-18)+IF(AT$5=$B150,INDEX(Decrements!$F$6:$F$58,Census!$G150+AT$5-18),0)+INDEX(Decrements!$E$6:$E$58,Census!$G150+AT$5-18)*IF((Census!$F150+AT$5)&gt;=Assumptions!$B$11,1,0))*MIN(15/26*Census!$D150*(1+Assumptions!$B$9)^AT$5*(INT((Census!$F150+AT$5))+IF((Census!$F150+AT$5)-INT((Census!$F150+AT$5))&gt;0.5,1,0)),Assumptions!$B$10))</f>
        <v>0</v>
      </c>
      <c r="AU150" s="30">
        <f>IF(AU$5&gt;$B150,0,INDEX(Decrements!$G$6:$G$58,Census!$G150+AU$5-18)/INDEX(Decrements!$G$6:$G$58,Census!$G150-17)*(INDEX(Decrements!$D$6:$D$58,Census!$G150+AU$5-18)+IF(AU$5=$B150,INDEX(Decrements!$F$6:$F$58,Census!$G150+AU$5-18),0)+INDEX(Decrements!$E$6:$E$58,Census!$G150+AU$5-18)*IF((Census!$F150+AU$5)&gt;=Assumptions!$B$11,1,0))*MIN(15/26*Census!$D150*(1+Assumptions!$B$9)^AU$5*(INT((Census!$F150+AU$5))+IF((Census!$F150+AU$5)-INT((Census!$F150+AU$5))&gt;0.5,1,0)),Assumptions!$B$10))</f>
        <v>0</v>
      </c>
    </row>
    <row r="151" spans="1:47" x14ac:dyDescent="0.3">
      <c r="A151" s="10" t="str">
        <f>Census!A151</f>
        <v>E146</v>
      </c>
      <c r="B151" s="29">
        <f>Census!H151</f>
        <v>14</v>
      </c>
      <c r="C151" s="30">
        <f>IF(C$5&gt;$B151,0,INDEX(Decrements!$G$6:$G$58,Census!$G151+C$5-18)/INDEX(Decrements!$G$6:$G$58,Census!$G151-17)*(INDEX(Decrements!$D$6:$D$58,Census!$G151+C$5-18)+IF(C$5=$B151,INDEX(Decrements!$F$6:$F$58,Census!$G151+C$5-18),0)+INDEX(Decrements!$E$6:$E$58,Census!$G151+C$5-18)*IF((Census!$F151+C$5)&gt;=Assumptions!$B$11,1,0))*MIN(15/26*Census!$D151*(1+Assumptions!$B$9)^C$5*(INT((Census!$F151+C$5))+IF((Census!$F151+C$5)-INT((Census!$F151+C$5))&gt;0.5,1,0)),Assumptions!$B$10))</f>
        <v>64035.839850435914</v>
      </c>
      <c r="D151" s="30">
        <f>IF(D$5&gt;$B151,0,INDEX(Decrements!$G$6:$G$58,Census!$G151+D$5-18)/INDEX(Decrements!$G$6:$G$58,Census!$G151-17)*(INDEX(Decrements!$D$6:$D$58,Census!$G151+D$5-18)+IF(D$5=$B151,INDEX(Decrements!$F$6:$F$58,Census!$G151+D$5-18),0)+INDEX(Decrements!$E$6:$E$58,Census!$G151+D$5-18)*IF((Census!$F151+D$5)&gt;=Assumptions!$B$11,1,0))*MIN(15/26*Census!$D151*(1+Assumptions!$B$9)^D$5*(INT((Census!$F151+D$5))+IF((Census!$F151+D$5)-INT((Census!$F151+D$5))&gt;0.5,1,0)),Assumptions!$B$10))</f>
        <v>62300.815220691402</v>
      </c>
      <c r="E151" s="30">
        <f>IF(E$5&gt;$B151,0,INDEX(Decrements!$G$6:$G$58,Census!$G151+E$5-18)/INDEX(Decrements!$G$6:$G$58,Census!$G151-17)*(INDEX(Decrements!$D$6:$D$58,Census!$G151+E$5-18)+IF(E$5=$B151,INDEX(Decrements!$F$6:$F$58,Census!$G151+E$5-18),0)+INDEX(Decrements!$E$6:$E$58,Census!$G151+E$5-18)*IF((Census!$F151+E$5)&gt;=Assumptions!$B$11,1,0))*MIN(15/26*Census!$D151*(1+Assumptions!$B$9)^E$5*(INT((Census!$F151+E$5))+IF((Census!$F151+E$5)-INT((Census!$F151+E$5))&gt;0.5,1,0)),Assumptions!$B$10))</f>
        <v>60631.504348850052</v>
      </c>
      <c r="F151" s="30">
        <f>IF(F$5&gt;$B151,0,INDEX(Decrements!$G$6:$G$58,Census!$G151+F$5-18)/INDEX(Decrements!$G$6:$G$58,Census!$G151-17)*(INDEX(Decrements!$D$6:$D$58,Census!$G151+F$5-18)+IF(F$5=$B151,INDEX(Decrements!$F$6:$F$58,Census!$G151+F$5-18),0)+INDEX(Decrements!$E$6:$E$58,Census!$G151+F$5-18)*IF((Census!$F151+F$5)&gt;=Assumptions!$B$11,1,0))*MIN(15/26*Census!$D151*(1+Assumptions!$B$9)^F$5*(INT((Census!$F151+F$5))+IF((Census!$F151+F$5)-INT((Census!$F151+F$5))&gt;0.5,1,0)),Assumptions!$B$10))</f>
        <v>59026.597107811889</v>
      </c>
      <c r="G151" s="30">
        <f>IF(G$5&gt;$B151,0,INDEX(Decrements!$G$6:$G$58,Census!$G151+G$5-18)/INDEX(Decrements!$G$6:$G$58,Census!$G151-17)*(INDEX(Decrements!$D$6:$D$58,Census!$G151+G$5-18)+IF(G$5=$B151,INDEX(Decrements!$F$6:$F$58,Census!$G151+G$5-18),0)+INDEX(Decrements!$E$6:$E$58,Census!$G151+G$5-18)*IF((Census!$F151+G$5)&gt;=Assumptions!$B$11,1,0))*MIN(15/26*Census!$D151*(1+Assumptions!$B$9)^G$5*(INT((Census!$F151+G$5))+IF((Census!$F151+G$5)-INT((Census!$F151+G$5))&gt;0.5,1,0)),Assumptions!$B$10))</f>
        <v>39994.938095537604</v>
      </c>
      <c r="H151" s="30">
        <f>IF(H$5&gt;$B151,0,INDEX(Decrements!$G$6:$G$58,Census!$G151+H$5-18)/INDEX(Decrements!$G$6:$G$58,Census!$G151-17)*(INDEX(Decrements!$D$6:$D$58,Census!$G151+H$5-18)+IF(H$5=$B151,INDEX(Decrements!$F$6:$F$58,Census!$G151+H$5-18),0)+INDEX(Decrements!$E$6:$E$58,Census!$G151+H$5-18)*IF((Census!$F151+H$5)&gt;=Assumptions!$B$11,1,0))*MIN(15/26*Census!$D151*(1+Assumptions!$B$9)^H$5*(INT((Census!$F151+H$5))+IF((Census!$F151+H$5)-INT((Census!$F151+H$5))&gt;0.5,1,0)),Assumptions!$B$10))</f>
        <v>39495.512308461912</v>
      </c>
      <c r="I151" s="30">
        <f>IF(I$5&gt;$B151,0,INDEX(Decrements!$G$6:$G$58,Census!$G151+I$5-18)/INDEX(Decrements!$G$6:$G$58,Census!$G151-17)*(INDEX(Decrements!$D$6:$D$58,Census!$G151+I$5-18)+IF(I$5=$B151,INDEX(Decrements!$F$6:$F$58,Census!$G151+I$5-18),0)+INDEX(Decrements!$E$6:$E$58,Census!$G151+I$5-18)*IF((Census!$F151+I$5)&gt;=Assumptions!$B$11,1,0))*MIN(15/26*Census!$D151*(1+Assumptions!$B$9)^I$5*(INT((Census!$F151+I$5))+IF((Census!$F151+I$5)-INT((Census!$F151+I$5))&gt;0.5,1,0)),Assumptions!$B$10))</f>
        <v>39028.651153925726</v>
      </c>
      <c r="J151" s="30">
        <f>IF(J$5&gt;$B151,0,INDEX(Decrements!$G$6:$G$58,Census!$G151+J$5-18)/INDEX(Decrements!$G$6:$G$58,Census!$G151-17)*(INDEX(Decrements!$D$6:$D$58,Census!$G151+J$5-18)+IF(J$5=$B151,INDEX(Decrements!$F$6:$F$58,Census!$G151+J$5-18),0)+INDEX(Decrements!$E$6:$E$58,Census!$G151+J$5-18)*IF((Census!$F151+J$5)&gt;=Assumptions!$B$11,1,0))*MIN(15/26*Census!$D151*(1+Assumptions!$B$9)^J$5*(INT((Census!$F151+J$5))+IF((Census!$F151+J$5)-INT((Census!$F151+J$5))&gt;0.5,1,0)),Assumptions!$B$10))</f>
        <v>38595.040832972554</v>
      </c>
      <c r="K151" s="30">
        <f>IF(K$5&gt;$B151,0,INDEX(Decrements!$G$6:$G$58,Census!$G151+K$5-18)/INDEX(Decrements!$G$6:$G$58,Census!$G151-17)*(INDEX(Decrements!$D$6:$D$58,Census!$G151+K$5-18)+IF(K$5=$B151,INDEX(Decrements!$F$6:$F$58,Census!$G151+K$5-18),0)+INDEX(Decrements!$E$6:$E$58,Census!$G151+K$5-18)*IF((Census!$F151+K$5)&gt;=Assumptions!$B$11,1,0))*MIN(15/26*Census!$D151*(1+Assumptions!$B$9)^K$5*(INT((Census!$F151+K$5))+IF((Census!$F151+K$5)-INT((Census!$F151+K$5))&gt;0.5,1,0)),Assumptions!$B$10))</f>
        <v>38195.390191212427</v>
      </c>
      <c r="L151" s="30">
        <f>IF(L$5&gt;$B151,0,INDEX(Decrements!$G$6:$G$58,Census!$G151+L$5-18)/INDEX(Decrements!$G$6:$G$58,Census!$G151-17)*(INDEX(Decrements!$D$6:$D$58,Census!$G151+L$5-18)+IF(L$5=$B151,INDEX(Decrements!$F$6:$F$58,Census!$G151+L$5-18),0)+INDEX(Decrements!$E$6:$E$58,Census!$G151+L$5-18)*IF((Census!$F151+L$5)&gt;=Assumptions!$B$11,1,0))*MIN(15/26*Census!$D151*(1+Assumptions!$B$9)^L$5*(INT((Census!$F151+L$5))+IF((Census!$F151+L$5)-INT((Census!$F151+L$5))&gt;0.5,1,0)),Assumptions!$B$10))</f>
        <v>22311.387917527849</v>
      </c>
      <c r="M151" s="30">
        <f>IF(M$5&gt;$B151,0,INDEX(Decrements!$G$6:$G$58,Census!$G151+M$5-18)/INDEX(Decrements!$G$6:$G$58,Census!$G151-17)*(INDEX(Decrements!$D$6:$D$58,Census!$G151+M$5-18)+IF(M$5=$B151,INDEX(Decrements!$F$6:$F$58,Census!$G151+M$5-18),0)+INDEX(Decrements!$E$6:$E$58,Census!$G151+M$5-18)*IF((Census!$F151+M$5)&gt;=Assumptions!$B$11,1,0))*MIN(15/26*Census!$D151*(1+Assumptions!$B$9)^M$5*(INT((Census!$F151+M$5))+IF((Census!$F151+M$5)-INT((Census!$F151+M$5))&gt;0.5,1,0)),Assumptions!$B$10))</f>
        <v>22592.696094651081</v>
      </c>
      <c r="N151" s="30">
        <f>IF(N$5&gt;$B151,0,INDEX(Decrements!$G$6:$G$58,Census!$G151+N$5-18)/INDEX(Decrements!$G$6:$G$58,Census!$G151-17)*(INDEX(Decrements!$D$6:$D$58,Census!$G151+N$5-18)+IF(N$5=$B151,INDEX(Decrements!$F$6:$F$58,Census!$G151+N$5-18),0)+INDEX(Decrements!$E$6:$E$58,Census!$G151+N$5-18)*IF((Census!$F151+N$5)&gt;=Assumptions!$B$11,1,0))*MIN(15/26*Census!$D151*(1+Assumptions!$B$9)^N$5*(INT((Census!$F151+N$5))+IF((Census!$F151+N$5)-INT((Census!$F151+N$5))&gt;0.5,1,0)),Assumptions!$B$10))</f>
        <v>22911.224776401676</v>
      </c>
      <c r="O151" s="30">
        <f>IF(O$5&gt;$B151,0,INDEX(Decrements!$G$6:$G$58,Census!$G151+O$5-18)/INDEX(Decrements!$G$6:$G$58,Census!$G151-17)*(INDEX(Decrements!$D$6:$D$58,Census!$G151+O$5-18)+IF(O$5=$B151,INDEX(Decrements!$F$6:$F$58,Census!$G151+O$5-18),0)+INDEX(Decrements!$E$6:$E$58,Census!$G151+O$5-18)*IF((Census!$F151+O$5)&gt;=Assumptions!$B$11,1,0))*MIN(15/26*Census!$D151*(1+Assumptions!$B$9)^O$5*(INT((Census!$F151+O$5))+IF((Census!$F151+O$5)-INT((Census!$F151+O$5))&gt;0.5,1,0)),Assumptions!$B$10))</f>
        <v>23269.138848071325</v>
      </c>
      <c r="P151" s="30">
        <f>IF(P$5&gt;$B151,0,INDEX(Decrements!$G$6:$G$58,Census!$G151+P$5-18)/INDEX(Decrements!$G$6:$G$58,Census!$G151-17)*(INDEX(Decrements!$D$6:$D$58,Census!$G151+P$5-18)+IF(P$5=$B151,INDEX(Decrements!$F$6:$F$58,Census!$G151+P$5-18),0)+INDEX(Decrements!$E$6:$E$58,Census!$G151+P$5-18)*IF((Census!$F151+P$5)&gt;=Assumptions!$B$11,1,0))*MIN(15/26*Census!$D151*(1+Assumptions!$B$9)^P$5*(INT((Census!$F151+P$5))+IF((Census!$F151+P$5)-INT((Census!$F151+P$5))&gt;0.5,1,0)),Assumptions!$B$10))</f>
        <v>1467611.2632534481</v>
      </c>
      <c r="Q151" s="30">
        <f>IF(Q$5&gt;$B151,0,INDEX(Decrements!$G$6:$G$58,Census!$G151+Q$5-18)/INDEX(Decrements!$G$6:$G$58,Census!$G151-17)*(INDEX(Decrements!$D$6:$D$58,Census!$G151+Q$5-18)+IF(Q$5=$B151,INDEX(Decrements!$F$6:$F$58,Census!$G151+Q$5-18),0)+INDEX(Decrements!$E$6:$E$58,Census!$G151+Q$5-18)*IF((Census!$F151+Q$5)&gt;=Assumptions!$B$11,1,0))*MIN(15/26*Census!$D151*(1+Assumptions!$B$9)^Q$5*(INT((Census!$F151+Q$5))+IF((Census!$F151+Q$5)-INT((Census!$F151+Q$5))&gt;0.5,1,0)),Assumptions!$B$10))</f>
        <v>0</v>
      </c>
      <c r="R151" s="30">
        <f>IF(R$5&gt;$B151,0,INDEX(Decrements!$G$6:$G$58,Census!$G151+R$5-18)/INDEX(Decrements!$G$6:$G$58,Census!$G151-17)*(INDEX(Decrements!$D$6:$D$58,Census!$G151+R$5-18)+IF(R$5=$B151,INDEX(Decrements!$F$6:$F$58,Census!$G151+R$5-18),0)+INDEX(Decrements!$E$6:$E$58,Census!$G151+R$5-18)*IF((Census!$F151+R$5)&gt;=Assumptions!$B$11,1,0))*MIN(15/26*Census!$D151*(1+Assumptions!$B$9)^R$5*(INT((Census!$F151+R$5))+IF((Census!$F151+R$5)-INT((Census!$F151+R$5))&gt;0.5,1,0)),Assumptions!$B$10))</f>
        <v>0</v>
      </c>
      <c r="S151" s="30">
        <f>IF(S$5&gt;$B151,0,INDEX(Decrements!$G$6:$G$58,Census!$G151+S$5-18)/INDEX(Decrements!$G$6:$G$58,Census!$G151-17)*(INDEX(Decrements!$D$6:$D$58,Census!$G151+S$5-18)+IF(S$5=$B151,INDEX(Decrements!$F$6:$F$58,Census!$G151+S$5-18),0)+INDEX(Decrements!$E$6:$E$58,Census!$G151+S$5-18)*IF((Census!$F151+S$5)&gt;=Assumptions!$B$11,1,0))*MIN(15/26*Census!$D151*(1+Assumptions!$B$9)^S$5*(INT((Census!$F151+S$5))+IF((Census!$F151+S$5)-INT((Census!$F151+S$5))&gt;0.5,1,0)),Assumptions!$B$10))</f>
        <v>0</v>
      </c>
      <c r="T151" s="30">
        <f>IF(T$5&gt;$B151,0,INDEX(Decrements!$G$6:$G$58,Census!$G151+T$5-18)/INDEX(Decrements!$G$6:$G$58,Census!$G151-17)*(INDEX(Decrements!$D$6:$D$58,Census!$G151+T$5-18)+IF(T$5=$B151,INDEX(Decrements!$F$6:$F$58,Census!$G151+T$5-18),0)+INDEX(Decrements!$E$6:$E$58,Census!$G151+T$5-18)*IF((Census!$F151+T$5)&gt;=Assumptions!$B$11,1,0))*MIN(15/26*Census!$D151*(1+Assumptions!$B$9)^T$5*(INT((Census!$F151+T$5))+IF((Census!$F151+T$5)-INT((Census!$F151+T$5))&gt;0.5,1,0)),Assumptions!$B$10))</f>
        <v>0</v>
      </c>
      <c r="U151" s="30">
        <f>IF(U$5&gt;$B151,0,INDEX(Decrements!$G$6:$G$58,Census!$G151+U$5-18)/INDEX(Decrements!$G$6:$G$58,Census!$G151-17)*(INDEX(Decrements!$D$6:$D$58,Census!$G151+U$5-18)+IF(U$5=$B151,INDEX(Decrements!$F$6:$F$58,Census!$G151+U$5-18),0)+INDEX(Decrements!$E$6:$E$58,Census!$G151+U$5-18)*IF((Census!$F151+U$5)&gt;=Assumptions!$B$11,1,0))*MIN(15/26*Census!$D151*(1+Assumptions!$B$9)^U$5*(INT((Census!$F151+U$5))+IF((Census!$F151+U$5)-INT((Census!$F151+U$5))&gt;0.5,1,0)),Assumptions!$B$10))</f>
        <v>0</v>
      </c>
      <c r="V151" s="30">
        <f>IF(V$5&gt;$B151,0,INDEX(Decrements!$G$6:$G$58,Census!$G151+V$5-18)/INDEX(Decrements!$G$6:$G$58,Census!$G151-17)*(INDEX(Decrements!$D$6:$D$58,Census!$G151+V$5-18)+IF(V$5=$B151,INDEX(Decrements!$F$6:$F$58,Census!$G151+V$5-18),0)+INDEX(Decrements!$E$6:$E$58,Census!$G151+V$5-18)*IF((Census!$F151+V$5)&gt;=Assumptions!$B$11,1,0))*MIN(15/26*Census!$D151*(1+Assumptions!$B$9)^V$5*(INT((Census!$F151+V$5))+IF((Census!$F151+V$5)-INT((Census!$F151+V$5))&gt;0.5,1,0)),Assumptions!$B$10))</f>
        <v>0</v>
      </c>
      <c r="W151" s="30">
        <f>IF(W$5&gt;$B151,0,INDEX(Decrements!$G$6:$G$58,Census!$G151+W$5-18)/INDEX(Decrements!$G$6:$G$58,Census!$G151-17)*(INDEX(Decrements!$D$6:$D$58,Census!$G151+W$5-18)+IF(W$5=$B151,INDEX(Decrements!$F$6:$F$58,Census!$G151+W$5-18),0)+INDEX(Decrements!$E$6:$E$58,Census!$G151+W$5-18)*IF((Census!$F151+W$5)&gt;=Assumptions!$B$11,1,0))*MIN(15/26*Census!$D151*(1+Assumptions!$B$9)^W$5*(INT((Census!$F151+W$5))+IF((Census!$F151+W$5)-INT((Census!$F151+W$5))&gt;0.5,1,0)),Assumptions!$B$10))</f>
        <v>0</v>
      </c>
      <c r="X151" s="30">
        <f>IF(X$5&gt;$B151,0,INDEX(Decrements!$G$6:$G$58,Census!$G151+X$5-18)/INDEX(Decrements!$G$6:$G$58,Census!$G151-17)*(INDEX(Decrements!$D$6:$D$58,Census!$G151+X$5-18)+IF(X$5=$B151,INDEX(Decrements!$F$6:$F$58,Census!$G151+X$5-18),0)+INDEX(Decrements!$E$6:$E$58,Census!$G151+X$5-18)*IF((Census!$F151+X$5)&gt;=Assumptions!$B$11,1,0))*MIN(15/26*Census!$D151*(1+Assumptions!$B$9)^X$5*(INT((Census!$F151+X$5))+IF((Census!$F151+X$5)-INT((Census!$F151+X$5))&gt;0.5,1,0)),Assumptions!$B$10))</f>
        <v>0</v>
      </c>
      <c r="Y151" s="30">
        <f>IF(Y$5&gt;$B151,0,INDEX(Decrements!$G$6:$G$58,Census!$G151+Y$5-18)/INDEX(Decrements!$G$6:$G$58,Census!$G151-17)*(INDEX(Decrements!$D$6:$D$58,Census!$G151+Y$5-18)+IF(Y$5=$B151,INDEX(Decrements!$F$6:$F$58,Census!$G151+Y$5-18),0)+INDEX(Decrements!$E$6:$E$58,Census!$G151+Y$5-18)*IF((Census!$F151+Y$5)&gt;=Assumptions!$B$11,1,0))*MIN(15/26*Census!$D151*(1+Assumptions!$B$9)^Y$5*(INT((Census!$F151+Y$5))+IF((Census!$F151+Y$5)-INT((Census!$F151+Y$5))&gt;0.5,1,0)),Assumptions!$B$10))</f>
        <v>0</v>
      </c>
      <c r="Z151" s="30">
        <f>IF(Z$5&gt;$B151,0,INDEX(Decrements!$G$6:$G$58,Census!$G151+Z$5-18)/INDEX(Decrements!$G$6:$G$58,Census!$G151-17)*(INDEX(Decrements!$D$6:$D$58,Census!$G151+Z$5-18)+IF(Z$5=$B151,INDEX(Decrements!$F$6:$F$58,Census!$G151+Z$5-18),0)+INDEX(Decrements!$E$6:$E$58,Census!$G151+Z$5-18)*IF((Census!$F151+Z$5)&gt;=Assumptions!$B$11,1,0))*MIN(15/26*Census!$D151*(1+Assumptions!$B$9)^Z$5*(INT((Census!$F151+Z$5))+IF((Census!$F151+Z$5)-INT((Census!$F151+Z$5))&gt;0.5,1,0)),Assumptions!$B$10))</f>
        <v>0</v>
      </c>
      <c r="AA151" s="30">
        <f>IF(AA$5&gt;$B151,0,INDEX(Decrements!$G$6:$G$58,Census!$G151+AA$5-18)/INDEX(Decrements!$G$6:$G$58,Census!$G151-17)*(INDEX(Decrements!$D$6:$D$58,Census!$G151+AA$5-18)+IF(AA$5=$B151,INDEX(Decrements!$F$6:$F$58,Census!$G151+AA$5-18),0)+INDEX(Decrements!$E$6:$E$58,Census!$G151+AA$5-18)*IF((Census!$F151+AA$5)&gt;=Assumptions!$B$11,1,0))*MIN(15/26*Census!$D151*(1+Assumptions!$B$9)^AA$5*(INT((Census!$F151+AA$5))+IF((Census!$F151+AA$5)-INT((Census!$F151+AA$5))&gt;0.5,1,0)),Assumptions!$B$10))</f>
        <v>0</v>
      </c>
      <c r="AB151" s="30">
        <f>IF(AB$5&gt;$B151,0,INDEX(Decrements!$G$6:$G$58,Census!$G151+AB$5-18)/INDEX(Decrements!$G$6:$G$58,Census!$G151-17)*(INDEX(Decrements!$D$6:$D$58,Census!$G151+AB$5-18)+IF(AB$5=$B151,INDEX(Decrements!$F$6:$F$58,Census!$G151+AB$5-18),0)+INDEX(Decrements!$E$6:$E$58,Census!$G151+AB$5-18)*IF((Census!$F151+AB$5)&gt;=Assumptions!$B$11,1,0))*MIN(15/26*Census!$D151*(1+Assumptions!$B$9)^AB$5*(INT((Census!$F151+AB$5))+IF((Census!$F151+AB$5)-INT((Census!$F151+AB$5))&gt;0.5,1,0)),Assumptions!$B$10))</f>
        <v>0</v>
      </c>
      <c r="AC151" s="30">
        <f>IF(AC$5&gt;$B151,0,INDEX(Decrements!$G$6:$G$58,Census!$G151+AC$5-18)/INDEX(Decrements!$G$6:$G$58,Census!$G151-17)*(INDEX(Decrements!$D$6:$D$58,Census!$G151+AC$5-18)+IF(AC$5=$B151,INDEX(Decrements!$F$6:$F$58,Census!$G151+AC$5-18),0)+INDEX(Decrements!$E$6:$E$58,Census!$G151+AC$5-18)*IF((Census!$F151+AC$5)&gt;=Assumptions!$B$11,1,0))*MIN(15/26*Census!$D151*(1+Assumptions!$B$9)^AC$5*(INT((Census!$F151+AC$5))+IF((Census!$F151+AC$5)-INT((Census!$F151+AC$5))&gt;0.5,1,0)),Assumptions!$B$10))</f>
        <v>0</v>
      </c>
      <c r="AD151" s="30">
        <f>IF(AD$5&gt;$B151,0,INDEX(Decrements!$G$6:$G$58,Census!$G151+AD$5-18)/INDEX(Decrements!$G$6:$G$58,Census!$G151-17)*(INDEX(Decrements!$D$6:$D$58,Census!$G151+AD$5-18)+IF(AD$5=$B151,INDEX(Decrements!$F$6:$F$58,Census!$G151+AD$5-18),0)+INDEX(Decrements!$E$6:$E$58,Census!$G151+AD$5-18)*IF((Census!$F151+AD$5)&gt;=Assumptions!$B$11,1,0))*MIN(15/26*Census!$D151*(1+Assumptions!$B$9)^AD$5*(INT((Census!$F151+AD$5))+IF((Census!$F151+AD$5)-INT((Census!$F151+AD$5))&gt;0.5,1,0)),Assumptions!$B$10))</f>
        <v>0</v>
      </c>
      <c r="AE151" s="30">
        <f>IF(AE$5&gt;$B151,0,INDEX(Decrements!$G$6:$G$58,Census!$G151+AE$5-18)/INDEX(Decrements!$G$6:$G$58,Census!$G151-17)*(INDEX(Decrements!$D$6:$D$58,Census!$G151+AE$5-18)+IF(AE$5=$B151,INDEX(Decrements!$F$6:$F$58,Census!$G151+AE$5-18),0)+INDEX(Decrements!$E$6:$E$58,Census!$G151+AE$5-18)*IF((Census!$F151+AE$5)&gt;=Assumptions!$B$11,1,0))*MIN(15/26*Census!$D151*(1+Assumptions!$B$9)^AE$5*(INT((Census!$F151+AE$5))+IF((Census!$F151+AE$5)-INT((Census!$F151+AE$5))&gt;0.5,1,0)),Assumptions!$B$10))</f>
        <v>0</v>
      </c>
      <c r="AF151" s="30">
        <f>IF(AF$5&gt;$B151,0,INDEX(Decrements!$G$6:$G$58,Census!$G151+AF$5-18)/INDEX(Decrements!$G$6:$G$58,Census!$G151-17)*(INDEX(Decrements!$D$6:$D$58,Census!$G151+AF$5-18)+IF(AF$5=$B151,INDEX(Decrements!$F$6:$F$58,Census!$G151+AF$5-18),0)+INDEX(Decrements!$E$6:$E$58,Census!$G151+AF$5-18)*IF((Census!$F151+AF$5)&gt;=Assumptions!$B$11,1,0))*MIN(15/26*Census!$D151*(1+Assumptions!$B$9)^AF$5*(INT((Census!$F151+AF$5))+IF((Census!$F151+AF$5)-INT((Census!$F151+AF$5))&gt;0.5,1,0)),Assumptions!$B$10))</f>
        <v>0</v>
      </c>
      <c r="AG151" s="30">
        <f>IF(AG$5&gt;$B151,0,INDEX(Decrements!$G$6:$G$58,Census!$G151+AG$5-18)/INDEX(Decrements!$G$6:$G$58,Census!$G151-17)*(INDEX(Decrements!$D$6:$D$58,Census!$G151+AG$5-18)+IF(AG$5=$B151,INDEX(Decrements!$F$6:$F$58,Census!$G151+AG$5-18),0)+INDEX(Decrements!$E$6:$E$58,Census!$G151+AG$5-18)*IF((Census!$F151+AG$5)&gt;=Assumptions!$B$11,1,0))*MIN(15/26*Census!$D151*(1+Assumptions!$B$9)^AG$5*(INT((Census!$F151+AG$5))+IF((Census!$F151+AG$5)-INT((Census!$F151+AG$5))&gt;0.5,1,0)),Assumptions!$B$10))</f>
        <v>0</v>
      </c>
      <c r="AH151" s="30">
        <f>IF(AH$5&gt;$B151,0,INDEX(Decrements!$G$6:$G$58,Census!$G151+AH$5-18)/INDEX(Decrements!$G$6:$G$58,Census!$G151-17)*(INDEX(Decrements!$D$6:$D$58,Census!$G151+AH$5-18)+IF(AH$5=$B151,INDEX(Decrements!$F$6:$F$58,Census!$G151+AH$5-18),0)+INDEX(Decrements!$E$6:$E$58,Census!$G151+AH$5-18)*IF((Census!$F151+AH$5)&gt;=Assumptions!$B$11,1,0))*MIN(15/26*Census!$D151*(1+Assumptions!$B$9)^AH$5*(INT((Census!$F151+AH$5))+IF((Census!$F151+AH$5)-INT((Census!$F151+AH$5))&gt;0.5,1,0)),Assumptions!$B$10))</f>
        <v>0</v>
      </c>
      <c r="AI151" s="30">
        <f>IF(AI$5&gt;$B151,0,INDEX(Decrements!$G$6:$G$58,Census!$G151+AI$5-18)/INDEX(Decrements!$G$6:$G$58,Census!$G151-17)*(INDEX(Decrements!$D$6:$D$58,Census!$G151+AI$5-18)+IF(AI$5=$B151,INDEX(Decrements!$F$6:$F$58,Census!$G151+AI$5-18),0)+INDEX(Decrements!$E$6:$E$58,Census!$G151+AI$5-18)*IF((Census!$F151+AI$5)&gt;=Assumptions!$B$11,1,0))*MIN(15/26*Census!$D151*(1+Assumptions!$B$9)^AI$5*(INT((Census!$F151+AI$5))+IF((Census!$F151+AI$5)-INT((Census!$F151+AI$5))&gt;0.5,1,0)),Assumptions!$B$10))</f>
        <v>0</v>
      </c>
      <c r="AJ151" s="30">
        <f>IF(AJ$5&gt;$B151,0,INDEX(Decrements!$G$6:$G$58,Census!$G151+AJ$5-18)/INDEX(Decrements!$G$6:$G$58,Census!$G151-17)*(INDEX(Decrements!$D$6:$D$58,Census!$G151+AJ$5-18)+IF(AJ$5=$B151,INDEX(Decrements!$F$6:$F$58,Census!$G151+AJ$5-18),0)+INDEX(Decrements!$E$6:$E$58,Census!$G151+AJ$5-18)*IF((Census!$F151+AJ$5)&gt;=Assumptions!$B$11,1,0))*MIN(15/26*Census!$D151*(1+Assumptions!$B$9)^AJ$5*(INT((Census!$F151+AJ$5))+IF((Census!$F151+AJ$5)-INT((Census!$F151+AJ$5))&gt;0.5,1,0)),Assumptions!$B$10))</f>
        <v>0</v>
      </c>
      <c r="AK151" s="30">
        <f>IF(AK$5&gt;$B151,0,INDEX(Decrements!$G$6:$G$58,Census!$G151+AK$5-18)/INDEX(Decrements!$G$6:$G$58,Census!$G151-17)*(INDEX(Decrements!$D$6:$D$58,Census!$G151+AK$5-18)+IF(AK$5=$B151,INDEX(Decrements!$F$6:$F$58,Census!$G151+AK$5-18),0)+INDEX(Decrements!$E$6:$E$58,Census!$G151+AK$5-18)*IF((Census!$F151+AK$5)&gt;=Assumptions!$B$11,1,0))*MIN(15/26*Census!$D151*(1+Assumptions!$B$9)^AK$5*(INT((Census!$F151+AK$5))+IF((Census!$F151+AK$5)-INT((Census!$F151+AK$5))&gt;0.5,1,0)),Assumptions!$B$10))</f>
        <v>0</v>
      </c>
      <c r="AL151" s="30">
        <f>IF(AL$5&gt;$B151,0,INDEX(Decrements!$G$6:$G$58,Census!$G151+AL$5-18)/INDEX(Decrements!$G$6:$G$58,Census!$G151-17)*(INDEX(Decrements!$D$6:$D$58,Census!$G151+AL$5-18)+IF(AL$5=$B151,INDEX(Decrements!$F$6:$F$58,Census!$G151+AL$5-18),0)+INDEX(Decrements!$E$6:$E$58,Census!$G151+AL$5-18)*IF((Census!$F151+AL$5)&gt;=Assumptions!$B$11,1,0))*MIN(15/26*Census!$D151*(1+Assumptions!$B$9)^AL$5*(INT((Census!$F151+AL$5))+IF((Census!$F151+AL$5)-INT((Census!$F151+AL$5))&gt;0.5,1,0)),Assumptions!$B$10))</f>
        <v>0</v>
      </c>
      <c r="AM151" s="30">
        <f>IF(AM$5&gt;$B151,0,INDEX(Decrements!$G$6:$G$58,Census!$G151+AM$5-18)/INDEX(Decrements!$G$6:$G$58,Census!$G151-17)*(INDEX(Decrements!$D$6:$D$58,Census!$G151+AM$5-18)+IF(AM$5=$B151,INDEX(Decrements!$F$6:$F$58,Census!$G151+AM$5-18),0)+INDEX(Decrements!$E$6:$E$58,Census!$G151+AM$5-18)*IF((Census!$F151+AM$5)&gt;=Assumptions!$B$11,1,0))*MIN(15/26*Census!$D151*(1+Assumptions!$B$9)^AM$5*(INT((Census!$F151+AM$5))+IF((Census!$F151+AM$5)-INT((Census!$F151+AM$5))&gt;0.5,1,0)),Assumptions!$B$10))</f>
        <v>0</v>
      </c>
      <c r="AN151" s="30">
        <f>IF(AN$5&gt;$B151,0,INDEX(Decrements!$G$6:$G$58,Census!$G151+AN$5-18)/INDEX(Decrements!$G$6:$G$58,Census!$G151-17)*(INDEX(Decrements!$D$6:$D$58,Census!$G151+AN$5-18)+IF(AN$5=$B151,INDEX(Decrements!$F$6:$F$58,Census!$G151+AN$5-18),0)+INDEX(Decrements!$E$6:$E$58,Census!$G151+AN$5-18)*IF((Census!$F151+AN$5)&gt;=Assumptions!$B$11,1,0))*MIN(15/26*Census!$D151*(1+Assumptions!$B$9)^AN$5*(INT((Census!$F151+AN$5))+IF((Census!$F151+AN$5)-INT((Census!$F151+AN$5))&gt;0.5,1,0)),Assumptions!$B$10))</f>
        <v>0</v>
      </c>
      <c r="AO151" s="30">
        <f>IF(AO$5&gt;$B151,0,INDEX(Decrements!$G$6:$G$58,Census!$G151+AO$5-18)/INDEX(Decrements!$G$6:$G$58,Census!$G151-17)*(INDEX(Decrements!$D$6:$D$58,Census!$G151+AO$5-18)+IF(AO$5=$B151,INDEX(Decrements!$F$6:$F$58,Census!$G151+AO$5-18),0)+INDEX(Decrements!$E$6:$E$58,Census!$G151+AO$5-18)*IF((Census!$F151+AO$5)&gt;=Assumptions!$B$11,1,0))*MIN(15/26*Census!$D151*(1+Assumptions!$B$9)^AO$5*(INT((Census!$F151+AO$5))+IF((Census!$F151+AO$5)-INT((Census!$F151+AO$5))&gt;0.5,1,0)),Assumptions!$B$10))</f>
        <v>0</v>
      </c>
      <c r="AP151" s="30">
        <f>IF(AP$5&gt;$B151,0,INDEX(Decrements!$G$6:$G$58,Census!$G151+AP$5-18)/INDEX(Decrements!$G$6:$G$58,Census!$G151-17)*(INDEX(Decrements!$D$6:$D$58,Census!$G151+AP$5-18)+IF(AP$5=$B151,INDEX(Decrements!$F$6:$F$58,Census!$G151+AP$5-18),0)+INDEX(Decrements!$E$6:$E$58,Census!$G151+AP$5-18)*IF((Census!$F151+AP$5)&gt;=Assumptions!$B$11,1,0))*MIN(15/26*Census!$D151*(1+Assumptions!$B$9)^AP$5*(INT((Census!$F151+AP$5))+IF((Census!$F151+AP$5)-INT((Census!$F151+AP$5))&gt;0.5,1,0)),Assumptions!$B$10))</f>
        <v>0</v>
      </c>
      <c r="AQ151" s="30">
        <f>IF(AQ$5&gt;$B151,0,INDEX(Decrements!$G$6:$G$58,Census!$G151+AQ$5-18)/INDEX(Decrements!$G$6:$G$58,Census!$G151-17)*(INDEX(Decrements!$D$6:$D$58,Census!$G151+AQ$5-18)+IF(AQ$5=$B151,INDEX(Decrements!$F$6:$F$58,Census!$G151+AQ$5-18),0)+INDEX(Decrements!$E$6:$E$58,Census!$G151+AQ$5-18)*IF((Census!$F151+AQ$5)&gt;=Assumptions!$B$11,1,0))*MIN(15/26*Census!$D151*(1+Assumptions!$B$9)^AQ$5*(INT((Census!$F151+AQ$5))+IF((Census!$F151+AQ$5)-INT((Census!$F151+AQ$5))&gt;0.5,1,0)),Assumptions!$B$10))</f>
        <v>0</v>
      </c>
      <c r="AR151" s="30">
        <f>IF(AR$5&gt;$B151,0,INDEX(Decrements!$G$6:$G$58,Census!$G151+AR$5-18)/INDEX(Decrements!$G$6:$G$58,Census!$G151-17)*(INDEX(Decrements!$D$6:$D$58,Census!$G151+AR$5-18)+IF(AR$5=$B151,INDEX(Decrements!$F$6:$F$58,Census!$G151+AR$5-18),0)+INDEX(Decrements!$E$6:$E$58,Census!$G151+AR$5-18)*IF((Census!$F151+AR$5)&gt;=Assumptions!$B$11,1,0))*MIN(15/26*Census!$D151*(1+Assumptions!$B$9)^AR$5*(INT((Census!$F151+AR$5))+IF((Census!$F151+AR$5)-INT((Census!$F151+AR$5))&gt;0.5,1,0)),Assumptions!$B$10))</f>
        <v>0</v>
      </c>
      <c r="AS151" s="30">
        <f>IF(AS$5&gt;$B151,0,INDEX(Decrements!$G$6:$G$58,Census!$G151+AS$5-18)/INDEX(Decrements!$G$6:$G$58,Census!$G151-17)*(INDEX(Decrements!$D$6:$D$58,Census!$G151+AS$5-18)+IF(AS$5=$B151,INDEX(Decrements!$F$6:$F$58,Census!$G151+AS$5-18),0)+INDEX(Decrements!$E$6:$E$58,Census!$G151+AS$5-18)*IF((Census!$F151+AS$5)&gt;=Assumptions!$B$11,1,0))*MIN(15/26*Census!$D151*(1+Assumptions!$B$9)^AS$5*(INT((Census!$F151+AS$5))+IF((Census!$F151+AS$5)-INT((Census!$F151+AS$5))&gt;0.5,1,0)),Assumptions!$B$10))</f>
        <v>0</v>
      </c>
      <c r="AT151" s="30">
        <f>IF(AT$5&gt;$B151,0,INDEX(Decrements!$G$6:$G$58,Census!$G151+AT$5-18)/INDEX(Decrements!$G$6:$G$58,Census!$G151-17)*(INDEX(Decrements!$D$6:$D$58,Census!$G151+AT$5-18)+IF(AT$5=$B151,INDEX(Decrements!$F$6:$F$58,Census!$G151+AT$5-18),0)+INDEX(Decrements!$E$6:$E$58,Census!$G151+AT$5-18)*IF((Census!$F151+AT$5)&gt;=Assumptions!$B$11,1,0))*MIN(15/26*Census!$D151*(1+Assumptions!$B$9)^AT$5*(INT((Census!$F151+AT$5))+IF((Census!$F151+AT$5)-INT((Census!$F151+AT$5))&gt;0.5,1,0)),Assumptions!$B$10))</f>
        <v>0</v>
      </c>
      <c r="AU151" s="30">
        <f>IF(AU$5&gt;$B151,0,INDEX(Decrements!$G$6:$G$58,Census!$G151+AU$5-18)/INDEX(Decrements!$G$6:$G$58,Census!$G151-17)*(INDEX(Decrements!$D$6:$D$58,Census!$G151+AU$5-18)+IF(AU$5=$B151,INDEX(Decrements!$F$6:$F$58,Census!$G151+AU$5-18),0)+INDEX(Decrements!$E$6:$E$58,Census!$G151+AU$5-18)*IF((Census!$F151+AU$5)&gt;=Assumptions!$B$11,1,0))*MIN(15/26*Census!$D151*(1+Assumptions!$B$9)^AU$5*(INT((Census!$F151+AU$5))+IF((Census!$F151+AU$5)-INT((Census!$F151+AU$5))&gt;0.5,1,0)),Assumptions!$B$10))</f>
        <v>0</v>
      </c>
    </row>
    <row r="152" spans="1:47" x14ac:dyDescent="0.3">
      <c r="A152" s="10" t="str">
        <f>Census!A152</f>
        <v>E147</v>
      </c>
      <c r="B152" s="29">
        <f>Census!H152</f>
        <v>7</v>
      </c>
      <c r="C152" s="30">
        <f>IF(C$5&gt;$B152,0,INDEX(Decrements!$G$6:$G$58,Census!$G152+C$5-18)/INDEX(Decrements!$G$6:$G$58,Census!$G152-17)*(INDEX(Decrements!$D$6:$D$58,Census!$G152+C$5-18)+IF(C$5=$B152,INDEX(Decrements!$F$6:$F$58,Census!$G152+C$5-18),0)+INDEX(Decrements!$E$6:$E$58,Census!$G152+C$5-18)*IF((Census!$F152+C$5)&gt;=Assumptions!$B$11,1,0))*MIN(15/26*Census!$D152*(1+Assumptions!$B$9)^C$5*(INT((Census!$F152+C$5))+IF((Census!$F152+C$5)-INT((Census!$F152+C$5))&gt;0.5,1,0)),Assumptions!$B$10))</f>
        <v>47197.025818633076</v>
      </c>
      <c r="D152" s="30">
        <f>IF(D$5&gt;$B152,0,INDEX(Decrements!$G$6:$G$58,Census!$G152+D$5-18)/INDEX(Decrements!$G$6:$G$58,Census!$G152-17)*(INDEX(Decrements!$D$6:$D$58,Census!$G152+D$5-18)+IF(D$5=$B152,INDEX(Decrements!$F$6:$F$58,Census!$G152+D$5-18),0)+INDEX(Decrements!$E$6:$E$58,Census!$G152+D$5-18)*IF((Census!$F152+D$5)&gt;=Assumptions!$B$11,1,0))*MIN(15/26*Census!$D152*(1+Assumptions!$B$9)^D$5*(INT((Census!$F152+D$5))+IF((Census!$F152+D$5)-INT((Census!$F152+D$5))&gt;0.5,1,0)),Assumptions!$B$10))</f>
        <v>46708.301846576251</v>
      </c>
      <c r="E152" s="30">
        <f>IF(E$5&gt;$B152,0,INDEX(Decrements!$G$6:$G$58,Census!$G152+E$5-18)/INDEX(Decrements!$G$6:$G$58,Census!$G152-17)*(INDEX(Decrements!$D$6:$D$58,Census!$G152+E$5-18)+IF(E$5=$B152,INDEX(Decrements!$F$6:$F$58,Census!$G152+E$5-18),0)+INDEX(Decrements!$E$6:$E$58,Census!$G152+E$5-18)*IF((Census!$F152+E$5)&gt;=Assumptions!$B$11,1,0))*MIN(15/26*Census!$D152*(1+Assumptions!$B$9)^E$5*(INT((Census!$F152+E$5))+IF((Census!$F152+E$5)-INT((Census!$F152+E$5))&gt;0.5,1,0)),Assumptions!$B$10))</f>
        <v>27284.105130249616</v>
      </c>
      <c r="F152" s="30">
        <f>IF(F$5&gt;$B152,0,INDEX(Decrements!$G$6:$G$58,Census!$G152+F$5-18)/INDEX(Decrements!$G$6:$G$58,Census!$G152-17)*(INDEX(Decrements!$D$6:$D$58,Census!$G152+F$5-18)+IF(F$5=$B152,INDEX(Decrements!$F$6:$F$58,Census!$G152+F$5-18),0)+INDEX(Decrements!$E$6:$E$58,Census!$G152+F$5-18)*IF((Census!$F152+F$5)&gt;=Assumptions!$B$11,1,0))*MIN(15/26*Census!$D152*(1+Assumptions!$B$9)^F$5*(INT((Census!$F152+F$5))+IF((Census!$F152+F$5)-INT((Census!$F152+F$5))&gt;0.5,1,0)),Assumptions!$B$10))</f>
        <v>27628.11070744634</v>
      </c>
      <c r="G152" s="30">
        <f>IF(G$5&gt;$B152,0,INDEX(Decrements!$G$6:$G$58,Census!$G152+G$5-18)/INDEX(Decrements!$G$6:$G$58,Census!$G152-17)*(INDEX(Decrements!$D$6:$D$58,Census!$G152+G$5-18)+IF(G$5=$B152,INDEX(Decrements!$F$6:$F$58,Census!$G152+G$5-18),0)+INDEX(Decrements!$E$6:$E$58,Census!$G152+G$5-18)*IF((Census!$F152+G$5)&gt;=Assumptions!$B$11,1,0))*MIN(15/26*Census!$D152*(1+Assumptions!$B$9)^G$5*(INT((Census!$F152+G$5))+IF((Census!$F152+G$5)-INT((Census!$F152+G$5))&gt;0.5,1,0)),Assumptions!$B$10))</f>
        <v>28017.632420394351</v>
      </c>
      <c r="H152" s="30">
        <f>IF(H$5&gt;$B152,0,INDEX(Decrements!$G$6:$G$58,Census!$G152+H$5-18)/INDEX(Decrements!$G$6:$G$58,Census!$G152-17)*(INDEX(Decrements!$D$6:$D$58,Census!$G152+H$5-18)+IF(H$5=$B152,INDEX(Decrements!$F$6:$F$58,Census!$G152+H$5-18),0)+INDEX(Decrements!$E$6:$E$58,Census!$G152+H$5-18)*IF((Census!$F152+H$5)&gt;=Assumptions!$B$11,1,0))*MIN(15/26*Census!$D152*(1+Assumptions!$B$9)^H$5*(INT((Census!$F152+H$5))+IF((Census!$F152+H$5)-INT((Census!$F152+H$5))&gt;0.5,1,0)),Assumptions!$B$10))</f>
        <v>28455.317659659937</v>
      </c>
      <c r="I152" s="30">
        <f>IF(I$5&gt;$B152,0,INDEX(Decrements!$G$6:$G$58,Census!$G152+I$5-18)/INDEX(Decrements!$G$6:$G$58,Census!$G152-17)*(INDEX(Decrements!$D$6:$D$58,Census!$G152+I$5-18)+IF(I$5=$B152,INDEX(Decrements!$F$6:$F$58,Census!$G152+I$5-18),0)+INDEX(Decrements!$E$6:$E$58,Census!$G152+I$5-18)*IF((Census!$F152+I$5)&gt;=Assumptions!$B$11,1,0))*MIN(15/26*Census!$D152*(1+Assumptions!$B$9)^I$5*(INT((Census!$F152+I$5))+IF((Census!$F152+I$5)-INT((Census!$F152+I$5))&gt;0.5,1,0)),Assumptions!$B$10))</f>
        <v>1794709.5064170405</v>
      </c>
      <c r="J152" s="30">
        <f>IF(J$5&gt;$B152,0,INDEX(Decrements!$G$6:$G$58,Census!$G152+J$5-18)/INDEX(Decrements!$G$6:$G$58,Census!$G152-17)*(INDEX(Decrements!$D$6:$D$58,Census!$G152+J$5-18)+IF(J$5=$B152,INDEX(Decrements!$F$6:$F$58,Census!$G152+J$5-18),0)+INDEX(Decrements!$E$6:$E$58,Census!$G152+J$5-18)*IF((Census!$F152+J$5)&gt;=Assumptions!$B$11,1,0))*MIN(15/26*Census!$D152*(1+Assumptions!$B$9)^J$5*(INT((Census!$F152+J$5))+IF((Census!$F152+J$5)-INT((Census!$F152+J$5))&gt;0.5,1,0)),Assumptions!$B$10))</f>
        <v>0</v>
      </c>
      <c r="K152" s="30">
        <f>IF(K$5&gt;$B152,0,INDEX(Decrements!$G$6:$G$58,Census!$G152+K$5-18)/INDEX(Decrements!$G$6:$G$58,Census!$G152-17)*(INDEX(Decrements!$D$6:$D$58,Census!$G152+K$5-18)+IF(K$5=$B152,INDEX(Decrements!$F$6:$F$58,Census!$G152+K$5-18),0)+INDEX(Decrements!$E$6:$E$58,Census!$G152+K$5-18)*IF((Census!$F152+K$5)&gt;=Assumptions!$B$11,1,0))*MIN(15/26*Census!$D152*(1+Assumptions!$B$9)^K$5*(INT((Census!$F152+K$5))+IF((Census!$F152+K$5)-INT((Census!$F152+K$5))&gt;0.5,1,0)),Assumptions!$B$10))</f>
        <v>0</v>
      </c>
      <c r="L152" s="30">
        <f>IF(L$5&gt;$B152,0,INDEX(Decrements!$G$6:$G$58,Census!$G152+L$5-18)/INDEX(Decrements!$G$6:$G$58,Census!$G152-17)*(INDEX(Decrements!$D$6:$D$58,Census!$G152+L$5-18)+IF(L$5=$B152,INDEX(Decrements!$F$6:$F$58,Census!$G152+L$5-18),0)+INDEX(Decrements!$E$6:$E$58,Census!$G152+L$5-18)*IF((Census!$F152+L$5)&gt;=Assumptions!$B$11,1,0))*MIN(15/26*Census!$D152*(1+Assumptions!$B$9)^L$5*(INT((Census!$F152+L$5))+IF((Census!$F152+L$5)-INT((Census!$F152+L$5))&gt;0.5,1,0)),Assumptions!$B$10))</f>
        <v>0</v>
      </c>
      <c r="M152" s="30">
        <f>IF(M$5&gt;$B152,0,INDEX(Decrements!$G$6:$G$58,Census!$G152+M$5-18)/INDEX(Decrements!$G$6:$G$58,Census!$G152-17)*(INDEX(Decrements!$D$6:$D$58,Census!$G152+M$5-18)+IF(M$5=$B152,INDEX(Decrements!$F$6:$F$58,Census!$G152+M$5-18),0)+INDEX(Decrements!$E$6:$E$58,Census!$G152+M$5-18)*IF((Census!$F152+M$5)&gt;=Assumptions!$B$11,1,0))*MIN(15/26*Census!$D152*(1+Assumptions!$B$9)^M$5*(INT((Census!$F152+M$5))+IF((Census!$F152+M$5)-INT((Census!$F152+M$5))&gt;0.5,1,0)),Assumptions!$B$10))</f>
        <v>0</v>
      </c>
      <c r="N152" s="30">
        <f>IF(N$5&gt;$B152,0,INDEX(Decrements!$G$6:$G$58,Census!$G152+N$5-18)/INDEX(Decrements!$G$6:$G$58,Census!$G152-17)*(INDEX(Decrements!$D$6:$D$58,Census!$G152+N$5-18)+IF(N$5=$B152,INDEX(Decrements!$F$6:$F$58,Census!$G152+N$5-18),0)+INDEX(Decrements!$E$6:$E$58,Census!$G152+N$5-18)*IF((Census!$F152+N$5)&gt;=Assumptions!$B$11,1,0))*MIN(15/26*Census!$D152*(1+Assumptions!$B$9)^N$5*(INT((Census!$F152+N$5))+IF((Census!$F152+N$5)-INT((Census!$F152+N$5))&gt;0.5,1,0)),Assumptions!$B$10))</f>
        <v>0</v>
      </c>
      <c r="O152" s="30">
        <f>IF(O$5&gt;$B152,0,INDEX(Decrements!$G$6:$G$58,Census!$G152+O$5-18)/INDEX(Decrements!$G$6:$G$58,Census!$G152-17)*(INDEX(Decrements!$D$6:$D$58,Census!$G152+O$5-18)+IF(O$5=$B152,INDEX(Decrements!$F$6:$F$58,Census!$G152+O$5-18),0)+INDEX(Decrements!$E$6:$E$58,Census!$G152+O$5-18)*IF((Census!$F152+O$5)&gt;=Assumptions!$B$11,1,0))*MIN(15/26*Census!$D152*(1+Assumptions!$B$9)^O$5*(INT((Census!$F152+O$5))+IF((Census!$F152+O$5)-INT((Census!$F152+O$5))&gt;0.5,1,0)),Assumptions!$B$10))</f>
        <v>0</v>
      </c>
      <c r="P152" s="30">
        <f>IF(P$5&gt;$B152,0,INDEX(Decrements!$G$6:$G$58,Census!$G152+P$5-18)/INDEX(Decrements!$G$6:$G$58,Census!$G152-17)*(INDEX(Decrements!$D$6:$D$58,Census!$G152+P$5-18)+IF(P$5=$B152,INDEX(Decrements!$F$6:$F$58,Census!$G152+P$5-18),0)+INDEX(Decrements!$E$6:$E$58,Census!$G152+P$5-18)*IF((Census!$F152+P$5)&gt;=Assumptions!$B$11,1,0))*MIN(15/26*Census!$D152*(1+Assumptions!$B$9)^P$5*(INT((Census!$F152+P$5))+IF((Census!$F152+P$5)-INT((Census!$F152+P$5))&gt;0.5,1,0)),Assumptions!$B$10))</f>
        <v>0</v>
      </c>
      <c r="Q152" s="30">
        <f>IF(Q$5&gt;$B152,0,INDEX(Decrements!$G$6:$G$58,Census!$G152+Q$5-18)/INDEX(Decrements!$G$6:$G$58,Census!$G152-17)*(INDEX(Decrements!$D$6:$D$58,Census!$G152+Q$5-18)+IF(Q$5=$B152,INDEX(Decrements!$F$6:$F$58,Census!$G152+Q$5-18),0)+INDEX(Decrements!$E$6:$E$58,Census!$G152+Q$5-18)*IF((Census!$F152+Q$5)&gt;=Assumptions!$B$11,1,0))*MIN(15/26*Census!$D152*(1+Assumptions!$B$9)^Q$5*(INT((Census!$F152+Q$5))+IF((Census!$F152+Q$5)-INT((Census!$F152+Q$5))&gt;0.5,1,0)),Assumptions!$B$10))</f>
        <v>0</v>
      </c>
      <c r="R152" s="30">
        <f>IF(R$5&gt;$B152,0,INDEX(Decrements!$G$6:$G$58,Census!$G152+R$5-18)/INDEX(Decrements!$G$6:$G$58,Census!$G152-17)*(INDEX(Decrements!$D$6:$D$58,Census!$G152+R$5-18)+IF(R$5=$B152,INDEX(Decrements!$F$6:$F$58,Census!$G152+R$5-18),0)+INDEX(Decrements!$E$6:$E$58,Census!$G152+R$5-18)*IF((Census!$F152+R$5)&gt;=Assumptions!$B$11,1,0))*MIN(15/26*Census!$D152*(1+Assumptions!$B$9)^R$5*(INT((Census!$F152+R$5))+IF((Census!$F152+R$5)-INT((Census!$F152+R$5))&gt;0.5,1,0)),Assumptions!$B$10))</f>
        <v>0</v>
      </c>
      <c r="S152" s="30">
        <f>IF(S$5&gt;$B152,0,INDEX(Decrements!$G$6:$G$58,Census!$G152+S$5-18)/INDEX(Decrements!$G$6:$G$58,Census!$G152-17)*(INDEX(Decrements!$D$6:$D$58,Census!$G152+S$5-18)+IF(S$5=$B152,INDEX(Decrements!$F$6:$F$58,Census!$G152+S$5-18),0)+INDEX(Decrements!$E$6:$E$58,Census!$G152+S$5-18)*IF((Census!$F152+S$5)&gt;=Assumptions!$B$11,1,0))*MIN(15/26*Census!$D152*(1+Assumptions!$B$9)^S$5*(INT((Census!$F152+S$5))+IF((Census!$F152+S$5)-INT((Census!$F152+S$5))&gt;0.5,1,0)),Assumptions!$B$10))</f>
        <v>0</v>
      </c>
      <c r="T152" s="30">
        <f>IF(T$5&gt;$B152,0,INDEX(Decrements!$G$6:$G$58,Census!$G152+T$5-18)/INDEX(Decrements!$G$6:$G$58,Census!$G152-17)*(INDEX(Decrements!$D$6:$D$58,Census!$G152+T$5-18)+IF(T$5=$B152,INDEX(Decrements!$F$6:$F$58,Census!$G152+T$5-18),0)+INDEX(Decrements!$E$6:$E$58,Census!$G152+T$5-18)*IF((Census!$F152+T$5)&gt;=Assumptions!$B$11,1,0))*MIN(15/26*Census!$D152*(1+Assumptions!$B$9)^T$5*(INT((Census!$F152+T$5))+IF((Census!$F152+T$5)-INT((Census!$F152+T$5))&gt;0.5,1,0)),Assumptions!$B$10))</f>
        <v>0</v>
      </c>
      <c r="U152" s="30">
        <f>IF(U$5&gt;$B152,0,INDEX(Decrements!$G$6:$G$58,Census!$G152+U$5-18)/INDEX(Decrements!$G$6:$G$58,Census!$G152-17)*(INDEX(Decrements!$D$6:$D$58,Census!$G152+U$5-18)+IF(U$5=$B152,INDEX(Decrements!$F$6:$F$58,Census!$G152+U$5-18),0)+INDEX(Decrements!$E$6:$E$58,Census!$G152+U$5-18)*IF((Census!$F152+U$5)&gt;=Assumptions!$B$11,1,0))*MIN(15/26*Census!$D152*(1+Assumptions!$B$9)^U$5*(INT((Census!$F152+U$5))+IF((Census!$F152+U$5)-INT((Census!$F152+U$5))&gt;0.5,1,0)),Assumptions!$B$10))</f>
        <v>0</v>
      </c>
      <c r="V152" s="30">
        <f>IF(V$5&gt;$B152,0,INDEX(Decrements!$G$6:$G$58,Census!$G152+V$5-18)/INDEX(Decrements!$G$6:$G$58,Census!$G152-17)*(INDEX(Decrements!$D$6:$D$58,Census!$G152+V$5-18)+IF(V$5=$B152,INDEX(Decrements!$F$6:$F$58,Census!$G152+V$5-18),0)+INDEX(Decrements!$E$6:$E$58,Census!$G152+V$5-18)*IF((Census!$F152+V$5)&gt;=Assumptions!$B$11,1,0))*MIN(15/26*Census!$D152*(1+Assumptions!$B$9)^V$5*(INT((Census!$F152+V$5))+IF((Census!$F152+V$5)-INT((Census!$F152+V$5))&gt;0.5,1,0)),Assumptions!$B$10))</f>
        <v>0</v>
      </c>
      <c r="W152" s="30">
        <f>IF(W$5&gt;$B152,0,INDEX(Decrements!$G$6:$G$58,Census!$G152+W$5-18)/INDEX(Decrements!$G$6:$G$58,Census!$G152-17)*(INDEX(Decrements!$D$6:$D$58,Census!$G152+W$5-18)+IF(W$5=$B152,INDEX(Decrements!$F$6:$F$58,Census!$G152+W$5-18),0)+INDEX(Decrements!$E$6:$E$58,Census!$G152+W$5-18)*IF((Census!$F152+W$5)&gt;=Assumptions!$B$11,1,0))*MIN(15/26*Census!$D152*(1+Assumptions!$B$9)^W$5*(INT((Census!$F152+W$5))+IF((Census!$F152+W$5)-INT((Census!$F152+W$5))&gt;0.5,1,0)),Assumptions!$B$10))</f>
        <v>0</v>
      </c>
      <c r="X152" s="30">
        <f>IF(X$5&gt;$B152,0,INDEX(Decrements!$G$6:$G$58,Census!$G152+X$5-18)/INDEX(Decrements!$G$6:$G$58,Census!$G152-17)*(INDEX(Decrements!$D$6:$D$58,Census!$G152+X$5-18)+IF(X$5=$B152,INDEX(Decrements!$F$6:$F$58,Census!$G152+X$5-18),0)+INDEX(Decrements!$E$6:$E$58,Census!$G152+X$5-18)*IF((Census!$F152+X$5)&gt;=Assumptions!$B$11,1,0))*MIN(15/26*Census!$D152*(1+Assumptions!$B$9)^X$5*(INT((Census!$F152+X$5))+IF((Census!$F152+X$5)-INT((Census!$F152+X$5))&gt;0.5,1,0)),Assumptions!$B$10))</f>
        <v>0</v>
      </c>
      <c r="Y152" s="30">
        <f>IF(Y$5&gt;$B152,0,INDEX(Decrements!$G$6:$G$58,Census!$G152+Y$5-18)/INDEX(Decrements!$G$6:$G$58,Census!$G152-17)*(INDEX(Decrements!$D$6:$D$58,Census!$G152+Y$5-18)+IF(Y$5=$B152,INDEX(Decrements!$F$6:$F$58,Census!$G152+Y$5-18),0)+INDEX(Decrements!$E$6:$E$58,Census!$G152+Y$5-18)*IF((Census!$F152+Y$5)&gt;=Assumptions!$B$11,1,0))*MIN(15/26*Census!$D152*(1+Assumptions!$B$9)^Y$5*(INT((Census!$F152+Y$5))+IF((Census!$F152+Y$5)-INT((Census!$F152+Y$5))&gt;0.5,1,0)),Assumptions!$B$10))</f>
        <v>0</v>
      </c>
      <c r="Z152" s="30">
        <f>IF(Z$5&gt;$B152,0,INDEX(Decrements!$G$6:$G$58,Census!$G152+Z$5-18)/INDEX(Decrements!$G$6:$G$58,Census!$G152-17)*(INDEX(Decrements!$D$6:$D$58,Census!$G152+Z$5-18)+IF(Z$5=$B152,INDEX(Decrements!$F$6:$F$58,Census!$G152+Z$5-18),0)+INDEX(Decrements!$E$6:$E$58,Census!$G152+Z$5-18)*IF((Census!$F152+Z$5)&gt;=Assumptions!$B$11,1,0))*MIN(15/26*Census!$D152*(1+Assumptions!$B$9)^Z$5*(INT((Census!$F152+Z$5))+IF((Census!$F152+Z$5)-INT((Census!$F152+Z$5))&gt;0.5,1,0)),Assumptions!$B$10))</f>
        <v>0</v>
      </c>
      <c r="AA152" s="30">
        <f>IF(AA$5&gt;$B152,0,INDEX(Decrements!$G$6:$G$58,Census!$G152+AA$5-18)/INDEX(Decrements!$G$6:$G$58,Census!$G152-17)*(INDEX(Decrements!$D$6:$D$58,Census!$G152+AA$5-18)+IF(AA$5=$B152,INDEX(Decrements!$F$6:$F$58,Census!$G152+AA$5-18),0)+INDEX(Decrements!$E$6:$E$58,Census!$G152+AA$5-18)*IF((Census!$F152+AA$5)&gt;=Assumptions!$B$11,1,0))*MIN(15/26*Census!$D152*(1+Assumptions!$B$9)^AA$5*(INT((Census!$F152+AA$5))+IF((Census!$F152+AA$5)-INT((Census!$F152+AA$5))&gt;0.5,1,0)),Assumptions!$B$10))</f>
        <v>0</v>
      </c>
      <c r="AB152" s="30">
        <f>IF(AB$5&gt;$B152,0,INDEX(Decrements!$G$6:$G$58,Census!$G152+AB$5-18)/INDEX(Decrements!$G$6:$G$58,Census!$G152-17)*(INDEX(Decrements!$D$6:$D$58,Census!$G152+AB$5-18)+IF(AB$5=$B152,INDEX(Decrements!$F$6:$F$58,Census!$G152+AB$5-18),0)+INDEX(Decrements!$E$6:$E$58,Census!$G152+AB$5-18)*IF((Census!$F152+AB$5)&gt;=Assumptions!$B$11,1,0))*MIN(15/26*Census!$D152*(1+Assumptions!$B$9)^AB$5*(INT((Census!$F152+AB$5))+IF((Census!$F152+AB$5)-INT((Census!$F152+AB$5))&gt;0.5,1,0)),Assumptions!$B$10))</f>
        <v>0</v>
      </c>
      <c r="AC152" s="30">
        <f>IF(AC$5&gt;$B152,0,INDEX(Decrements!$G$6:$G$58,Census!$G152+AC$5-18)/INDEX(Decrements!$G$6:$G$58,Census!$G152-17)*(INDEX(Decrements!$D$6:$D$58,Census!$G152+AC$5-18)+IF(AC$5=$B152,INDEX(Decrements!$F$6:$F$58,Census!$G152+AC$5-18),0)+INDEX(Decrements!$E$6:$E$58,Census!$G152+AC$5-18)*IF((Census!$F152+AC$5)&gt;=Assumptions!$B$11,1,0))*MIN(15/26*Census!$D152*(1+Assumptions!$B$9)^AC$5*(INT((Census!$F152+AC$5))+IF((Census!$F152+AC$5)-INT((Census!$F152+AC$5))&gt;0.5,1,0)),Assumptions!$B$10))</f>
        <v>0</v>
      </c>
      <c r="AD152" s="30">
        <f>IF(AD$5&gt;$B152,0,INDEX(Decrements!$G$6:$G$58,Census!$G152+AD$5-18)/INDEX(Decrements!$G$6:$G$58,Census!$G152-17)*(INDEX(Decrements!$D$6:$D$58,Census!$G152+AD$5-18)+IF(AD$5=$B152,INDEX(Decrements!$F$6:$F$58,Census!$G152+AD$5-18),0)+INDEX(Decrements!$E$6:$E$58,Census!$G152+AD$5-18)*IF((Census!$F152+AD$5)&gt;=Assumptions!$B$11,1,0))*MIN(15/26*Census!$D152*(1+Assumptions!$B$9)^AD$5*(INT((Census!$F152+AD$5))+IF((Census!$F152+AD$5)-INT((Census!$F152+AD$5))&gt;0.5,1,0)),Assumptions!$B$10))</f>
        <v>0</v>
      </c>
      <c r="AE152" s="30">
        <f>IF(AE$5&gt;$B152,0,INDEX(Decrements!$G$6:$G$58,Census!$G152+AE$5-18)/INDEX(Decrements!$G$6:$G$58,Census!$G152-17)*(INDEX(Decrements!$D$6:$D$58,Census!$G152+AE$5-18)+IF(AE$5=$B152,INDEX(Decrements!$F$6:$F$58,Census!$G152+AE$5-18),0)+INDEX(Decrements!$E$6:$E$58,Census!$G152+AE$5-18)*IF((Census!$F152+AE$5)&gt;=Assumptions!$B$11,1,0))*MIN(15/26*Census!$D152*(1+Assumptions!$B$9)^AE$5*(INT((Census!$F152+AE$5))+IF((Census!$F152+AE$5)-INT((Census!$F152+AE$5))&gt;0.5,1,0)),Assumptions!$B$10))</f>
        <v>0</v>
      </c>
      <c r="AF152" s="30">
        <f>IF(AF$5&gt;$B152,0,INDEX(Decrements!$G$6:$G$58,Census!$G152+AF$5-18)/INDEX(Decrements!$G$6:$G$58,Census!$G152-17)*(INDEX(Decrements!$D$6:$D$58,Census!$G152+AF$5-18)+IF(AF$5=$B152,INDEX(Decrements!$F$6:$F$58,Census!$G152+AF$5-18),0)+INDEX(Decrements!$E$6:$E$58,Census!$G152+AF$5-18)*IF((Census!$F152+AF$5)&gt;=Assumptions!$B$11,1,0))*MIN(15/26*Census!$D152*(1+Assumptions!$B$9)^AF$5*(INT((Census!$F152+AF$5))+IF((Census!$F152+AF$5)-INT((Census!$F152+AF$5))&gt;0.5,1,0)),Assumptions!$B$10))</f>
        <v>0</v>
      </c>
      <c r="AG152" s="30">
        <f>IF(AG$5&gt;$B152,0,INDEX(Decrements!$G$6:$G$58,Census!$G152+AG$5-18)/INDEX(Decrements!$G$6:$G$58,Census!$G152-17)*(INDEX(Decrements!$D$6:$D$58,Census!$G152+AG$5-18)+IF(AG$5=$B152,INDEX(Decrements!$F$6:$F$58,Census!$G152+AG$5-18),0)+INDEX(Decrements!$E$6:$E$58,Census!$G152+AG$5-18)*IF((Census!$F152+AG$5)&gt;=Assumptions!$B$11,1,0))*MIN(15/26*Census!$D152*(1+Assumptions!$B$9)^AG$5*(INT((Census!$F152+AG$5))+IF((Census!$F152+AG$5)-INT((Census!$F152+AG$5))&gt;0.5,1,0)),Assumptions!$B$10))</f>
        <v>0</v>
      </c>
      <c r="AH152" s="30">
        <f>IF(AH$5&gt;$B152,0,INDEX(Decrements!$G$6:$G$58,Census!$G152+AH$5-18)/INDEX(Decrements!$G$6:$G$58,Census!$G152-17)*(INDEX(Decrements!$D$6:$D$58,Census!$G152+AH$5-18)+IF(AH$5=$B152,INDEX(Decrements!$F$6:$F$58,Census!$G152+AH$5-18),0)+INDEX(Decrements!$E$6:$E$58,Census!$G152+AH$5-18)*IF((Census!$F152+AH$5)&gt;=Assumptions!$B$11,1,0))*MIN(15/26*Census!$D152*(1+Assumptions!$B$9)^AH$5*(INT((Census!$F152+AH$5))+IF((Census!$F152+AH$5)-INT((Census!$F152+AH$5))&gt;0.5,1,0)),Assumptions!$B$10))</f>
        <v>0</v>
      </c>
      <c r="AI152" s="30">
        <f>IF(AI$5&gt;$B152,0,INDEX(Decrements!$G$6:$G$58,Census!$G152+AI$5-18)/INDEX(Decrements!$G$6:$G$58,Census!$G152-17)*(INDEX(Decrements!$D$6:$D$58,Census!$G152+AI$5-18)+IF(AI$5=$B152,INDEX(Decrements!$F$6:$F$58,Census!$G152+AI$5-18),0)+INDEX(Decrements!$E$6:$E$58,Census!$G152+AI$5-18)*IF((Census!$F152+AI$5)&gt;=Assumptions!$B$11,1,0))*MIN(15/26*Census!$D152*(1+Assumptions!$B$9)^AI$5*(INT((Census!$F152+AI$5))+IF((Census!$F152+AI$5)-INT((Census!$F152+AI$5))&gt;0.5,1,0)),Assumptions!$B$10))</f>
        <v>0</v>
      </c>
      <c r="AJ152" s="30">
        <f>IF(AJ$5&gt;$B152,0,INDEX(Decrements!$G$6:$G$58,Census!$G152+AJ$5-18)/INDEX(Decrements!$G$6:$G$58,Census!$G152-17)*(INDEX(Decrements!$D$6:$D$58,Census!$G152+AJ$5-18)+IF(AJ$5=$B152,INDEX(Decrements!$F$6:$F$58,Census!$G152+AJ$5-18),0)+INDEX(Decrements!$E$6:$E$58,Census!$G152+AJ$5-18)*IF((Census!$F152+AJ$5)&gt;=Assumptions!$B$11,1,0))*MIN(15/26*Census!$D152*(1+Assumptions!$B$9)^AJ$5*(INT((Census!$F152+AJ$5))+IF((Census!$F152+AJ$5)-INT((Census!$F152+AJ$5))&gt;0.5,1,0)),Assumptions!$B$10))</f>
        <v>0</v>
      </c>
      <c r="AK152" s="30">
        <f>IF(AK$5&gt;$B152,0,INDEX(Decrements!$G$6:$G$58,Census!$G152+AK$5-18)/INDEX(Decrements!$G$6:$G$58,Census!$G152-17)*(INDEX(Decrements!$D$6:$D$58,Census!$G152+AK$5-18)+IF(AK$5=$B152,INDEX(Decrements!$F$6:$F$58,Census!$G152+AK$5-18),0)+INDEX(Decrements!$E$6:$E$58,Census!$G152+AK$5-18)*IF((Census!$F152+AK$5)&gt;=Assumptions!$B$11,1,0))*MIN(15/26*Census!$D152*(1+Assumptions!$B$9)^AK$5*(INT((Census!$F152+AK$5))+IF((Census!$F152+AK$5)-INT((Census!$F152+AK$5))&gt;0.5,1,0)),Assumptions!$B$10))</f>
        <v>0</v>
      </c>
      <c r="AL152" s="30">
        <f>IF(AL$5&gt;$B152,0,INDEX(Decrements!$G$6:$G$58,Census!$G152+AL$5-18)/INDEX(Decrements!$G$6:$G$58,Census!$G152-17)*(INDEX(Decrements!$D$6:$D$58,Census!$G152+AL$5-18)+IF(AL$5=$B152,INDEX(Decrements!$F$6:$F$58,Census!$G152+AL$5-18),0)+INDEX(Decrements!$E$6:$E$58,Census!$G152+AL$5-18)*IF((Census!$F152+AL$5)&gt;=Assumptions!$B$11,1,0))*MIN(15/26*Census!$D152*(1+Assumptions!$B$9)^AL$5*(INT((Census!$F152+AL$5))+IF((Census!$F152+AL$5)-INT((Census!$F152+AL$5))&gt;0.5,1,0)),Assumptions!$B$10))</f>
        <v>0</v>
      </c>
      <c r="AM152" s="30">
        <f>IF(AM$5&gt;$B152,0,INDEX(Decrements!$G$6:$G$58,Census!$G152+AM$5-18)/INDEX(Decrements!$G$6:$G$58,Census!$G152-17)*(INDEX(Decrements!$D$6:$D$58,Census!$G152+AM$5-18)+IF(AM$5=$B152,INDEX(Decrements!$F$6:$F$58,Census!$G152+AM$5-18),0)+INDEX(Decrements!$E$6:$E$58,Census!$G152+AM$5-18)*IF((Census!$F152+AM$5)&gt;=Assumptions!$B$11,1,0))*MIN(15/26*Census!$D152*(1+Assumptions!$B$9)^AM$5*(INT((Census!$F152+AM$5))+IF((Census!$F152+AM$5)-INT((Census!$F152+AM$5))&gt;0.5,1,0)),Assumptions!$B$10))</f>
        <v>0</v>
      </c>
      <c r="AN152" s="30">
        <f>IF(AN$5&gt;$B152,0,INDEX(Decrements!$G$6:$G$58,Census!$G152+AN$5-18)/INDEX(Decrements!$G$6:$G$58,Census!$G152-17)*(INDEX(Decrements!$D$6:$D$58,Census!$G152+AN$5-18)+IF(AN$5=$B152,INDEX(Decrements!$F$6:$F$58,Census!$G152+AN$5-18),0)+INDEX(Decrements!$E$6:$E$58,Census!$G152+AN$5-18)*IF((Census!$F152+AN$5)&gt;=Assumptions!$B$11,1,0))*MIN(15/26*Census!$D152*(1+Assumptions!$B$9)^AN$5*(INT((Census!$F152+AN$5))+IF((Census!$F152+AN$5)-INT((Census!$F152+AN$5))&gt;0.5,1,0)),Assumptions!$B$10))</f>
        <v>0</v>
      </c>
      <c r="AO152" s="30">
        <f>IF(AO$5&gt;$B152,0,INDEX(Decrements!$G$6:$G$58,Census!$G152+AO$5-18)/INDEX(Decrements!$G$6:$G$58,Census!$G152-17)*(INDEX(Decrements!$D$6:$D$58,Census!$G152+AO$5-18)+IF(AO$5=$B152,INDEX(Decrements!$F$6:$F$58,Census!$G152+AO$5-18),0)+INDEX(Decrements!$E$6:$E$58,Census!$G152+AO$5-18)*IF((Census!$F152+AO$5)&gt;=Assumptions!$B$11,1,0))*MIN(15/26*Census!$D152*(1+Assumptions!$B$9)^AO$5*(INT((Census!$F152+AO$5))+IF((Census!$F152+AO$5)-INT((Census!$F152+AO$5))&gt;0.5,1,0)),Assumptions!$B$10))</f>
        <v>0</v>
      </c>
      <c r="AP152" s="30">
        <f>IF(AP$5&gt;$B152,0,INDEX(Decrements!$G$6:$G$58,Census!$G152+AP$5-18)/INDEX(Decrements!$G$6:$G$58,Census!$G152-17)*(INDEX(Decrements!$D$6:$D$58,Census!$G152+AP$5-18)+IF(AP$5=$B152,INDEX(Decrements!$F$6:$F$58,Census!$G152+AP$5-18),0)+INDEX(Decrements!$E$6:$E$58,Census!$G152+AP$5-18)*IF((Census!$F152+AP$5)&gt;=Assumptions!$B$11,1,0))*MIN(15/26*Census!$D152*(1+Assumptions!$B$9)^AP$5*(INT((Census!$F152+AP$5))+IF((Census!$F152+AP$5)-INT((Census!$F152+AP$5))&gt;0.5,1,0)),Assumptions!$B$10))</f>
        <v>0</v>
      </c>
      <c r="AQ152" s="30">
        <f>IF(AQ$5&gt;$B152,0,INDEX(Decrements!$G$6:$G$58,Census!$G152+AQ$5-18)/INDEX(Decrements!$G$6:$G$58,Census!$G152-17)*(INDEX(Decrements!$D$6:$D$58,Census!$G152+AQ$5-18)+IF(AQ$5=$B152,INDEX(Decrements!$F$6:$F$58,Census!$G152+AQ$5-18),0)+INDEX(Decrements!$E$6:$E$58,Census!$G152+AQ$5-18)*IF((Census!$F152+AQ$5)&gt;=Assumptions!$B$11,1,0))*MIN(15/26*Census!$D152*(1+Assumptions!$B$9)^AQ$5*(INT((Census!$F152+AQ$5))+IF((Census!$F152+AQ$5)-INT((Census!$F152+AQ$5))&gt;0.5,1,0)),Assumptions!$B$10))</f>
        <v>0</v>
      </c>
      <c r="AR152" s="30">
        <f>IF(AR$5&gt;$B152,0,INDEX(Decrements!$G$6:$G$58,Census!$G152+AR$5-18)/INDEX(Decrements!$G$6:$G$58,Census!$G152-17)*(INDEX(Decrements!$D$6:$D$58,Census!$G152+AR$5-18)+IF(AR$5=$B152,INDEX(Decrements!$F$6:$F$58,Census!$G152+AR$5-18),0)+INDEX(Decrements!$E$6:$E$58,Census!$G152+AR$5-18)*IF((Census!$F152+AR$5)&gt;=Assumptions!$B$11,1,0))*MIN(15/26*Census!$D152*(1+Assumptions!$B$9)^AR$5*(INT((Census!$F152+AR$5))+IF((Census!$F152+AR$5)-INT((Census!$F152+AR$5))&gt;0.5,1,0)),Assumptions!$B$10))</f>
        <v>0</v>
      </c>
      <c r="AS152" s="30">
        <f>IF(AS$5&gt;$B152,0,INDEX(Decrements!$G$6:$G$58,Census!$G152+AS$5-18)/INDEX(Decrements!$G$6:$G$58,Census!$G152-17)*(INDEX(Decrements!$D$6:$D$58,Census!$G152+AS$5-18)+IF(AS$5=$B152,INDEX(Decrements!$F$6:$F$58,Census!$G152+AS$5-18),0)+INDEX(Decrements!$E$6:$E$58,Census!$G152+AS$5-18)*IF((Census!$F152+AS$5)&gt;=Assumptions!$B$11,1,0))*MIN(15/26*Census!$D152*(1+Assumptions!$B$9)^AS$5*(INT((Census!$F152+AS$5))+IF((Census!$F152+AS$5)-INT((Census!$F152+AS$5))&gt;0.5,1,0)),Assumptions!$B$10))</f>
        <v>0</v>
      </c>
      <c r="AT152" s="30">
        <f>IF(AT$5&gt;$B152,0,INDEX(Decrements!$G$6:$G$58,Census!$G152+AT$5-18)/INDEX(Decrements!$G$6:$G$58,Census!$G152-17)*(INDEX(Decrements!$D$6:$D$58,Census!$G152+AT$5-18)+IF(AT$5=$B152,INDEX(Decrements!$F$6:$F$58,Census!$G152+AT$5-18),0)+INDEX(Decrements!$E$6:$E$58,Census!$G152+AT$5-18)*IF((Census!$F152+AT$5)&gt;=Assumptions!$B$11,1,0))*MIN(15/26*Census!$D152*(1+Assumptions!$B$9)^AT$5*(INT((Census!$F152+AT$5))+IF((Census!$F152+AT$5)-INT((Census!$F152+AT$5))&gt;0.5,1,0)),Assumptions!$B$10))</f>
        <v>0</v>
      </c>
      <c r="AU152" s="30">
        <f>IF(AU$5&gt;$B152,0,INDEX(Decrements!$G$6:$G$58,Census!$G152+AU$5-18)/INDEX(Decrements!$G$6:$G$58,Census!$G152-17)*(INDEX(Decrements!$D$6:$D$58,Census!$G152+AU$5-18)+IF(AU$5=$B152,INDEX(Decrements!$F$6:$F$58,Census!$G152+AU$5-18),0)+INDEX(Decrements!$E$6:$E$58,Census!$G152+AU$5-18)*IF((Census!$F152+AU$5)&gt;=Assumptions!$B$11,1,0))*MIN(15/26*Census!$D152*(1+Assumptions!$B$9)^AU$5*(INT((Census!$F152+AU$5))+IF((Census!$F152+AU$5)-INT((Census!$F152+AU$5))&gt;0.5,1,0)),Assumptions!$B$10))</f>
        <v>0</v>
      </c>
    </row>
    <row r="153" spans="1:47" x14ac:dyDescent="0.3">
      <c r="A153" s="10" t="str">
        <f>Census!A153</f>
        <v>E148</v>
      </c>
      <c r="B153" s="29">
        <f>Census!H153</f>
        <v>17</v>
      </c>
      <c r="C153" s="30">
        <f>IF(C$5&gt;$B153,0,INDEX(Decrements!$G$6:$G$58,Census!$G153+C$5-18)/INDEX(Decrements!$G$6:$G$58,Census!$G153-17)*(INDEX(Decrements!$D$6:$D$58,Census!$G153+C$5-18)+IF(C$5=$B153,INDEX(Decrements!$F$6:$F$58,Census!$G153+C$5-18),0)+INDEX(Decrements!$E$6:$E$58,Census!$G153+C$5-18)*IF((Census!$F153+C$5)&gt;=Assumptions!$B$11,1,0))*MIN(15/26*Census!$D153*(1+Assumptions!$B$9)^C$5*(INT((Census!$F153+C$5))+IF((Census!$F153+C$5)-INT((Census!$F153+C$5))&gt;0.5,1,0)),Assumptions!$B$10))</f>
        <v>49608.274165309456</v>
      </c>
      <c r="D153" s="30">
        <f>IF(D$5&gt;$B153,0,INDEX(Decrements!$G$6:$G$58,Census!$G153+D$5-18)/INDEX(Decrements!$G$6:$G$58,Census!$G153-17)*(INDEX(Decrements!$D$6:$D$58,Census!$G153+D$5-18)+IF(D$5=$B153,INDEX(Decrements!$F$6:$F$58,Census!$G153+D$5-18),0)+INDEX(Decrements!$E$6:$E$58,Census!$G153+D$5-18)*IF((Census!$F153+D$5)&gt;=Assumptions!$B$11,1,0))*MIN(15/26*Census!$D153*(1+Assumptions!$B$9)^D$5*(INT((Census!$F153+D$5))+IF((Census!$F153+D$5)-INT((Census!$F153+D$5))&gt;0.5,1,0)),Assumptions!$B$10))</f>
        <v>53927.535408820826</v>
      </c>
      <c r="E153" s="30">
        <f>IF(E$5&gt;$B153,0,INDEX(Decrements!$G$6:$G$58,Census!$G153+E$5-18)/INDEX(Decrements!$G$6:$G$58,Census!$G153-17)*(INDEX(Decrements!$D$6:$D$58,Census!$G153+E$5-18)+IF(E$5=$B153,INDEX(Decrements!$F$6:$F$58,Census!$G153+E$5-18),0)+INDEX(Decrements!$E$6:$E$58,Census!$G153+E$5-18)*IF((Census!$F153+E$5)&gt;=Assumptions!$B$11,1,0))*MIN(15/26*Census!$D153*(1+Assumptions!$B$9)^E$5*(INT((Census!$F153+E$5))+IF((Census!$F153+E$5)-INT((Census!$F153+E$5))&gt;0.5,1,0)),Assumptions!$B$10))</f>
        <v>35938.138260012689</v>
      </c>
      <c r="F153" s="30">
        <f>IF(F$5&gt;$B153,0,INDEX(Decrements!$G$6:$G$58,Census!$G153+F$5-18)/INDEX(Decrements!$G$6:$G$58,Census!$G153-17)*(INDEX(Decrements!$D$6:$D$58,Census!$G153+F$5-18)+IF(F$5=$B153,INDEX(Decrements!$F$6:$F$58,Census!$G153+F$5-18),0)+INDEX(Decrements!$E$6:$E$58,Census!$G153+F$5-18)*IF((Census!$F153+F$5)&gt;=Assumptions!$B$11,1,0))*MIN(15/26*Census!$D153*(1+Assumptions!$B$9)^F$5*(INT((Census!$F153+F$5))+IF((Census!$F153+F$5)-INT((Census!$F153+F$5))&gt;0.5,1,0)),Assumptions!$B$10))</f>
        <v>39737.683139951165</v>
      </c>
      <c r="G153" s="30">
        <f>IF(G$5&gt;$B153,0,INDEX(Decrements!$G$6:$G$58,Census!$G153+G$5-18)/INDEX(Decrements!$G$6:$G$58,Census!$G153-17)*(INDEX(Decrements!$D$6:$D$58,Census!$G153+G$5-18)+IF(G$5=$B153,INDEX(Decrements!$F$6:$F$58,Census!$G153+G$5-18),0)+INDEX(Decrements!$E$6:$E$58,Census!$G153+G$5-18)*IF((Census!$F153+G$5)&gt;=Assumptions!$B$11,1,0))*MIN(15/26*Census!$D153*(1+Assumptions!$B$9)^G$5*(INT((Census!$F153+G$5))+IF((Census!$F153+G$5)-INT((Census!$F153+G$5))&gt;0.5,1,0)),Assumptions!$B$10))</f>
        <v>43841.581971503336</v>
      </c>
      <c r="H153" s="30">
        <f>IF(H$5&gt;$B153,0,INDEX(Decrements!$G$6:$G$58,Census!$G153+H$5-18)/INDEX(Decrements!$G$6:$G$58,Census!$G153-17)*(INDEX(Decrements!$D$6:$D$58,Census!$G153+H$5-18)+IF(H$5=$B153,INDEX(Decrements!$F$6:$F$58,Census!$G153+H$5-18),0)+INDEX(Decrements!$E$6:$E$58,Census!$G153+H$5-18)*IF((Census!$F153+H$5)&gt;=Assumptions!$B$11,1,0))*MIN(15/26*Census!$D153*(1+Assumptions!$B$9)^H$5*(INT((Census!$F153+H$5))+IF((Census!$F153+H$5)-INT((Census!$F153+H$5))&gt;0.5,1,0)),Assumptions!$B$10))</f>
        <v>48274.520929992665</v>
      </c>
      <c r="I153" s="30">
        <f>IF(I$5&gt;$B153,0,INDEX(Decrements!$G$6:$G$58,Census!$G153+I$5-18)/INDEX(Decrements!$G$6:$G$58,Census!$G153-17)*(INDEX(Decrements!$D$6:$D$58,Census!$G153+I$5-18)+IF(I$5=$B153,INDEX(Decrements!$F$6:$F$58,Census!$G153+I$5-18),0)+INDEX(Decrements!$E$6:$E$58,Census!$G153+I$5-18)*IF((Census!$F153+I$5)&gt;=Assumptions!$B$11,1,0))*MIN(15/26*Census!$D153*(1+Assumptions!$B$9)^I$5*(INT((Census!$F153+I$5))+IF((Census!$F153+I$5)-INT((Census!$F153+I$5))&gt;0.5,1,0)),Assumptions!$B$10))</f>
        <v>51395.890824007729</v>
      </c>
      <c r="J153" s="30">
        <f>IF(J$5&gt;$B153,0,INDEX(Decrements!$G$6:$G$58,Census!$G153+J$5-18)/INDEX(Decrements!$G$6:$G$58,Census!$G153-17)*(INDEX(Decrements!$D$6:$D$58,Census!$G153+J$5-18)+IF(J$5=$B153,INDEX(Decrements!$F$6:$F$58,Census!$G153+J$5-18),0)+INDEX(Decrements!$E$6:$E$58,Census!$G153+J$5-18)*IF((Census!$F153+J$5)&gt;=Assumptions!$B$11,1,0))*MIN(15/26*Census!$D153*(1+Assumptions!$B$9)^J$5*(INT((Census!$F153+J$5))+IF((Census!$F153+J$5)-INT((Census!$F153+J$5))&gt;0.5,1,0)),Assumptions!$B$10))</f>
        <v>34824.563376348742</v>
      </c>
      <c r="K153" s="30">
        <f>IF(K$5&gt;$B153,0,INDEX(Decrements!$G$6:$G$58,Census!$G153+K$5-18)/INDEX(Decrements!$G$6:$G$58,Census!$G153-17)*(INDEX(Decrements!$D$6:$D$58,Census!$G153+K$5-18)+IF(K$5=$B153,INDEX(Decrements!$F$6:$F$58,Census!$G153+K$5-18),0)+INDEX(Decrements!$E$6:$E$58,Census!$G153+K$5-18)*IF((Census!$F153+K$5)&gt;=Assumptions!$B$11,1,0))*MIN(15/26*Census!$D153*(1+Assumptions!$B$9)^K$5*(INT((Census!$F153+K$5))+IF((Census!$F153+K$5)-INT((Census!$F153+K$5))&gt;0.5,1,0)),Assumptions!$B$10))</f>
        <v>34389.701221236632</v>
      </c>
      <c r="L153" s="30">
        <f>IF(L$5&gt;$B153,0,INDEX(Decrements!$G$6:$G$58,Census!$G153+L$5-18)/INDEX(Decrements!$G$6:$G$58,Census!$G153-17)*(INDEX(Decrements!$D$6:$D$58,Census!$G153+L$5-18)+IF(L$5=$B153,INDEX(Decrements!$F$6:$F$58,Census!$G153+L$5-18),0)+INDEX(Decrements!$E$6:$E$58,Census!$G153+L$5-18)*IF((Census!$F153+L$5)&gt;=Assumptions!$B$11,1,0))*MIN(15/26*Census!$D153*(1+Assumptions!$B$9)^L$5*(INT((Census!$F153+L$5))+IF((Census!$F153+L$5)-INT((Census!$F153+L$5))&gt;0.5,1,0)),Assumptions!$B$10))</f>
        <v>33983.193882101266</v>
      </c>
      <c r="M153" s="30">
        <f>IF(M$5&gt;$B153,0,INDEX(Decrements!$G$6:$G$58,Census!$G153+M$5-18)/INDEX(Decrements!$G$6:$G$58,Census!$G153-17)*(INDEX(Decrements!$D$6:$D$58,Census!$G153+M$5-18)+IF(M$5=$B153,INDEX(Decrements!$F$6:$F$58,Census!$G153+M$5-18),0)+INDEX(Decrements!$E$6:$E$58,Census!$G153+M$5-18)*IF((Census!$F153+M$5)&gt;=Assumptions!$B$11,1,0))*MIN(15/26*Census!$D153*(1+Assumptions!$B$9)^M$5*(INT((Census!$F153+M$5))+IF((Census!$F153+M$5)-INT((Census!$F153+M$5))&gt;0.5,1,0)),Assumptions!$B$10))</f>
        <v>33605.638850847026</v>
      </c>
      <c r="N153" s="30">
        <f>IF(N$5&gt;$B153,0,INDEX(Decrements!$G$6:$G$58,Census!$G153+N$5-18)/INDEX(Decrements!$G$6:$G$58,Census!$G153-17)*(INDEX(Decrements!$D$6:$D$58,Census!$G153+N$5-18)+IF(N$5=$B153,INDEX(Decrements!$F$6:$F$58,Census!$G153+N$5-18),0)+INDEX(Decrements!$E$6:$E$58,Census!$G153+N$5-18)*IF((Census!$F153+N$5)&gt;=Assumptions!$B$11,1,0))*MIN(15/26*Census!$D153*(1+Assumptions!$B$9)^N$5*(INT((Census!$F153+N$5))+IF((Census!$F153+N$5)-INT((Census!$F153+N$5))&gt;0.5,1,0)),Assumptions!$B$10))</f>
        <v>33257.653336551986</v>
      </c>
      <c r="O153" s="30">
        <f>IF(O$5&gt;$B153,0,INDEX(Decrements!$G$6:$G$58,Census!$G153+O$5-18)/INDEX(Decrements!$G$6:$G$58,Census!$G153-17)*(INDEX(Decrements!$D$6:$D$58,Census!$G153+O$5-18)+IF(O$5=$B153,INDEX(Decrements!$F$6:$F$58,Census!$G153+O$5-18),0)+INDEX(Decrements!$E$6:$E$58,Census!$G153+O$5-18)*IF((Census!$F153+O$5)&gt;=Assumptions!$B$11,1,0))*MIN(15/26*Census!$D153*(1+Assumptions!$B$9)^O$5*(INT((Census!$F153+O$5))+IF((Census!$F153+O$5)-INT((Census!$F153+O$5))&gt;0.5,1,0)),Assumptions!$B$10))</f>
        <v>19427.067012636318</v>
      </c>
      <c r="P153" s="30">
        <f>IF(P$5&gt;$B153,0,INDEX(Decrements!$G$6:$G$58,Census!$G153+P$5-18)/INDEX(Decrements!$G$6:$G$58,Census!$G153-17)*(INDEX(Decrements!$D$6:$D$58,Census!$G153+P$5-18)+IF(P$5=$B153,INDEX(Decrements!$F$6:$F$58,Census!$G153+P$5-18),0)+INDEX(Decrements!$E$6:$E$58,Census!$G153+P$5-18)*IF((Census!$F153+P$5)&gt;=Assumptions!$B$11,1,0))*MIN(15/26*Census!$D153*(1+Assumptions!$B$9)^P$5*(INT((Census!$F153+P$5))+IF((Census!$F153+P$5)-INT((Census!$F153+P$5))&gt;0.5,1,0)),Assumptions!$B$10))</f>
        <v>19672.008870506226</v>
      </c>
      <c r="Q153" s="30">
        <f>IF(Q$5&gt;$B153,0,INDEX(Decrements!$G$6:$G$58,Census!$G153+Q$5-18)/INDEX(Decrements!$G$6:$G$58,Census!$G153-17)*(INDEX(Decrements!$D$6:$D$58,Census!$G153+Q$5-18)+IF(Q$5=$B153,INDEX(Decrements!$F$6:$F$58,Census!$G153+Q$5-18),0)+INDEX(Decrements!$E$6:$E$58,Census!$G153+Q$5-18)*IF((Census!$F153+Q$5)&gt;=Assumptions!$B$11,1,0))*MIN(15/26*Census!$D153*(1+Assumptions!$B$9)^Q$5*(INT((Census!$F153+Q$5))+IF((Census!$F153+Q$5)-INT((Census!$F153+Q$5))&gt;0.5,1,0)),Assumptions!$B$10))</f>
        <v>19949.359525189353</v>
      </c>
      <c r="R153" s="30">
        <f>IF(R$5&gt;$B153,0,INDEX(Decrements!$G$6:$G$58,Census!$G153+R$5-18)/INDEX(Decrements!$G$6:$G$58,Census!$G153-17)*(INDEX(Decrements!$D$6:$D$58,Census!$G153+R$5-18)+IF(R$5=$B153,INDEX(Decrements!$F$6:$F$58,Census!$G153+R$5-18),0)+INDEX(Decrements!$E$6:$E$58,Census!$G153+R$5-18)*IF((Census!$F153+R$5)&gt;=Assumptions!$B$11,1,0))*MIN(15/26*Census!$D153*(1+Assumptions!$B$9)^R$5*(INT((Census!$F153+R$5))+IF((Census!$F153+R$5)-INT((Census!$F153+R$5))&gt;0.5,1,0)),Assumptions!$B$10))</f>
        <v>20261.00399485631</v>
      </c>
      <c r="S153" s="30">
        <f>IF(S$5&gt;$B153,0,INDEX(Decrements!$G$6:$G$58,Census!$G153+S$5-18)/INDEX(Decrements!$G$6:$G$58,Census!$G153-17)*(INDEX(Decrements!$D$6:$D$58,Census!$G153+S$5-18)+IF(S$5=$B153,INDEX(Decrements!$F$6:$F$58,Census!$G153+S$5-18),0)+INDEX(Decrements!$E$6:$E$58,Census!$G153+S$5-18)*IF((Census!$F153+S$5)&gt;=Assumptions!$B$11,1,0))*MIN(15/26*Census!$D153*(1+Assumptions!$B$9)^S$5*(INT((Census!$F153+S$5))+IF((Census!$F153+S$5)-INT((Census!$F153+S$5))&gt;0.5,1,0)),Assumptions!$B$10))</f>
        <v>1277884.7494882199</v>
      </c>
      <c r="T153" s="30">
        <f>IF(T$5&gt;$B153,0,INDEX(Decrements!$G$6:$G$58,Census!$G153+T$5-18)/INDEX(Decrements!$G$6:$G$58,Census!$G153-17)*(INDEX(Decrements!$D$6:$D$58,Census!$G153+T$5-18)+IF(T$5=$B153,INDEX(Decrements!$F$6:$F$58,Census!$G153+T$5-18),0)+INDEX(Decrements!$E$6:$E$58,Census!$G153+T$5-18)*IF((Census!$F153+T$5)&gt;=Assumptions!$B$11,1,0))*MIN(15/26*Census!$D153*(1+Assumptions!$B$9)^T$5*(INT((Census!$F153+T$5))+IF((Census!$F153+T$5)-INT((Census!$F153+T$5))&gt;0.5,1,0)),Assumptions!$B$10))</f>
        <v>0</v>
      </c>
      <c r="U153" s="30">
        <f>IF(U$5&gt;$B153,0,INDEX(Decrements!$G$6:$G$58,Census!$G153+U$5-18)/INDEX(Decrements!$G$6:$G$58,Census!$G153-17)*(INDEX(Decrements!$D$6:$D$58,Census!$G153+U$5-18)+IF(U$5=$B153,INDEX(Decrements!$F$6:$F$58,Census!$G153+U$5-18),0)+INDEX(Decrements!$E$6:$E$58,Census!$G153+U$5-18)*IF((Census!$F153+U$5)&gt;=Assumptions!$B$11,1,0))*MIN(15/26*Census!$D153*(1+Assumptions!$B$9)^U$5*(INT((Census!$F153+U$5))+IF((Census!$F153+U$5)-INT((Census!$F153+U$5))&gt;0.5,1,0)),Assumptions!$B$10))</f>
        <v>0</v>
      </c>
      <c r="V153" s="30">
        <f>IF(V$5&gt;$B153,0,INDEX(Decrements!$G$6:$G$58,Census!$G153+V$5-18)/INDEX(Decrements!$G$6:$G$58,Census!$G153-17)*(INDEX(Decrements!$D$6:$D$58,Census!$G153+V$5-18)+IF(V$5=$B153,INDEX(Decrements!$F$6:$F$58,Census!$G153+V$5-18),0)+INDEX(Decrements!$E$6:$E$58,Census!$G153+V$5-18)*IF((Census!$F153+V$5)&gt;=Assumptions!$B$11,1,0))*MIN(15/26*Census!$D153*(1+Assumptions!$B$9)^V$5*(INT((Census!$F153+V$5))+IF((Census!$F153+V$5)-INT((Census!$F153+V$5))&gt;0.5,1,0)),Assumptions!$B$10))</f>
        <v>0</v>
      </c>
      <c r="W153" s="30">
        <f>IF(W$5&gt;$B153,0,INDEX(Decrements!$G$6:$G$58,Census!$G153+W$5-18)/INDEX(Decrements!$G$6:$G$58,Census!$G153-17)*(INDEX(Decrements!$D$6:$D$58,Census!$G153+W$5-18)+IF(W$5=$B153,INDEX(Decrements!$F$6:$F$58,Census!$G153+W$5-18),0)+INDEX(Decrements!$E$6:$E$58,Census!$G153+W$5-18)*IF((Census!$F153+W$5)&gt;=Assumptions!$B$11,1,0))*MIN(15/26*Census!$D153*(1+Assumptions!$B$9)^W$5*(INT((Census!$F153+W$5))+IF((Census!$F153+W$5)-INT((Census!$F153+W$5))&gt;0.5,1,0)),Assumptions!$B$10))</f>
        <v>0</v>
      </c>
      <c r="X153" s="30">
        <f>IF(X$5&gt;$B153,0,INDEX(Decrements!$G$6:$G$58,Census!$G153+X$5-18)/INDEX(Decrements!$G$6:$G$58,Census!$G153-17)*(INDEX(Decrements!$D$6:$D$58,Census!$G153+X$5-18)+IF(X$5=$B153,INDEX(Decrements!$F$6:$F$58,Census!$G153+X$5-18),0)+INDEX(Decrements!$E$6:$E$58,Census!$G153+X$5-18)*IF((Census!$F153+X$5)&gt;=Assumptions!$B$11,1,0))*MIN(15/26*Census!$D153*(1+Assumptions!$B$9)^X$5*(INT((Census!$F153+X$5))+IF((Census!$F153+X$5)-INT((Census!$F153+X$5))&gt;0.5,1,0)),Assumptions!$B$10))</f>
        <v>0</v>
      </c>
      <c r="Y153" s="30">
        <f>IF(Y$5&gt;$B153,0,INDEX(Decrements!$G$6:$G$58,Census!$G153+Y$5-18)/INDEX(Decrements!$G$6:$G$58,Census!$G153-17)*(INDEX(Decrements!$D$6:$D$58,Census!$G153+Y$5-18)+IF(Y$5=$B153,INDEX(Decrements!$F$6:$F$58,Census!$G153+Y$5-18),0)+INDEX(Decrements!$E$6:$E$58,Census!$G153+Y$5-18)*IF((Census!$F153+Y$5)&gt;=Assumptions!$B$11,1,0))*MIN(15/26*Census!$D153*(1+Assumptions!$B$9)^Y$5*(INT((Census!$F153+Y$5))+IF((Census!$F153+Y$5)-INT((Census!$F153+Y$5))&gt;0.5,1,0)),Assumptions!$B$10))</f>
        <v>0</v>
      </c>
      <c r="Z153" s="30">
        <f>IF(Z$5&gt;$B153,0,INDEX(Decrements!$G$6:$G$58,Census!$G153+Z$5-18)/INDEX(Decrements!$G$6:$G$58,Census!$G153-17)*(INDEX(Decrements!$D$6:$D$58,Census!$G153+Z$5-18)+IF(Z$5=$B153,INDEX(Decrements!$F$6:$F$58,Census!$G153+Z$5-18),0)+INDEX(Decrements!$E$6:$E$58,Census!$G153+Z$5-18)*IF((Census!$F153+Z$5)&gt;=Assumptions!$B$11,1,0))*MIN(15/26*Census!$D153*(1+Assumptions!$B$9)^Z$5*(INT((Census!$F153+Z$5))+IF((Census!$F153+Z$5)-INT((Census!$F153+Z$5))&gt;0.5,1,0)),Assumptions!$B$10))</f>
        <v>0</v>
      </c>
      <c r="AA153" s="30">
        <f>IF(AA$5&gt;$B153,0,INDEX(Decrements!$G$6:$G$58,Census!$G153+AA$5-18)/INDEX(Decrements!$G$6:$G$58,Census!$G153-17)*(INDEX(Decrements!$D$6:$D$58,Census!$G153+AA$5-18)+IF(AA$5=$B153,INDEX(Decrements!$F$6:$F$58,Census!$G153+AA$5-18),0)+INDEX(Decrements!$E$6:$E$58,Census!$G153+AA$5-18)*IF((Census!$F153+AA$5)&gt;=Assumptions!$B$11,1,0))*MIN(15/26*Census!$D153*(1+Assumptions!$B$9)^AA$5*(INT((Census!$F153+AA$5))+IF((Census!$F153+AA$5)-INT((Census!$F153+AA$5))&gt;0.5,1,0)),Assumptions!$B$10))</f>
        <v>0</v>
      </c>
      <c r="AB153" s="30">
        <f>IF(AB$5&gt;$B153,0,INDEX(Decrements!$G$6:$G$58,Census!$G153+AB$5-18)/INDEX(Decrements!$G$6:$G$58,Census!$G153-17)*(INDEX(Decrements!$D$6:$D$58,Census!$G153+AB$5-18)+IF(AB$5=$B153,INDEX(Decrements!$F$6:$F$58,Census!$G153+AB$5-18),0)+INDEX(Decrements!$E$6:$E$58,Census!$G153+AB$5-18)*IF((Census!$F153+AB$5)&gt;=Assumptions!$B$11,1,0))*MIN(15/26*Census!$D153*(1+Assumptions!$B$9)^AB$5*(INT((Census!$F153+AB$5))+IF((Census!$F153+AB$5)-INT((Census!$F153+AB$5))&gt;0.5,1,0)),Assumptions!$B$10))</f>
        <v>0</v>
      </c>
      <c r="AC153" s="30">
        <f>IF(AC$5&gt;$B153,0,INDEX(Decrements!$G$6:$G$58,Census!$G153+AC$5-18)/INDEX(Decrements!$G$6:$G$58,Census!$G153-17)*(INDEX(Decrements!$D$6:$D$58,Census!$G153+AC$5-18)+IF(AC$5=$B153,INDEX(Decrements!$F$6:$F$58,Census!$G153+AC$5-18),0)+INDEX(Decrements!$E$6:$E$58,Census!$G153+AC$5-18)*IF((Census!$F153+AC$5)&gt;=Assumptions!$B$11,1,0))*MIN(15/26*Census!$D153*(1+Assumptions!$B$9)^AC$5*(INT((Census!$F153+AC$5))+IF((Census!$F153+AC$5)-INT((Census!$F153+AC$5))&gt;0.5,1,0)),Assumptions!$B$10))</f>
        <v>0</v>
      </c>
      <c r="AD153" s="30">
        <f>IF(AD$5&gt;$B153,0,INDEX(Decrements!$G$6:$G$58,Census!$G153+AD$5-18)/INDEX(Decrements!$G$6:$G$58,Census!$G153-17)*(INDEX(Decrements!$D$6:$D$58,Census!$G153+AD$5-18)+IF(AD$5=$B153,INDEX(Decrements!$F$6:$F$58,Census!$G153+AD$5-18),0)+INDEX(Decrements!$E$6:$E$58,Census!$G153+AD$5-18)*IF((Census!$F153+AD$5)&gt;=Assumptions!$B$11,1,0))*MIN(15/26*Census!$D153*(1+Assumptions!$B$9)^AD$5*(INT((Census!$F153+AD$5))+IF((Census!$F153+AD$5)-INT((Census!$F153+AD$5))&gt;0.5,1,0)),Assumptions!$B$10))</f>
        <v>0</v>
      </c>
      <c r="AE153" s="30">
        <f>IF(AE$5&gt;$B153,0,INDEX(Decrements!$G$6:$G$58,Census!$G153+AE$5-18)/INDEX(Decrements!$G$6:$G$58,Census!$G153-17)*(INDEX(Decrements!$D$6:$D$58,Census!$G153+AE$5-18)+IF(AE$5=$B153,INDEX(Decrements!$F$6:$F$58,Census!$G153+AE$5-18),0)+INDEX(Decrements!$E$6:$E$58,Census!$G153+AE$5-18)*IF((Census!$F153+AE$5)&gt;=Assumptions!$B$11,1,0))*MIN(15/26*Census!$D153*(1+Assumptions!$B$9)^AE$5*(INT((Census!$F153+AE$5))+IF((Census!$F153+AE$5)-INT((Census!$F153+AE$5))&gt;0.5,1,0)),Assumptions!$B$10))</f>
        <v>0</v>
      </c>
      <c r="AF153" s="30">
        <f>IF(AF$5&gt;$B153,0,INDEX(Decrements!$G$6:$G$58,Census!$G153+AF$5-18)/INDEX(Decrements!$G$6:$G$58,Census!$G153-17)*(INDEX(Decrements!$D$6:$D$58,Census!$G153+AF$5-18)+IF(AF$5=$B153,INDEX(Decrements!$F$6:$F$58,Census!$G153+AF$5-18),0)+INDEX(Decrements!$E$6:$E$58,Census!$G153+AF$5-18)*IF((Census!$F153+AF$5)&gt;=Assumptions!$B$11,1,0))*MIN(15/26*Census!$D153*(1+Assumptions!$B$9)^AF$5*(INT((Census!$F153+AF$5))+IF((Census!$F153+AF$5)-INT((Census!$F153+AF$5))&gt;0.5,1,0)),Assumptions!$B$10))</f>
        <v>0</v>
      </c>
      <c r="AG153" s="30">
        <f>IF(AG$5&gt;$B153,0,INDEX(Decrements!$G$6:$G$58,Census!$G153+AG$5-18)/INDEX(Decrements!$G$6:$G$58,Census!$G153-17)*(INDEX(Decrements!$D$6:$D$58,Census!$G153+AG$5-18)+IF(AG$5=$B153,INDEX(Decrements!$F$6:$F$58,Census!$G153+AG$5-18),0)+INDEX(Decrements!$E$6:$E$58,Census!$G153+AG$5-18)*IF((Census!$F153+AG$5)&gt;=Assumptions!$B$11,1,0))*MIN(15/26*Census!$D153*(1+Assumptions!$B$9)^AG$5*(INT((Census!$F153+AG$5))+IF((Census!$F153+AG$5)-INT((Census!$F153+AG$5))&gt;0.5,1,0)),Assumptions!$B$10))</f>
        <v>0</v>
      </c>
      <c r="AH153" s="30">
        <f>IF(AH$5&gt;$B153,0,INDEX(Decrements!$G$6:$G$58,Census!$G153+AH$5-18)/INDEX(Decrements!$G$6:$G$58,Census!$G153-17)*(INDEX(Decrements!$D$6:$D$58,Census!$G153+AH$5-18)+IF(AH$5=$B153,INDEX(Decrements!$F$6:$F$58,Census!$G153+AH$5-18),0)+INDEX(Decrements!$E$6:$E$58,Census!$G153+AH$5-18)*IF((Census!$F153+AH$5)&gt;=Assumptions!$B$11,1,0))*MIN(15/26*Census!$D153*(1+Assumptions!$B$9)^AH$5*(INT((Census!$F153+AH$5))+IF((Census!$F153+AH$5)-INT((Census!$F153+AH$5))&gt;0.5,1,0)),Assumptions!$B$10))</f>
        <v>0</v>
      </c>
      <c r="AI153" s="30">
        <f>IF(AI$5&gt;$B153,0,INDEX(Decrements!$G$6:$G$58,Census!$G153+AI$5-18)/INDEX(Decrements!$G$6:$G$58,Census!$G153-17)*(INDEX(Decrements!$D$6:$D$58,Census!$G153+AI$5-18)+IF(AI$5=$B153,INDEX(Decrements!$F$6:$F$58,Census!$G153+AI$5-18),0)+INDEX(Decrements!$E$6:$E$58,Census!$G153+AI$5-18)*IF((Census!$F153+AI$5)&gt;=Assumptions!$B$11,1,0))*MIN(15/26*Census!$D153*(1+Assumptions!$B$9)^AI$5*(INT((Census!$F153+AI$5))+IF((Census!$F153+AI$5)-INT((Census!$F153+AI$5))&gt;0.5,1,0)),Assumptions!$B$10))</f>
        <v>0</v>
      </c>
      <c r="AJ153" s="30">
        <f>IF(AJ$5&gt;$B153,0,INDEX(Decrements!$G$6:$G$58,Census!$G153+AJ$5-18)/INDEX(Decrements!$G$6:$G$58,Census!$G153-17)*(INDEX(Decrements!$D$6:$D$58,Census!$G153+AJ$5-18)+IF(AJ$5=$B153,INDEX(Decrements!$F$6:$F$58,Census!$G153+AJ$5-18),0)+INDEX(Decrements!$E$6:$E$58,Census!$G153+AJ$5-18)*IF((Census!$F153+AJ$5)&gt;=Assumptions!$B$11,1,0))*MIN(15/26*Census!$D153*(1+Assumptions!$B$9)^AJ$5*(INT((Census!$F153+AJ$5))+IF((Census!$F153+AJ$5)-INT((Census!$F153+AJ$5))&gt;0.5,1,0)),Assumptions!$B$10))</f>
        <v>0</v>
      </c>
      <c r="AK153" s="30">
        <f>IF(AK$5&gt;$B153,0,INDEX(Decrements!$G$6:$G$58,Census!$G153+AK$5-18)/INDEX(Decrements!$G$6:$G$58,Census!$G153-17)*(INDEX(Decrements!$D$6:$D$58,Census!$G153+AK$5-18)+IF(AK$5=$B153,INDEX(Decrements!$F$6:$F$58,Census!$G153+AK$5-18),0)+INDEX(Decrements!$E$6:$E$58,Census!$G153+AK$5-18)*IF((Census!$F153+AK$5)&gt;=Assumptions!$B$11,1,0))*MIN(15/26*Census!$D153*(1+Assumptions!$B$9)^AK$5*(INT((Census!$F153+AK$5))+IF((Census!$F153+AK$5)-INT((Census!$F153+AK$5))&gt;0.5,1,0)),Assumptions!$B$10))</f>
        <v>0</v>
      </c>
      <c r="AL153" s="30">
        <f>IF(AL$5&gt;$B153,0,INDEX(Decrements!$G$6:$G$58,Census!$G153+AL$5-18)/INDEX(Decrements!$G$6:$G$58,Census!$G153-17)*(INDEX(Decrements!$D$6:$D$58,Census!$G153+AL$5-18)+IF(AL$5=$B153,INDEX(Decrements!$F$6:$F$58,Census!$G153+AL$5-18),0)+INDEX(Decrements!$E$6:$E$58,Census!$G153+AL$5-18)*IF((Census!$F153+AL$5)&gt;=Assumptions!$B$11,1,0))*MIN(15/26*Census!$D153*(1+Assumptions!$B$9)^AL$5*(INT((Census!$F153+AL$5))+IF((Census!$F153+AL$5)-INT((Census!$F153+AL$5))&gt;0.5,1,0)),Assumptions!$B$10))</f>
        <v>0</v>
      </c>
      <c r="AM153" s="30">
        <f>IF(AM$5&gt;$B153,0,INDEX(Decrements!$G$6:$G$58,Census!$G153+AM$5-18)/INDEX(Decrements!$G$6:$G$58,Census!$G153-17)*(INDEX(Decrements!$D$6:$D$58,Census!$G153+AM$5-18)+IF(AM$5=$B153,INDEX(Decrements!$F$6:$F$58,Census!$G153+AM$5-18),0)+INDEX(Decrements!$E$6:$E$58,Census!$G153+AM$5-18)*IF((Census!$F153+AM$5)&gt;=Assumptions!$B$11,1,0))*MIN(15/26*Census!$D153*(1+Assumptions!$B$9)^AM$5*(INT((Census!$F153+AM$5))+IF((Census!$F153+AM$5)-INT((Census!$F153+AM$5))&gt;0.5,1,0)),Assumptions!$B$10))</f>
        <v>0</v>
      </c>
      <c r="AN153" s="30">
        <f>IF(AN$5&gt;$B153,0,INDEX(Decrements!$G$6:$G$58,Census!$G153+AN$5-18)/INDEX(Decrements!$G$6:$G$58,Census!$G153-17)*(INDEX(Decrements!$D$6:$D$58,Census!$G153+AN$5-18)+IF(AN$5=$B153,INDEX(Decrements!$F$6:$F$58,Census!$G153+AN$5-18),0)+INDEX(Decrements!$E$6:$E$58,Census!$G153+AN$5-18)*IF((Census!$F153+AN$5)&gt;=Assumptions!$B$11,1,0))*MIN(15/26*Census!$D153*(1+Assumptions!$B$9)^AN$5*(INT((Census!$F153+AN$5))+IF((Census!$F153+AN$5)-INT((Census!$F153+AN$5))&gt;0.5,1,0)),Assumptions!$B$10))</f>
        <v>0</v>
      </c>
      <c r="AO153" s="30">
        <f>IF(AO$5&gt;$B153,0,INDEX(Decrements!$G$6:$G$58,Census!$G153+AO$5-18)/INDEX(Decrements!$G$6:$G$58,Census!$G153-17)*(INDEX(Decrements!$D$6:$D$58,Census!$G153+AO$5-18)+IF(AO$5=$B153,INDEX(Decrements!$F$6:$F$58,Census!$G153+AO$5-18),0)+INDEX(Decrements!$E$6:$E$58,Census!$G153+AO$5-18)*IF((Census!$F153+AO$5)&gt;=Assumptions!$B$11,1,0))*MIN(15/26*Census!$D153*(1+Assumptions!$B$9)^AO$5*(INT((Census!$F153+AO$5))+IF((Census!$F153+AO$5)-INT((Census!$F153+AO$5))&gt;0.5,1,0)),Assumptions!$B$10))</f>
        <v>0</v>
      </c>
      <c r="AP153" s="30">
        <f>IF(AP$5&gt;$B153,0,INDEX(Decrements!$G$6:$G$58,Census!$G153+AP$5-18)/INDEX(Decrements!$G$6:$G$58,Census!$G153-17)*(INDEX(Decrements!$D$6:$D$58,Census!$G153+AP$5-18)+IF(AP$5=$B153,INDEX(Decrements!$F$6:$F$58,Census!$G153+AP$5-18),0)+INDEX(Decrements!$E$6:$E$58,Census!$G153+AP$5-18)*IF((Census!$F153+AP$5)&gt;=Assumptions!$B$11,1,0))*MIN(15/26*Census!$D153*(1+Assumptions!$B$9)^AP$5*(INT((Census!$F153+AP$5))+IF((Census!$F153+AP$5)-INT((Census!$F153+AP$5))&gt;0.5,1,0)),Assumptions!$B$10))</f>
        <v>0</v>
      </c>
      <c r="AQ153" s="30">
        <f>IF(AQ$5&gt;$B153,0,INDEX(Decrements!$G$6:$G$58,Census!$G153+AQ$5-18)/INDEX(Decrements!$G$6:$G$58,Census!$G153-17)*(INDEX(Decrements!$D$6:$D$58,Census!$G153+AQ$5-18)+IF(AQ$5=$B153,INDEX(Decrements!$F$6:$F$58,Census!$G153+AQ$5-18),0)+INDEX(Decrements!$E$6:$E$58,Census!$G153+AQ$5-18)*IF((Census!$F153+AQ$5)&gt;=Assumptions!$B$11,1,0))*MIN(15/26*Census!$D153*(1+Assumptions!$B$9)^AQ$5*(INT((Census!$F153+AQ$5))+IF((Census!$F153+AQ$5)-INT((Census!$F153+AQ$5))&gt;0.5,1,0)),Assumptions!$B$10))</f>
        <v>0</v>
      </c>
      <c r="AR153" s="30">
        <f>IF(AR$5&gt;$B153,0,INDEX(Decrements!$G$6:$G$58,Census!$G153+AR$5-18)/INDEX(Decrements!$G$6:$G$58,Census!$G153-17)*(INDEX(Decrements!$D$6:$D$58,Census!$G153+AR$5-18)+IF(AR$5=$B153,INDEX(Decrements!$F$6:$F$58,Census!$G153+AR$5-18),0)+INDEX(Decrements!$E$6:$E$58,Census!$G153+AR$5-18)*IF((Census!$F153+AR$5)&gt;=Assumptions!$B$11,1,0))*MIN(15/26*Census!$D153*(1+Assumptions!$B$9)^AR$5*(INT((Census!$F153+AR$5))+IF((Census!$F153+AR$5)-INT((Census!$F153+AR$5))&gt;0.5,1,0)),Assumptions!$B$10))</f>
        <v>0</v>
      </c>
      <c r="AS153" s="30">
        <f>IF(AS$5&gt;$B153,0,INDEX(Decrements!$G$6:$G$58,Census!$G153+AS$5-18)/INDEX(Decrements!$G$6:$G$58,Census!$G153-17)*(INDEX(Decrements!$D$6:$D$58,Census!$G153+AS$5-18)+IF(AS$5=$B153,INDEX(Decrements!$F$6:$F$58,Census!$G153+AS$5-18),0)+INDEX(Decrements!$E$6:$E$58,Census!$G153+AS$5-18)*IF((Census!$F153+AS$5)&gt;=Assumptions!$B$11,1,0))*MIN(15/26*Census!$D153*(1+Assumptions!$B$9)^AS$5*(INT((Census!$F153+AS$5))+IF((Census!$F153+AS$5)-INT((Census!$F153+AS$5))&gt;0.5,1,0)),Assumptions!$B$10))</f>
        <v>0</v>
      </c>
      <c r="AT153" s="30">
        <f>IF(AT$5&gt;$B153,0,INDEX(Decrements!$G$6:$G$58,Census!$G153+AT$5-18)/INDEX(Decrements!$G$6:$G$58,Census!$G153-17)*(INDEX(Decrements!$D$6:$D$58,Census!$G153+AT$5-18)+IF(AT$5=$B153,INDEX(Decrements!$F$6:$F$58,Census!$G153+AT$5-18),0)+INDEX(Decrements!$E$6:$E$58,Census!$G153+AT$5-18)*IF((Census!$F153+AT$5)&gt;=Assumptions!$B$11,1,0))*MIN(15/26*Census!$D153*(1+Assumptions!$B$9)^AT$5*(INT((Census!$F153+AT$5))+IF((Census!$F153+AT$5)-INT((Census!$F153+AT$5))&gt;0.5,1,0)),Assumptions!$B$10))</f>
        <v>0</v>
      </c>
      <c r="AU153" s="30">
        <f>IF(AU$5&gt;$B153,0,INDEX(Decrements!$G$6:$G$58,Census!$G153+AU$5-18)/INDEX(Decrements!$G$6:$G$58,Census!$G153-17)*(INDEX(Decrements!$D$6:$D$58,Census!$G153+AU$5-18)+IF(AU$5=$B153,INDEX(Decrements!$F$6:$F$58,Census!$G153+AU$5-18),0)+INDEX(Decrements!$E$6:$E$58,Census!$G153+AU$5-18)*IF((Census!$F153+AU$5)&gt;=Assumptions!$B$11,1,0))*MIN(15/26*Census!$D153*(1+Assumptions!$B$9)^AU$5*(INT((Census!$F153+AU$5))+IF((Census!$F153+AU$5)-INT((Census!$F153+AU$5))&gt;0.5,1,0)),Assumptions!$B$10))</f>
        <v>0</v>
      </c>
    </row>
    <row r="154" spans="1:47" x14ac:dyDescent="0.3">
      <c r="A154" s="10" t="str">
        <f>Census!A154</f>
        <v>E149</v>
      </c>
      <c r="B154" s="29">
        <f>Census!H154</f>
        <v>23</v>
      </c>
      <c r="C154" s="30">
        <f>IF(C$5&gt;$B154,0,INDEX(Decrements!$G$6:$G$58,Census!$G154+C$5-18)/INDEX(Decrements!$G$6:$G$58,Census!$G154-17)*(INDEX(Decrements!$D$6:$D$58,Census!$G154+C$5-18)+IF(C$5=$B154,INDEX(Decrements!$F$6:$F$58,Census!$G154+C$5-18),0)+INDEX(Decrements!$E$6:$E$58,Census!$G154+C$5-18)*IF((Census!$F154+C$5)&gt;=Assumptions!$B$11,1,0))*MIN(15/26*Census!$D154*(1+Assumptions!$B$9)^C$5*(INT((Census!$F154+C$5))+IF((Census!$F154+C$5)-INT((Census!$F154+C$5))&gt;0.5,1,0)),Assumptions!$B$10))</f>
        <v>131.47559723196352</v>
      </c>
      <c r="D154" s="30">
        <f>IF(D$5&gt;$B154,0,INDEX(Decrements!$G$6:$G$58,Census!$G154+D$5-18)/INDEX(Decrements!$G$6:$G$58,Census!$G154-17)*(INDEX(Decrements!$D$6:$D$58,Census!$G154+D$5-18)+IF(D$5=$B154,INDEX(Decrements!$F$6:$F$58,Census!$G154+D$5-18),0)+INDEX(Decrements!$E$6:$E$58,Census!$G154+D$5-18)*IF((Census!$F154+D$5)&gt;=Assumptions!$B$11,1,0))*MIN(15/26*Census!$D154*(1+Assumptions!$B$9)^D$5*(INT((Census!$F154+D$5))+IF((Census!$F154+D$5)-INT((Census!$F154+D$5))&gt;0.5,1,0)),Assumptions!$B$10))</f>
        <v>11884.540557791253</v>
      </c>
      <c r="E154" s="30">
        <f>IF(E$5&gt;$B154,0,INDEX(Decrements!$G$6:$G$58,Census!$G154+E$5-18)/INDEX(Decrements!$G$6:$G$58,Census!$G154-17)*(INDEX(Decrements!$D$6:$D$58,Census!$G154+E$5-18)+IF(E$5=$B154,INDEX(Decrements!$F$6:$F$58,Census!$G154+E$5-18),0)+INDEX(Decrements!$E$6:$E$58,Census!$G154+E$5-18)*IF((Census!$F154+E$5)&gt;=Assumptions!$B$11,1,0))*MIN(15/26*Census!$D154*(1+Assumptions!$B$9)^E$5*(INT((Census!$F154+E$5))+IF((Census!$F154+E$5)-INT((Census!$F154+E$5))&gt;0.5,1,0)),Assumptions!$B$10))</f>
        <v>13772.483846711022</v>
      </c>
      <c r="F154" s="30">
        <f>IF(F$5&gt;$B154,0,INDEX(Decrements!$G$6:$G$58,Census!$G154+F$5-18)/INDEX(Decrements!$G$6:$G$58,Census!$G154-17)*(INDEX(Decrements!$D$6:$D$58,Census!$G154+F$5-18)+IF(F$5=$B154,INDEX(Decrements!$F$6:$F$58,Census!$G154+F$5-18),0)+INDEX(Decrements!$E$6:$E$58,Census!$G154+F$5-18)*IF((Census!$F154+F$5)&gt;=Assumptions!$B$11,1,0))*MIN(15/26*Census!$D154*(1+Assumptions!$B$9)^F$5*(INT((Census!$F154+F$5))+IF((Census!$F154+F$5)-INT((Census!$F154+F$5))&gt;0.5,1,0)),Assumptions!$B$10))</f>
        <v>9869.0709557085484</v>
      </c>
      <c r="G154" s="30">
        <f>IF(G$5&gt;$B154,0,INDEX(Decrements!$G$6:$G$58,Census!$G154+G$5-18)/INDEX(Decrements!$G$6:$G$58,Census!$G154-17)*(INDEX(Decrements!$D$6:$D$58,Census!$G154+G$5-18)+IF(G$5=$B154,INDEX(Decrements!$F$6:$F$58,Census!$G154+G$5-18),0)+INDEX(Decrements!$E$6:$E$58,Census!$G154+G$5-18)*IF((Census!$F154+G$5)&gt;=Assumptions!$B$11,1,0))*MIN(15/26*Census!$D154*(1+Assumptions!$B$9)^G$5*(INT((Census!$F154+G$5))+IF((Census!$F154+G$5)-INT((Census!$F154+G$5))&gt;0.5,1,0)),Assumptions!$B$10))</f>
        <v>11395.99718297951</v>
      </c>
      <c r="H154" s="30">
        <f>IF(H$5&gt;$B154,0,INDEX(Decrements!$G$6:$G$58,Census!$G154+H$5-18)/INDEX(Decrements!$G$6:$G$58,Census!$G154-17)*(INDEX(Decrements!$D$6:$D$58,Census!$G154+H$5-18)+IF(H$5=$B154,INDEX(Decrements!$F$6:$F$58,Census!$G154+H$5-18),0)+INDEX(Decrements!$E$6:$E$58,Census!$G154+H$5-18)*IF((Census!$F154+H$5)&gt;=Assumptions!$B$11,1,0))*MIN(15/26*Census!$D154*(1+Assumptions!$B$9)^H$5*(INT((Census!$F154+H$5))+IF((Census!$F154+H$5)-INT((Census!$F154+H$5))&gt;0.5,1,0)),Assumptions!$B$10))</f>
        <v>12997.706517985873</v>
      </c>
      <c r="I154" s="30">
        <f>IF(I$5&gt;$B154,0,INDEX(Decrements!$G$6:$G$58,Census!$G154+I$5-18)/INDEX(Decrements!$G$6:$G$58,Census!$G154-17)*(INDEX(Decrements!$D$6:$D$58,Census!$G154+I$5-18)+IF(I$5=$B154,INDEX(Decrements!$F$6:$F$58,Census!$G154+I$5-18),0)+INDEX(Decrements!$E$6:$E$58,Census!$G154+I$5-18)*IF((Census!$F154+I$5)&gt;=Assumptions!$B$11,1,0))*MIN(15/26*Census!$D154*(1+Assumptions!$B$9)^I$5*(INT((Census!$F154+I$5))+IF((Census!$F154+I$5)-INT((Census!$F154+I$5))&gt;0.5,1,0)),Assumptions!$B$10))</f>
        <v>14677.519994497616</v>
      </c>
      <c r="J154" s="30">
        <f>IF(J$5&gt;$B154,0,INDEX(Decrements!$G$6:$G$58,Census!$G154+J$5-18)/INDEX(Decrements!$G$6:$G$58,Census!$G154-17)*(INDEX(Decrements!$D$6:$D$58,Census!$G154+J$5-18)+IF(J$5=$B154,INDEX(Decrements!$F$6:$F$58,Census!$G154+J$5-18),0)+INDEX(Decrements!$E$6:$E$58,Census!$G154+J$5-18)*IF((Census!$F154+J$5)&gt;=Assumptions!$B$11,1,0))*MIN(15/26*Census!$D154*(1+Assumptions!$B$9)^J$5*(INT((Census!$F154+J$5))+IF((Census!$F154+J$5)-INT((Census!$F154+J$5))&gt;0.5,1,0)),Assumptions!$B$10))</f>
        <v>16438.951417109831</v>
      </c>
      <c r="K154" s="30">
        <f>IF(K$5&gt;$B154,0,INDEX(Decrements!$G$6:$G$58,Census!$G154+K$5-18)/INDEX(Decrements!$G$6:$G$58,Census!$G154-17)*(INDEX(Decrements!$D$6:$D$58,Census!$G154+K$5-18)+IF(K$5=$B154,INDEX(Decrements!$F$6:$F$58,Census!$G154+K$5-18),0)+INDEX(Decrements!$E$6:$E$58,Census!$G154+K$5-18)*IF((Census!$F154+K$5)&gt;=Assumptions!$B$11,1,0))*MIN(15/26*Census!$D154*(1+Assumptions!$B$9)^K$5*(INT((Census!$F154+K$5))+IF((Census!$F154+K$5)-INT((Census!$F154+K$5))&gt;0.5,1,0)),Assumptions!$B$10))</f>
        <v>11243.463772147827</v>
      </c>
      <c r="L154" s="30">
        <f>IF(L$5&gt;$B154,0,INDEX(Decrements!$G$6:$G$58,Census!$G154+L$5-18)/INDEX(Decrements!$G$6:$G$58,Census!$G154-17)*(INDEX(Decrements!$D$6:$D$58,Census!$G154+L$5-18)+IF(L$5=$B154,INDEX(Decrements!$F$6:$F$58,Census!$G154+L$5-18),0)+INDEX(Decrements!$E$6:$E$58,Census!$G154+L$5-18)*IF((Census!$F154+L$5)&gt;=Assumptions!$B$11,1,0))*MIN(15/26*Census!$D154*(1+Assumptions!$B$9)^L$5*(INT((Census!$F154+L$5))+IF((Census!$F154+L$5)-INT((Census!$F154+L$5))&gt;0.5,1,0)),Assumptions!$B$10))</f>
        <v>12719.070684292328</v>
      </c>
      <c r="M154" s="30">
        <f>IF(M$5&gt;$B154,0,INDEX(Decrements!$G$6:$G$58,Census!$G154+M$5-18)/INDEX(Decrements!$G$6:$G$58,Census!$G154-17)*(INDEX(Decrements!$D$6:$D$58,Census!$G154+M$5-18)+IF(M$5=$B154,INDEX(Decrements!$F$6:$F$58,Census!$G154+M$5-18),0)+INDEX(Decrements!$E$6:$E$58,Census!$G154+M$5-18)*IF((Census!$F154+M$5)&gt;=Assumptions!$B$11,1,0))*MIN(15/26*Census!$D154*(1+Assumptions!$B$9)^M$5*(INT((Census!$F154+M$5))+IF((Census!$F154+M$5)-INT((Census!$F154+M$5))&gt;0.5,1,0)),Assumptions!$B$10))</f>
        <v>14319.009573583979</v>
      </c>
      <c r="N154" s="30">
        <f>IF(N$5&gt;$B154,0,INDEX(Decrements!$G$6:$G$58,Census!$G154+N$5-18)/INDEX(Decrements!$G$6:$G$58,Census!$G154-17)*(INDEX(Decrements!$D$6:$D$58,Census!$G154+N$5-18)+IF(N$5=$B154,INDEX(Decrements!$F$6:$F$58,Census!$G154+N$5-18),0)+INDEX(Decrements!$E$6:$E$58,Census!$G154+N$5-18)*IF((Census!$F154+N$5)&gt;=Assumptions!$B$11,1,0))*MIN(15/26*Census!$D154*(1+Assumptions!$B$9)^N$5*(INT((Census!$F154+N$5))+IF((Census!$F154+N$5)-INT((Census!$F154+N$5))&gt;0.5,1,0)),Assumptions!$B$10))</f>
        <v>16053.512583364623</v>
      </c>
      <c r="O154" s="30">
        <f>IF(O$5&gt;$B154,0,INDEX(Decrements!$G$6:$G$58,Census!$G154+O$5-18)/INDEX(Decrements!$G$6:$G$58,Census!$G154-17)*(INDEX(Decrements!$D$6:$D$58,Census!$G154+O$5-18)+IF(O$5=$B154,INDEX(Decrements!$F$6:$F$58,Census!$G154+O$5-18),0)+INDEX(Decrements!$E$6:$E$58,Census!$G154+O$5-18)*IF((Census!$F154+O$5)&gt;=Assumptions!$B$11,1,0))*MIN(15/26*Census!$D154*(1+Assumptions!$B$9)^O$5*(INT((Census!$F154+O$5))+IF((Census!$F154+O$5)-INT((Census!$F154+O$5))&gt;0.5,1,0)),Assumptions!$B$10))</f>
        <v>17933.793717738004</v>
      </c>
      <c r="P154" s="30">
        <f>IF(P$5&gt;$B154,0,INDEX(Decrements!$G$6:$G$58,Census!$G154+P$5-18)/INDEX(Decrements!$G$6:$G$58,Census!$G154-17)*(INDEX(Decrements!$D$6:$D$58,Census!$G154+P$5-18)+IF(P$5=$B154,INDEX(Decrements!$F$6:$F$58,Census!$G154+P$5-18),0)+INDEX(Decrements!$E$6:$E$58,Census!$G154+P$5-18)*IF((Census!$F154+P$5)&gt;=Assumptions!$B$11,1,0))*MIN(15/26*Census!$D154*(1+Assumptions!$B$9)^P$5*(INT((Census!$F154+P$5))+IF((Census!$F154+P$5)-INT((Census!$F154+P$5))&gt;0.5,1,0)),Assumptions!$B$10))</f>
        <v>13895.583597739169</v>
      </c>
      <c r="Q154" s="30">
        <f>IF(Q$5&gt;$B154,0,INDEX(Decrements!$G$6:$G$58,Census!$G154+Q$5-18)/INDEX(Decrements!$G$6:$G$58,Census!$G154-17)*(INDEX(Decrements!$D$6:$D$58,Census!$G154+Q$5-18)+IF(Q$5=$B154,INDEX(Decrements!$F$6:$F$58,Census!$G154+Q$5-18),0)+INDEX(Decrements!$E$6:$E$58,Census!$G154+Q$5-18)*IF((Census!$F154+Q$5)&gt;=Assumptions!$B$11,1,0))*MIN(15/26*Census!$D154*(1+Assumptions!$B$9)^Q$5*(INT((Census!$F154+Q$5))+IF((Census!$F154+Q$5)-INT((Census!$F154+Q$5))&gt;0.5,1,0)),Assumptions!$B$10))</f>
        <v>15643.155604985479</v>
      </c>
      <c r="R154" s="30">
        <f>IF(R$5&gt;$B154,0,INDEX(Decrements!$G$6:$G$58,Census!$G154+R$5-18)/INDEX(Decrements!$G$6:$G$58,Census!$G154-17)*(INDEX(Decrements!$D$6:$D$58,Census!$G154+R$5-18)+IF(R$5=$B154,INDEX(Decrements!$F$6:$F$58,Census!$G154+R$5-18),0)+INDEX(Decrements!$E$6:$E$58,Census!$G154+R$5-18)*IF((Census!$F154+R$5)&gt;=Assumptions!$B$11,1,0))*MIN(15/26*Census!$D154*(1+Assumptions!$B$9)^R$5*(INT((Census!$F154+R$5))+IF((Census!$F154+R$5)-INT((Census!$F154+R$5))&gt;0.5,1,0)),Assumptions!$B$10))</f>
        <v>17573.582562950411</v>
      </c>
      <c r="S154" s="30">
        <f>IF(S$5&gt;$B154,0,INDEX(Decrements!$G$6:$G$58,Census!$G154+S$5-18)/INDEX(Decrements!$G$6:$G$58,Census!$G154-17)*(INDEX(Decrements!$D$6:$D$58,Census!$G154+S$5-18)+IF(S$5=$B154,INDEX(Decrements!$F$6:$F$58,Census!$G154+S$5-18),0)+INDEX(Decrements!$E$6:$E$58,Census!$G154+S$5-18)*IF((Census!$F154+S$5)&gt;=Assumptions!$B$11,1,0))*MIN(15/26*Census!$D154*(1+Assumptions!$B$9)^S$5*(INT((Census!$F154+S$5))+IF((Census!$F154+S$5)-INT((Census!$F154+S$5))&gt;0.5,1,0)),Assumptions!$B$10))</f>
        <v>19707.036604198533</v>
      </c>
      <c r="T154" s="30">
        <f>IF(T$5&gt;$B154,0,INDEX(Decrements!$G$6:$G$58,Census!$G154+T$5-18)/INDEX(Decrements!$G$6:$G$58,Census!$G154-17)*(INDEX(Decrements!$D$6:$D$58,Census!$G154+T$5-18)+IF(T$5=$B154,INDEX(Decrements!$F$6:$F$58,Census!$G154+T$5-18),0)+INDEX(Decrements!$E$6:$E$58,Census!$G154+T$5-18)*IF((Census!$F154+T$5)&gt;=Assumptions!$B$11,1,0))*MIN(15/26*Census!$D154*(1+Assumptions!$B$9)^T$5*(INT((Census!$F154+T$5))+IF((Census!$F154+T$5)-INT((Census!$F154+T$5))&gt;0.5,1,0)),Assumptions!$B$10))</f>
        <v>22028.890311219508</v>
      </c>
      <c r="U154" s="30">
        <f>IF(U$5&gt;$B154,0,INDEX(Decrements!$G$6:$G$58,Census!$G154+U$5-18)/INDEX(Decrements!$G$6:$G$58,Census!$G154-17)*(INDEX(Decrements!$D$6:$D$58,Census!$G154+U$5-18)+IF(U$5=$B154,INDEX(Decrements!$F$6:$F$58,Census!$G154+U$5-18),0)+INDEX(Decrements!$E$6:$E$58,Census!$G154+U$5-18)*IF((Census!$F154+U$5)&gt;=Assumptions!$B$11,1,0))*MIN(15/26*Census!$D154*(1+Assumptions!$B$9)^U$5*(INT((Census!$F154+U$5))+IF((Census!$F154+U$5)-INT((Census!$F154+U$5))&gt;0.5,1,0)),Assumptions!$B$10))</f>
        <v>12867.917166594803</v>
      </c>
      <c r="V154" s="30">
        <f>IF(V$5&gt;$B154,0,INDEX(Decrements!$G$6:$G$58,Census!$G154+V$5-18)/INDEX(Decrements!$G$6:$G$58,Census!$G154-17)*(INDEX(Decrements!$D$6:$D$58,Census!$G154+V$5-18)+IF(V$5=$B154,INDEX(Decrements!$F$6:$F$58,Census!$G154+V$5-18),0)+INDEX(Decrements!$E$6:$E$58,Census!$G154+V$5-18)*IF((Census!$F154+V$5)&gt;=Assumptions!$B$11,1,0))*MIN(15/26*Census!$D154*(1+Assumptions!$B$9)^V$5*(INT((Census!$F154+V$5))+IF((Census!$F154+V$5)-INT((Census!$F154+V$5))&gt;0.5,1,0)),Assumptions!$B$10))</f>
        <v>13030.159441028292</v>
      </c>
      <c r="W154" s="30">
        <f>IF(W$5&gt;$B154,0,INDEX(Decrements!$G$6:$G$58,Census!$G154+W$5-18)/INDEX(Decrements!$G$6:$G$58,Census!$G154-17)*(INDEX(Decrements!$D$6:$D$58,Census!$G154+W$5-18)+IF(W$5=$B154,INDEX(Decrements!$F$6:$F$58,Census!$G154+W$5-18),0)+INDEX(Decrements!$E$6:$E$58,Census!$G154+W$5-18)*IF((Census!$F154+W$5)&gt;=Assumptions!$B$11,1,0))*MIN(15/26*Census!$D154*(1+Assumptions!$B$9)^W$5*(INT((Census!$F154+W$5))+IF((Census!$F154+W$5)-INT((Census!$F154+W$5))&gt;0.5,1,0)),Assumptions!$B$10))</f>
        <v>13213.868348206193</v>
      </c>
      <c r="X154" s="30">
        <f>IF(X$5&gt;$B154,0,INDEX(Decrements!$G$6:$G$58,Census!$G154+X$5-18)/INDEX(Decrements!$G$6:$G$58,Census!$G154-17)*(INDEX(Decrements!$D$6:$D$58,Census!$G154+X$5-18)+IF(X$5=$B154,INDEX(Decrements!$F$6:$F$58,Census!$G154+X$5-18),0)+INDEX(Decrements!$E$6:$E$58,Census!$G154+X$5-18)*IF((Census!$F154+X$5)&gt;=Assumptions!$B$11,1,0))*MIN(15/26*Census!$D154*(1+Assumptions!$B$9)^X$5*(INT((Census!$F154+X$5))+IF((Census!$F154+X$5)-INT((Census!$F154+X$5))&gt;0.5,1,0)),Assumptions!$B$10))</f>
        <v>13420.29246866109</v>
      </c>
      <c r="Y154" s="30">
        <f>IF(Y$5&gt;$B154,0,INDEX(Decrements!$G$6:$G$58,Census!$G154+Y$5-18)/INDEX(Decrements!$G$6:$G$58,Census!$G154-17)*(INDEX(Decrements!$D$6:$D$58,Census!$G154+Y$5-18)+IF(Y$5=$B154,INDEX(Decrements!$F$6:$F$58,Census!$G154+Y$5-18),0)+INDEX(Decrements!$E$6:$E$58,Census!$G154+Y$5-18)*IF((Census!$F154+Y$5)&gt;=Assumptions!$B$11,1,0))*MIN(15/26*Census!$D154*(1+Assumptions!$B$9)^Y$5*(INT((Census!$F154+Y$5))+IF((Census!$F154+Y$5)-INT((Census!$F154+Y$5))&gt;0.5,1,0)),Assumptions!$B$10))</f>
        <v>846433.23123214475</v>
      </c>
      <c r="Z154" s="30">
        <f>IF(Z$5&gt;$B154,0,INDEX(Decrements!$G$6:$G$58,Census!$G154+Z$5-18)/INDEX(Decrements!$G$6:$G$58,Census!$G154-17)*(INDEX(Decrements!$D$6:$D$58,Census!$G154+Z$5-18)+IF(Z$5=$B154,INDEX(Decrements!$F$6:$F$58,Census!$G154+Z$5-18),0)+INDEX(Decrements!$E$6:$E$58,Census!$G154+Z$5-18)*IF((Census!$F154+Z$5)&gt;=Assumptions!$B$11,1,0))*MIN(15/26*Census!$D154*(1+Assumptions!$B$9)^Z$5*(INT((Census!$F154+Z$5))+IF((Census!$F154+Z$5)-INT((Census!$F154+Z$5))&gt;0.5,1,0)),Assumptions!$B$10))</f>
        <v>0</v>
      </c>
      <c r="AA154" s="30">
        <f>IF(AA$5&gt;$B154,0,INDEX(Decrements!$G$6:$G$58,Census!$G154+AA$5-18)/INDEX(Decrements!$G$6:$G$58,Census!$G154-17)*(INDEX(Decrements!$D$6:$D$58,Census!$G154+AA$5-18)+IF(AA$5=$B154,INDEX(Decrements!$F$6:$F$58,Census!$G154+AA$5-18),0)+INDEX(Decrements!$E$6:$E$58,Census!$G154+AA$5-18)*IF((Census!$F154+AA$5)&gt;=Assumptions!$B$11,1,0))*MIN(15/26*Census!$D154*(1+Assumptions!$B$9)^AA$5*(INT((Census!$F154+AA$5))+IF((Census!$F154+AA$5)-INT((Census!$F154+AA$5))&gt;0.5,1,0)),Assumptions!$B$10))</f>
        <v>0</v>
      </c>
      <c r="AB154" s="30">
        <f>IF(AB$5&gt;$B154,0,INDEX(Decrements!$G$6:$G$58,Census!$G154+AB$5-18)/INDEX(Decrements!$G$6:$G$58,Census!$G154-17)*(INDEX(Decrements!$D$6:$D$58,Census!$G154+AB$5-18)+IF(AB$5=$B154,INDEX(Decrements!$F$6:$F$58,Census!$G154+AB$5-18),0)+INDEX(Decrements!$E$6:$E$58,Census!$G154+AB$5-18)*IF((Census!$F154+AB$5)&gt;=Assumptions!$B$11,1,0))*MIN(15/26*Census!$D154*(1+Assumptions!$B$9)^AB$5*(INT((Census!$F154+AB$5))+IF((Census!$F154+AB$5)-INT((Census!$F154+AB$5))&gt;0.5,1,0)),Assumptions!$B$10))</f>
        <v>0</v>
      </c>
      <c r="AC154" s="30">
        <f>IF(AC$5&gt;$B154,0,INDEX(Decrements!$G$6:$G$58,Census!$G154+AC$5-18)/INDEX(Decrements!$G$6:$G$58,Census!$G154-17)*(INDEX(Decrements!$D$6:$D$58,Census!$G154+AC$5-18)+IF(AC$5=$B154,INDEX(Decrements!$F$6:$F$58,Census!$G154+AC$5-18),0)+INDEX(Decrements!$E$6:$E$58,Census!$G154+AC$5-18)*IF((Census!$F154+AC$5)&gt;=Assumptions!$B$11,1,0))*MIN(15/26*Census!$D154*(1+Assumptions!$B$9)^AC$5*(INT((Census!$F154+AC$5))+IF((Census!$F154+AC$5)-INT((Census!$F154+AC$5))&gt;0.5,1,0)),Assumptions!$B$10))</f>
        <v>0</v>
      </c>
      <c r="AD154" s="30">
        <f>IF(AD$5&gt;$B154,0,INDEX(Decrements!$G$6:$G$58,Census!$G154+AD$5-18)/INDEX(Decrements!$G$6:$G$58,Census!$G154-17)*(INDEX(Decrements!$D$6:$D$58,Census!$G154+AD$5-18)+IF(AD$5=$B154,INDEX(Decrements!$F$6:$F$58,Census!$G154+AD$5-18),0)+INDEX(Decrements!$E$6:$E$58,Census!$G154+AD$5-18)*IF((Census!$F154+AD$5)&gt;=Assumptions!$B$11,1,0))*MIN(15/26*Census!$D154*(1+Assumptions!$B$9)^AD$5*(INT((Census!$F154+AD$5))+IF((Census!$F154+AD$5)-INT((Census!$F154+AD$5))&gt;0.5,1,0)),Assumptions!$B$10))</f>
        <v>0</v>
      </c>
      <c r="AE154" s="30">
        <f>IF(AE$5&gt;$B154,0,INDEX(Decrements!$G$6:$G$58,Census!$G154+AE$5-18)/INDEX(Decrements!$G$6:$G$58,Census!$G154-17)*(INDEX(Decrements!$D$6:$D$58,Census!$G154+AE$5-18)+IF(AE$5=$B154,INDEX(Decrements!$F$6:$F$58,Census!$G154+AE$5-18),0)+INDEX(Decrements!$E$6:$E$58,Census!$G154+AE$5-18)*IF((Census!$F154+AE$5)&gt;=Assumptions!$B$11,1,0))*MIN(15/26*Census!$D154*(1+Assumptions!$B$9)^AE$5*(INT((Census!$F154+AE$5))+IF((Census!$F154+AE$5)-INT((Census!$F154+AE$5))&gt;0.5,1,0)),Assumptions!$B$10))</f>
        <v>0</v>
      </c>
      <c r="AF154" s="30">
        <f>IF(AF$5&gt;$B154,0,INDEX(Decrements!$G$6:$G$58,Census!$G154+AF$5-18)/INDEX(Decrements!$G$6:$G$58,Census!$G154-17)*(INDEX(Decrements!$D$6:$D$58,Census!$G154+AF$5-18)+IF(AF$5=$B154,INDEX(Decrements!$F$6:$F$58,Census!$G154+AF$5-18),0)+INDEX(Decrements!$E$6:$E$58,Census!$G154+AF$5-18)*IF((Census!$F154+AF$5)&gt;=Assumptions!$B$11,1,0))*MIN(15/26*Census!$D154*(1+Assumptions!$B$9)^AF$5*(INT((Census!$F154+AF$5))+IF((Census!$F154+AF$5)-INT((Census!$F154+AF$5))&gt;0.5,1,0)),Assumptions!$B$10))</f>
        <v>0</v>
      </c>
      <c r="AG154" s="30">
        <f>IF(AG$5&gt;$B154,0,INDEX(Decrements!$G$6:$G$58,Census!$G154+AG$5-18)/INDEX(Decrements!$G$6:$G$58,Census!$G154-17)*(INDEX(Decrements!$D$6:$D$58,Census!$G154+AG$5-18)+IF(AG$5=$B154,INDEX(Decrements!$F$6:$F$58,Census!$G154+AG$5-18),0)+INDEX(Decrements!$E$6:$E$58,Census!$G154+AG$5-18)*IF((Census!$F154+AG$5)&gt;=Assumptions!$B$11,1,0))*MIN(15/26*Census!$D154*(1+Assumptions!$B$9)^AG$5*(INT((Census!$F154+AG$5))+IF((Census!$F154+AG$5)-INT((Census!$F154+AG$5))&gt;0.5,1,0)),Assumptions!$B$10))</f>
        <v>0</v>
      </c>
      <c r="AH154" s="30">
        <f>IF(AH$5&gt;$B154,0,INDEX(Decrements!$G$6:$G$58,Census!$G154+AH$5-18)/INDEX(Decrements!$G$6:$G$58,Census!$G154-17)*(INDEX(Decrements!$D$6:$D$58,Census!$G154+AH$5-18)+IF(AH$5=$B154,INDEX(Decrements!$F$6:$F$58,Census!$G154+AH$5-18),0)+INDEX(Decrements!$E$6:$E$58,Census!$G154+AH$5-18)*IF((Census!$F154+AH$5)&gt;=Assumptions!$B$11,1,0))*MIN(15/26*Census!$D154*(1+Assumptions!$B$9)^AH$5*(INT((Census!$F154+AH$5))+IF((Census!$F154+AH$5)-INT((Census!$F154+AH$5))&gt;0.5,1,0)),Assumptions!$B$10))</f>
        <v>0</v>
      </c>
      <c r="AI154" s="30">
        <f>IF(AI$5&gt;$B154,0,INDEX(Decrements!$G$6:$G$58,Census!$G154+AI$5-18)/INDEX(Decrements!$G$6:$G$58,Census!$G154-17)*(INDEX(Decrements!$D$6:$D$58,Census!$G154+AI$5-18)+IF(AI$5=$B154,INDEX(Decrements!$F$6:$F$58,Census!$G154+AI$5-18),0)+INDEX(Decrements!$E$6:$E$58,Census!$G154+AI$5-18)*IF((Census!$F154+AI$5)&gt;=Assumptions!$B$11,1,0))*MIN(15/26*Census!$D154*(1+Assumptions!$B$9)^AI$5*(INT((Census!$F154+AI$5))+IF((Census!$F154+AI$5)-INT((Census!$F154+AI$5))&gt;0.5,1,0)),Assumptions!$B$10))</f>
        <v>0</v>
      </c>
      <c r="AJ154" s="30">
        <f>IF(AJ$5&gt;$B154,0,INDEX(Decrements!$G$6:$G$58,Census!$G154+AJ$5-18)/INDEX(Decrements!$G$6:$G$58,Census!$G154-17)*(INDEX(Decrements!$D$6:$D$58,Census!$G154+AJ$5-18)+IF(AJ$5=$B154,INDEX(Decrements!$F$6:$F$58,Census!$G154+AJ$5-18),0)+INDEX(Decrements!$E$6:$E$58,Census!$G154+AJ$5-18)*IF((Census!$F154+AJ$5)&gt;=Assumptions!$B$11,1,0))*MIN(15/26*Census!$D154*(1+Assumptions!$B$9)^AJ$5*(INT((Census!$F154+AJ$5))+IF((Census!$F154+AJ$5)-INT((Census!$F154+AJ$5))&gt;0.5,1,0)),Assumptions!$B$10))</f>
        <v>0</v>
      </c>
      <c r="AK154" s="30">
        <f>IF(AK$5&gt;$B154,0,INDEX(Decrements!$G$6:$G$58,Census!$G154+AK$5-18)/INDEX(Decrements!$G$6:$G$58,Census!$G154-17)*(INDEX(Decrements!$D$6:$D$58,Census!$G154+AK$5-18)+IF(AK$5=$B154,INDEX(Decrements!$F$6:$F$58,Census!$G154+AK$5-18),0)+INDEX(Decrements!$E$6:$E$58,Census!$G154+AK$5-18)*IF((Census!$F154+AK$5)&gt;=Assumptions!$B$11,1,0))*MIN(15/26*Census!$D154*(1+Assumptions!$B$9)^AK$5*(INT((Census!$F154+AK$5))+IF((Census!$F154+AK$5)-INT((Census!$F154+AK$5))&gt;0.5,1,0)),Assumptions!$B$10))</f>
        <v>0</v>
      </c>
      <c r="AL154" s="30">
        <f>IF(AL$5&gt;$B154,0,INDEX(Decrements!$G$6:$G$58,Census!$G154+AL$5-18)/INDEX(Decrements!$G$6:$G$58,Census!$G154-17)*(INDEX(Decrements!$D$6:$D$58,Census!$G154+AL$5-18)+IF(AL$5=$B154,INDEX(Decrements!$F$6:$F$58,Census!$G154+AL$5-18),0)+INDEX(Decrements!$E$6:$E$58,Census!$G154+AL$5-18)*IF((Census!$F154+AL$5)&gt;=Assumptions!$B$11,1,0))*MIN(15/26*Census!$D154*(1+Assumptions!$B$9)^AL$5*(INT((Census!$F154+AL$5))+IF((Census!$F154+AL$5)-INT((Census!$F154+AL$5))&gt;0.5,1,0)),Assumptions!$B$10))</f>
        <v>0</v>
      </c>
      <c r="AM154" s="30">
        <f>IF(AM$5&gt;$B154,0,INDEX(Decrements!$G$6:$G$58,Census!$G154+AM$5-18)/INDEX(Decrements!$G$6:$G$58,Census!$G154-17)*(INDEX(Decrements!$D$6:$D$58,Census!$G154+AM$5-18)+IF(AM$5=$B154,INDEX(Decrements!$F$6:$F$58,Census!$G154+AM$5-18),0)+INDEX(Decrements!$E$6:$E$58,Census!$G154+AM$5-18)*IF((Census!$F154+AM$5)&gt;=Assumptions!$B$11,1,0))*MIN(15/26*Census!$D154*(1+Assumptions!$B$9)^AM$5*(INT((Census!$F154+AM$5))+IF((Census!$F154+AM$5)-INT((Census!$F154+AM$5))&gt;0.5,1,0)),Assumptions!$B$10))</f>
        <v>0</v>
      </c>
      <c r="AN154" s="30">
        <f>IF(AN$5&gt;$B154,0,INDEX(Decrements!$G$6:$G$58,Census!$G154+AN$5-18)/INDEX(Decrements!$G$6:$G$58,Census!$G154-17)*(INDEX(Decrements!$D$6:$D$58,Census!$G154+AN$5-18)+IF(AN$5=$B154,INDEX(Decrements!$F$6:$F$58,Census!$G154+AN$5-18),0)+INDEX(Decrements!$E$6:$E$58,Census!$G154+AN$5-18)*IF((Census!$F154+AN$5)&gt;=Assumptions!$B$11,1,0))*MIN(15/26*Census!$D154*(1+Assumptions!$B$9)^AN$5*(INT((Census!$F154+AN$5))+IF((Census!$F154+AN$5)-INT((Census!$F154+AN$5))&gt;0.5,1,0)),Assumptions!$B$10))</f>
        <v>0</v>
      </c>
      <c r="AO154" s="30">
        <f>IF(AO$5&gt;$B154,0,INDEX(Decrements!$G$6:$G$58,Census!$G154+AO$5-18)/INDEX(Decrements!$G$6:$G$58,Census!$G154-17)*(INDEX(Decrements!$D$6:$D$58,Census!$G154+AO$5-18)+IF(AO$5=$B154,INDEX(Decrements!$F$6:$F$58,Census!$G154+AO$5-18),0)+INDEX(Decrements!$E$6:$E$58,Census!$G154+AO$5-18)*IF((Census!$F154+AO$5)&gt;=Assumptions!$B$11,1,0))*MIN(15/26*Census!$D154*(1+Assumptions!$B$9)^AO$5*(INT((Census!$F154+AO$5))+IF((Census!$F154+AO$5)-INT((Census!$F154+AO$5))&gt;0.5,1,0)),Assumptions!$B$10))</f>
        <v>0</v>
      </c>
      <c r="AP154" s="30">
        <f>IF(AP$5&gt;$B154,0,INDEX(Decrements!$G$6:$G$58,Census!$G154+AP$5-18)/INDEX(Decrements!$G$6:$G$58,Census!$G154-17)*(INDEX(Decrements!$D$6:$D$58,Census!$G154+AP$5-18)+IF(AP$5=$B154,INDEX(Decrements!$F$6:$F$58,Census!$G154+AP$5-18),0)+INDEX(Decrements!$E$6:$E$58,Census!$G154+AP$5-18)*IF((Census!$F154+AP$5)&gt;=Assumptions!$B$11,1,0))*MIN(15/26*Census!$D154*(1+Assumptions!$B$9)^AP$5*(INT((Census!$F154+AP$5))+IF((Census!$F154+AP$5)-INT((Census!$F154+AP$5))&gt;0.5,1,0)),Assumptions!$B$10))</f>
        <v>0</v>
      </c>
      <c r="AQ154" s="30">
        <f>IF(AQ$5&gt;$B154,0,INDEX(Decrements!$G$6:$G$58,Census!$G154+AQ$5-18)/INDEX(Decrements!$G$6:$G$58,Census!$G154-17)*(INDEX(Decrements!$D$6:$D$58,Census!$G154+AQ$5-18)+IF(AQ$5=$B154,INDEX(Decrements!$F$6:$F$58,Census!$G154+AQ$5-18),0)+INDEX(Decrements!$E$6:$E$58,Census!$G154+AQ$5-18)*IF((Census!$F154+AQ$5)&gt;=Assumptions!$B$11,1,0))*MIN(15/26*Census!$D154*(1+Assumptions!$B$9)^AQ$5*(INT((Census!$F154+AQ$5))+IF((Census!$F154+AQ$5)-INT((Census!$F154+AQ$5))&gt;0.5,1,0)),Assumptions!$B$10))</f>
        <v>0</v>
      </c>
      <c r="AR154" s="30">
        <f>IF(AR$5&gt;$B154,0,INDEX(Decrements!$G$6:$G$58,Census!$G154+AR$5-18)/INDEX(Decrements!$G$6:$G$58,Census!$G154-17)*(INDEX(Decrements!$D$6:$D$58,Census!$G154+AR$5-18)+IF(AR$5=$B154,INDEX(Decrements!$F$6:$F$58,Census!$G154+AR$5-18),0)+INDEX(Decrements!$E$6:$E$58,Census!$G154+AR$5-18)*IF((Census!$F154+AR$5)&gt;=Assumptions!$B$11,1,0))*MIN(15/26*Census!$D154*(1+Assumptions!$B$9)^AR$5*(INT((Census!$F154+AR$5))+IF((Census!$F154+AR$5)-INT((Census!$F154+AR$5))&gt;0.5,1,0)),Assumptions!$B$10))</f>
        <v>0</v>
      </c>
      <c r="AS154" s="30">
        <f>IF(AS$5&gt;$B154,0,INDEX(Decrements!$G$6:$G$58,Census!$G154+AS$5-18)/INDEX(Decrements!$G$6:$G$58,Census!$G154-17)*(INDEX(Decrements!$D$6:$D$58,Census!$G154+AS$5-18)+IF(AS$5=$B154,INDEX(Decrements!$F$6:$F$58,Census!$G154+AS$5-18),0)+INDEX(Decrements!$E$6:$E$58,Census!$G154+AS$5-18)*IF((Census!$F154+AS$5)&gt;=Assumptions!$B$11,1,0))*MIN(15/26*Census!$D154*(1+Assumptions!$B$9)^AS$5*(INT((Census!$F154+AS$5))+IF((Census!$F154+AS$5)-INT((Census!$F154+AS$5))&gt;0.5,1,0)),Assumptions!$B$10))</f>
        <v>0</v>
      </c>
      <c r="AT154" s="30">
        <f>IF(AT$5&gt;$B154,0,INDEX(Decrements!$G$6:$G$58,Census!$G154+AT$5-18)/INDEX(Decrements!$G$6:$G$58,Census!$G154-17)*(INDEX(Decrements!$D$6:$D$58,Census!$G154+AT$5-18)+IF(AT$5=$B154,INDEX(Decrements!$F$6:$F$58,Census!$G154+AT$5-18),0)+INDEX(Decrements!$E$6:$E$58,Census!$G154+AT$5-18)*IF((Census!$F154+AT$5)&gt;=Assumptions!$B$11,1,0))*MIN(15/26*Census!$D154*(1+Assumptions!$B$9)^AT$5*(INT((Census!$F154+AT$5))+IF((Census!$F154+AT$5)-INT((Census!$F154+AT$5))&gt;0.5,1,0)),Assumptions!$B$10))</f>
        <v>0</v>
      </c>
      <c r="AU154" s="30">
        <f>IF(AU$5&gt;$B154,0,INDEX(Decrements!$G$6:$G$58,Census!$G154+AU$5-18)/INDEX(Decrements!$G$6:$G$58,Census!$G154-17)*(INDEX(Decrements!$D$6:$D$58,Census!$G154+AU$5-18)+IF(AU$5=$B154,INDEX(Decrements!$F$6:$F$58,Census!$G154+AU$5-18),0)+INDEX(Decrements!$E$6:$E$58,Census!$G154+AU$5-18)*IF((Census!$F154+AU$5)&gt;=Assumptions!$B$11,1,0))*MIN(15/26*Census!$D154*(1+Assumptions!$B$9)^AU$5*(INT((Census!$F154+AU$5))+IF((Census!$F154+AU$5)-INT((Census!$F154+AU$5))&gt;0.5,1,0)),Assumptions!$B$10))</f>
        <v>0</v>
      </c>
    </row>
    <row r="155" spans="1:47" x14ac:dyDescent="0.3">
      <c r="A155" s="10" t="str">
        <f>Census!A155</f>
        <v>E150</v>
      </c>
      <c r="B155" s="29">
        <f>Census!H155</f>
        <v>16</v>
      </c>
      <c r="C155" s="30">
        <f>IF(C$5&gt;$B155,0,INDEX(Decrements!$G$6:$G$58,Census!$G155+C$5-18)/INDEX(Decrements!$G$6:$G$58,Census!$G155-17)*(INDEX(Decrements!$D$6:$D$58,Census!$G155+C$5-18)+IF(C$5=$B155,INDEX(Decrements!$F$6:$F$58,Census!$G155+C$5-18),0)+INDEX(Decrements!$E$6:$E$58,Census!$G155+C$5-18)*IF((Census!$F155+C$5)&gt;=Assumptions!$B$11,1,0))*MIN(15/26*Census!$D155*(1+Assumptions!$B$9)^C$5*(INT((Census!$F155+C$5))+IF((Census!$F155+C$5)-INT((Census!$F155+C$5))&gt;0.5,1,0)),Assumptions!$B$10))</f>
        <v>34686.669948487666</v>
      </c>
      <c r="D155" s="30">
        <f>IF(D$5&gt;$B155,0,INDEX(Decrements!$G$6:$G$58,Census!$G155+D$5-18)/INDEX(Decrements!$G$6:$G$58,Census!$G155-17)*(INDEX(Decrements!$D$6:$D$58,Census!$G155+D$5-18)+IF(D$5=$B155,INDEX(Decrements!$F$6:$F$58,Census!$G155+D$5-18),0)+INDEX(Decrements!$E$6:$E$58,Census!$G155+D$5-18)*IF((Census!$F155+D$5)&gt;=Assumptions!$B$11,1,0))*MIN(15/26*Census!$D155*(1+Assumptions!$B$9)^D$5*(INT((Census!$F155+D$5))+IF((Census!$F155+D$5)-INT((Census!$F155+D$5))&gt;0.5,1,0)),Assumptions!$B$10))</f>
        <v>23267.807027561161</v>
      </c>
      <c r="E155" s="30">
        <f>IF(E$5&gt;$B155,0,INDEX(Decrements!$G$6:$G$58,Census!$G155+E$5-18)/INDEX(Decrements!$G$6:$G$58,Census!$G155-17)*(INDEX(Decrements!$D$6:$D$58,Census!$G155+E$5-18)+IF(E$5=$B155,INDEX(Decrements!$F$6:$F$58,Census!$G155+E$5-18),0)+INDEX(Decrements!$E$6:$E$58,Census!$G155+E$5-18)*IF((Census!$F155+E$5)&gt;=Assumptions!$B$11,1,0))*MIN(15/26*Census!$D155*(1+Assumptions!$B$9)^E$5*(INT((Census!$F155+E$5))+IF((Census!$F155+E$5)-INT((Census!$F155+E$5))&gt;0.5,1,0)),Assumptions!$B$10))</f>
        <v>25879.126271172161</v>
      </c>
      <c r="F155" s="30">
        <f>IF(F$5&gt;$B155,0,INDEX(Decrements!$G$6:$G$58,Census!$G155+F$5-18)/INDEX(Decrements!$G$6:$G$58,Census!$G155-17)*(INDEX(Decrements!$D$6:$D$58,Census!$G155+F$5-18)+IF(F$5=$B155,INDEX(Decrements!$F$6:$F$58,Census!$G155+F$5-18),0)+INDEX(Decrements!$E$6:$E$58,Census!$G155+F$5-18)*IF((Census!$F155+F$5)&gt;=Assumptions!$B$11,1,0))*MIN(15/26*Census!$D155*(1+Assumptions!$B$9)^F$5*(INT((Census!$F155+F$5))+IF((Census!$F155+F$5)-INT((Census!$F155+F$5))&gt;0.5,1,0)),Assumptions!$B$10))</f>
        <v>28702.853919480196</v>
      </c>
      <c r="G155" s="30">
        <f>IF(G$5&gt;$B155,0,INDEX(Decrements!$G$6:$G$58,Census!$G155+G$5-18)/INDEX(Decrements!$G$6:$G$58,Census!$G155-17)*(INDEX(Decrements!$D$6:$D$58,Census!$G155+G$5-18)+IF(G$5=$B155,INDEX(Decrements!$F$6:$F$58,Census!$G155+G$5-18),0)+INDEX(Decrements!$E$6:$E$58,Census!$G155+G$5-18)*IF((Census!$F155+G$5)&gt;=Assumptions!$B$11,1,0))*MIN(15/26*Census!$D155*(1+Assumptions!$B$9)^G$5*(INT((Census!$F155+G$5))+IF((Census!$F155+G$5)-INT((Census!$F155+G$5))&gt;0.5,1,0)),Assumptions!$B$10))</f>
        <v>31756.296278660517</v>
      </c>
      <c r="H155" s="30">
        <f>IF(H$5&gt;$B155,0,INDEX(Decrements!$G$6:$G$58,Census!$G155+H$5-18)/INDEX(Decrements!$G$6:$G$58,Census!$G155-17)*(INDEX(Decrements!$D$6:$D$58,Census!$G155+H$5-18)+IF(H$5=$B155,INDEX(Decrements!$F$6:$F$58,Census!$G155+H$5-18),0)+INDEX(Decrements!$E$6:$E$58,Census!$G155+H$5-18)*IF((Census!$F155+H$5)&gt;=Assumptions!$B$11,1,0))*MIN(15/26*Census!$D155*(1+Assumptions!$B$9)^H$5*(INT((Census!$F155+H$5))+IF((Census!$F155+H$5)-INT((Census!$F155+H$5))&gt;0.5,1,0)),Assumptions!$B$10))</f>
        <v>35058.417024604263</v>
      </c>
      <c r="I155" s="30">
        <f>IF(I$5&gt;$B155,0,INDEX(Decrements!$G$6:$G$58,Census!$G155+I$5-18)/INDEX(Decrements!$G$6:$G$58,Census!$G155-17)*(INDEX(Decrements!$D$6:$D$58,Census!$G155+I$5-18)+IF(I$5=$B155,INDEX(Decrements!$F$6:$F$58,Census!$G155+I$5-18),0)+INDEX(Decrements!$E$6:$E$58,Census!$G155+I$5-18)*IF((Census!$F155+I$5)&gt;=Assumptions!$B$11,1,0))*MIN(15/26*Census!$D155*(1+Assumptions!$B$9)^I$5*(INT((Census!$F155+I$5))+IF((Census!$F155+I$5)-INT((Census!$F155+I$5))&gt;0.5,1,0)),Assumptions!$B$10))</f>
        <v>26876.74843847852</v>
      </c>
      <c r="J155" s="30">
        <f>IF(J$5&gt;$B155,0,INDEX(Decrements!$G$6:$G$58,Census!$G155+J$5-18)/INDEX(Decrements!$G$6:$G$58,Census!$G155-17)*(INDEX(Decrements!$D$6:$D$58,Census!$G155+J$5-18)+IF(J$5=$B155,INDEX(Decrements!$F$6:$F$58,Census!$G155+J$5-18),0)+INDEX(Decrements!$E$6:$E$58,Census!$G155+J$5-18)*IF((Census!$F155+J$5)&gt;=Assumptions!$B$11,1,0))*MIN(15/26*Census!$D155*(1+Assumptions!$B$9)^J$5*(INT((Census!$F155+J$5))+IF((Census!$F155+J$5)-INT((Census!$F155+J$5))&gt;0.5,1,0)),Assumptions!$B$10))</f>
        <v>29967.351350467638</v>
      </c>
      <c r="K155" s="30">
        <f>IF(K$5&gt;$B155,0,INDEX(Decrements!$G$6:$G$58,Census!$G155+K$5-18)/INDEX(Decrements!$G$6:$G$58,Census!$G155-17)*(INDEX(Decrements!$D$6:$D$58,Census!$G155+K$5-18)+IF(K$5=$B155,INDEX(Decrements!$F$6:$F$58,Census!$G155+K$5-18),0)+INDEX(Decrements!$E$6:$E$58,Census!$G155+K$5-18)*IF((Census!$F155+K$5)&gt;=Assumptions!$B$11,1,0))*MIN(15/26*Census!$D155*(1+Assumptions!$B$9)^K$5*(INT((Census!$F155+K$5))+IF((Census!$F155+K$5)-INT((Census!$F155+K$5))&gt;0.5,1,0)),Assumptions!$B$10))</f>
        <v>33372.697469328967</v>
      </c>
      <c r="L155" s="30">
        <f>IF(L$5&gt;$B155,0,INDEX(Decrements!$G$6:$G$58,Census!$G155+L$5-18)/INDEX(Decrements!$G$6:$G$58,Census!$G155-17)*(INDEX(Decrements!$D$6:$D$58,Census!$G155+L$5-18)+IF(L$5=$B155,INDEX(Decrements!$F$6:$F$58,Census!$G155+L$5-18),0)+INDEX(Decrements!$E$6:$E$58,Census!$G155+L$5-18)*IF((Census!$F155+L$5)&gt;=Assumptions!$B$11,1,0))*MIN(15/26*Census!$D155*(1+Assumptions!$B$9)^L$5*(INT((Census!$F155+L$5))+IF((Census!$F155+L$5)-INT((Census!$F155+L$5))&gt;0.5,1,0)),Assumptions!$B$10))</f>
        <v>35433.271616316677</v>
      </c>
      <c r="M155" s="30">
        <f>IF(M$5&gt;$B155,0,INDEX(Decrements!$G$6:$G$58,Census!$G155+M$5-18)/INDEX(Decrements!$G$6:$G$58,Census!$G155-17)*(INDEX(Decrements!$D$6:$D$58,Census!$G155+M$5-18)+IF(M$5=$B155,INDEX(Decrements!$F$6:$F$58,Census!$G155+M$5-18),0)+INDEX(Decrements!$E$6:$E$58,Census!$G155+M$5-18)*IF((Census!$F155+M$5)&gt;=Assumptions!$B$11,1,0))*MIN(15/26*Census!$D155*(1+Assumptions!$B$9)^M$5*(INT((Census!$F155+M$5))+IF((Census!$F155+M$5)-INT((Census!$F155+M$5))&gt;0.5,1,0)),Assumptions!$B$10))</f>
        <v>35066.361012376496</v>
      </c>
      <c r="N155" s="30">
        <f>IF(N$5&gt;$B155,0,INDEX(Decrements!$G$6:$G$58,Census!$G155+N$5-18)/INDEX(Decrements!$G$6:$G$58,Census!$G155-17)*(INDEX(Decrements!$D$6:$D$58,Census!$G155+N$5-18)+IF(N$5=$B155,INDEX(Decrements!$F$6:$F$58,Census!$G155+N$5-18),0)+INDEX(Decrements!$E$6:$E$58,Census!$G155+N$5-18)*IF((Census!$F155+N$5)&gt;=Assumptions!$B$11,1,0))*MIN(15/26*Census!$D155*(1+Assumptions!$B$9)^N$5*(INT((Census!$F155+N$5))+IF((Census!$F155+N$5)-INT((Census!$F155+N$5))&gt;0.5,1,0)),Assumptions!$B$10))</f>
        <v>20483.602327047509</v>
      </c>
      <c r="O155" s="30">
        <f>IF(O$5&gt;$B155,0,INDEX(Decrements!$G$6:$G$58,Census!$G155+O$5-18)/INDEX(Decrements!$G$6:$G$58,Census!$G155-17)*(INDEX(Decrements!$D$6:$D$58,Census!$G155+O$5-18)+IF(O$5=$B155,INDEX(Decrements!$F$6:$F$58,Census!$G155+O$5-18),0)+INDEX(Decrements!$E$6:$E$58,Census!$G155+O$5-18)*IF((Census!$F155+O$5)&gt;=Assumptions!$B$11,1,0))*MIN(15/26*Census!$D155*(1+Assumptions!$B$9)^O$5*(INT((Census!$F155+O$5))+IF((Census!$F155+O$5)-INT((Census!$F155+O$5))&gt;0.5,1,0)),Assumptions!$B$10))</f>
        <v>20741.86527567439</v>
      </c>
      <c r="P155" s="30">
        <f>IF(P$5&gt;$B155,0,INDEX(Decrements!$G$6:$G$58,Census!$G155+P$5-18)/INDEX(Decrements!$G$6:$G$58,Census!$G155-17)*(INDEX(Decrements!$D$6:$D$58,Census!$G155+P$5-18)+IF(P$5=$B155,INDEX(Decrements!$F$6:$F$58,Census!$G155+P$5-18),0)+INDEX(Decrements!$E$6:$E$58,Census!$G155+P$5-18)*IF((Census!$F155+P$5)&gt;=Assumptions!$B$11,1,0))*MIN(15/26*Census!$D155*(1+Assumptions!$B$9)^P$5*(INT((Census!$F155+P$5))+IF((Census!$F155+P$5)-INT((Census!$F155+P$5))&gt;0.5,1,0)),Assumptions!$B$10))</f>
        <v>21034.299563978442</v>
      </c>
      <c r="Q155" s="30">
        <f>IF(Q$5&gt;$B155,0,INDEX(Decrements!$G$6:$G$58,Census!$G155+Q$5-18)/INDEX(Decrements!$G$6:$G$58,Census!$G155-17)*(INDEX(Decrements!$D$6:$D$58,Census!$G155+Q$5-18)+IF(Q$5=$B155,INDEX(Decrements!$F$6:$F$58,Census!$G155+Q$5-18),0)+INDEX(Decrements!$E$6:$E$58,Census!$G155+Q$5-18)*IF((Census!$F155+Q$5)&gt;=Assumptions!$B$11,1,0))*MIN(15/26*Census!$D155*(1+Assumptions!$B$9)^Q$5*(INT((Census!$F155+Q$5))+IF((Census!$F155+Q$5)-INT((Census!$F155+Q$5))&gt;0.5,1,0)),Assumptions!$B$10))</f>
        <v>21362.892726287988</v>
      </c>
      <c r="R155" s="30">
        <f>IF(R$5&gt;$B155,0,INDEX(Decrements!$G$6:$G$58,Census!$G155+R$5-18)/INDEX(Decrements!$G$6:$G$58,Census!$G155-17)*(INDEX(Decrements!$D$6:$D$58,Census!$G155+R$5-18)+IF(R$5=$B155,INDEX(Decrements!$F$6:$F$58,Census!$G155+R$5-18),0)+INDEX(Decrements!$E$6:$E$58,Census!$G155+R$5-18)*IF((Census!$F155+R$5)&gt;=Assumptions!$B$11,1,0))*MIN(15/26*Census!$D155*(1+Assumptions!$B$9)^R$5*(INT((Census!$F155+R$5))+IF((Census!$F155+R$5)-INT((Census!$F155+R$5))&gt;0.5,1,0)),Assumptions!$B$10))</f>
        <v>1347382.135002133</v>
      </c>
      <c r="S155" s="30">
        <f>IF(S$5&gt;$B155,0,INDEX(Decrements!$G$6:$G$58,Census!$G155+S$5-18)/INDEX(Decrements!$G$6:$G$58,Census!$G155-17)*(INDEX(Decrements!$D$6:$D$58,Census!$G155+S$5-18)+IF(S$5=$B155,INDEX(Decrements!$F$6:$F$58,Census!$G155+S$5-18),0)+INDEX(Decrements!$E$6:$E$58,Census!$G155+S$5-18)*IF((Census!$F155+S$5)&gt;=Assumptions!$B$11,1,0))*MIN(15/26*Census!$D155*(1+Assumptions!$B$9)^S$5*(INT((Census!$F155+S$5))+IF((Census!$F155+S$5)-INT((Census!$F155+S$5))&gt;0.5,1,0)),Assumptions!$B$10))</f>
        <v>0</v>
      </c>
      <c r="T155" s="30">
        <f>IF(T$5&gt;$B155,0,INDEX(Decrements!$G$6:$G$58,Census!$G155+T$5-18)/INDEX(Decrements!$G$6:$G$58,Census!$G155-17)*(INDEX(Decrements!$D$6:$D$58,Census!$G155+T$5-18)+IF(T$5=$B155,INDEX(Decrements!$F$6:$F$58,Census!$G155+T$5-18),0)+INDEX(Decrements!$E$6:$E$58,Census!$G155+T$5-18)*IF((Census!$F155+T$5)&gt;=Assumptions!$B$11,1,0))*MIN(15/26*Census!$D155*(1+Assumptions!$B$9)^T$5*(INT((Census!$F155+T$5))+IF((Census!$F155+T$5)-INT((Census!$F155+T$5))&gt;0.5,1,0)),Assumptions!$B$10))</f>
        <v>0</v>
      </c>
      <c r="U155" s="30">
        <f>IF(U$5&gt;$B155,0,INDEX(Decrements!$G$6:$G$58,Census!$G155+U$5-18)/INDEX(Decrements!$G$6:$G$58,Census!$G155-17)*(INDEX(Decrements!$D$6:$D$58,Census!$G155+U$5-18)+IF(U$5=$B155,INDEX(Decrements!$F$6:$F$58,Census!$G155+U$5-18),0)+INDEX(Decrements!$E$6:$E$58,Census!$G155+U$5-18)*IF((Census!$F155+U$5)&gt;=Assumptions!$B$11,1,0))*MIN(15/26*Census!$D155*(1+Assumptions!$B$9)^U$5*(INT((Census!$F155+U$5))+IF((Census!$F155+U$5)-INT((Census!$F155+U$5))&gt;0.5,1,0)),Assumptions!$B$10))</f>
        <v>0</v>
      </c>
      <c r="V155" s="30">
        <f>IF(V$5&gt;$B155,0,INDEX(Decrements!$G$6:$G$58,Census!$G155+V$5-18)/INDEX(Decrements!$G$6:$G$58,Census!$G155-17)*(INDEX(Decrements!$D$6:$D$58,Census!$G155+V$5-18)+IF(V$5=$B155,INDEX(Decrements!$F$6:$F$58,Census!$G155+V$5-18),0)+INDEX(Decrements!$E$6:$E$58,Census!$G155+V$5-18)*IF((Census!$F155+V$5)&gt;=Assumptions!$B$11,1,0))*MIN(15/26*Census!$D155*(1+Assumptions!$B$9)^V$5*(INT((Census!$F155+V$5))+IF((Census!$F155+V$5)-INT((Census!$F155+V$5))&gt;0.5,1,0)),Assumptions!$B$10))</f>
        <v>0</v>
      </c>
      <c r="W155" s="30">
        <f>IF(W$5&gt;$B155,0,INDEX(Decrements!$G$6:$G$58,Census!$G155+W$5-18)/INDEX(Decrements!$G$6:$G$58,Census!$G155-17)*(INDEX(Decrements!$D$6:$D$58,Census!$G155+W$5-18)+IF(W$5=$B155,INDEX(Decrements!$F$6:$F$58,Census!$G155+W$5-18),0)+INDEX(Decrements!$E$6:$E$58,Census!$G155+W$5-18)*IF((Census!$F155+W$5)&gt;=Assumptions!$B$11,1,0))*MIN(15/26*Census!$D155*(1+Assumptions!$B$9)^W$5*(INT((Census!$F155+W$5))+IF((Census!$F155+W$5)-INT((Census!$F155+W$5))&gt;0.5,1,0)),Assumptions!$B$10))</f>
        <v>0</v>
      </c>
      <c r="X155" s="30">
        <f>IF(X$5&gt;$B155,0,INDEX(Decrements!$G$6:$G$58,Census!$G155+X$5-18)/INDEX(Decrements!$G$6:$G$58,Census!$G155-17)*(INDEX(Decrements!$D$6:$D$58,Census!$G155+X$5-18)+IF(X$5=$B155,INDEX(Decrements!$F$6:$F$58,Census!$G155+X$5-18),0)+INDEX(Decrements!$E$6:$E$58,Census!$G155+X$5-18)*IF((Census!$F155+X$5)&gt;=Assumptions!$B$11,1,0))*MIN(15/26*Census!$D155*(1+Assumptions!$B$9)^X$5*(INT((Census!$F155+X$5))+IF((Census!$F155+X$5)-INT((Census!$F155+X$5))&gt;0.5,1,0)),Assumptions!$B$10))</f>
        <v>0</v>
      </c>
      <c r="Y155" s="30">
        <f>IF(Y$5&gt;$B155,0,INDEX(Decrements!$G$6:$G$58,Census!$G155+Y$5-18)/INDEX(Decrements!$G$6:$G$58,Census!$G155-17)*(INDEX(Decrements!$D$6:$D$58,Census!$G155+Y$5-18)+IF(Y$5=$B155,INDEX(Decrements!$F$6:$F$58,Census!$G155+Y$5-18),0)+INDEX(Decrements!$E$6:$E$58,Census!$G155+Y$5-18)*IF((Census!$F155+Y$5)&gt;=Assumptions!$B$11,1,0))*MIN(15/26*Census!$D155*(1+Assumptions!$B$9)^Y$5*(INT((Census!$F155+Y$5))+IF((Census!$F155+Y$5)-INT((Census!$F155+Y$5))&gt;0.5,1,0)),Assumptions!$B$10))</f>
        <v>0</v>
      </c>
      <c r="Z155" s="30">
        <f>IF(Z$5&gt;$B155,0,INDEX(Decrements!$G$6:$G$58,Census!$G155+Z$5-18)/INDEX(Decrements!$G$6:$G$58,Census!$G155-17)*(INDEX(Decrements!$D$6:$D$58,Census!$G155+Z$5-18)+IF(Z$5=$B155,INDEX(Decrements!$F$6:$F$58,Census!$G155+Z$5-18),0)+INDEX(Decrements!$E$6:$E$58,Census!$G155+Z$5-18)*IF((Census!$F155+Z$5)&gt;=Assumptions!$B$11,1,0))*MIN(15/26*Census!$D155*(1+Assumptions!$B$9)^Z$5*(INT((Census!$F155+Z$5))+IF((Census!$F155+Z$5)-INT((Census!$F155+Z$5))&gt;0.5,1,0)),Assumptions!$B$10))</f>
        <v>0</v>
      </c>
      <c r="AA155" s="30">
        <f>IF(AA$5&gt;$B155,0,INDEX(Decrements!$G$6:$G$58,Census!$G155+AA$5-18)/INDEX(Decrements!$G$6:$G$58,Census!$G155-17)*(INDEX(Decrements!$D$6:$D$58,Census!$G155+AA$5-18)+IF(AA$5=$B155,INDEX(Decrements!$F$6:$F$58,Census!$G155+AA$5-18),0)+INDEX(Decrements!$E$6:$E$58,Census!$G155+AA$5-18)*IF((Census!$F155+AA$5)&gt;=Assumptions!$B$11,1,0))*MIN(15/26*Census!$D155*(1+Assumptions!$B$9)^AA$5*(INT((Census!$F155+AA$5))+IF((Census!$F155+AA$5)-INT((Census!$F155+AA$5))&gt;0.5,1,0)),Assumptions!$B$10))</f>
        <v>0</v>
      </c>
      <c r="AB155" s="30">
        <f>IF(AB$5&gt;$B155,0,INDEX(Decrements!$G$6:$G$58,Census!$G155+AB$5-18)/INDEX(Decrements!$G$6:$G$58,Census!$G155-17)*(INDEX(Decrements!$D$6:$D$58,Census!$G155+AB$5-18)+IF(AB$5=$B155,INDEX(Decrements!$F$6:$F$58,Census!$G155+AB$5-18),0)+INDEX(Decrements!$E$6:$E$58,Census!$G155+AB$5-18)*IF((Census!$F155+AB$5)&gt;=Assumptions!$B$11,1,0))*MIN(15/26*Census!$D155*(1+Assumptions!$B$9)^AB$5*(INT((Census!$F155+AB$5))+IF((Census!$F155+AB$5)-INT((Census!$F155+AB$5))&gt;0.5,1,0)),Assumptions!$B$10))</f>
        <v>0</v>
      </c>
      <c r="AC155" s="30">
        <f>IF(AC$5&gt;$B155,0,INDEX(Decrements!$G$6:$G$58,Census!$G155+AC$5-18)/INDEX(Decrements!$G$6:$G$58,Census!$G155-17)*(INDEX(Decrements!$D$6:$D$58,Census!$G155+AC$5-18)+IF(AC$5=$B155,INDEX(Decrements!$F$6:$F$58,Census!$G155+AC$5-18),0)+INDEX(Decrements!$E$6:$E$58,Census!$G155+AC$5-18)*IF((Census!$F155+AC$5)&gt;=Assumptions!$B$11,1,0))*MIN(15/26*Census!$D155*(1+Assumptions!$B$9)^AC$5*(INT((Census!$F155+AC$5))+IF((Census!$F155+AC$5)-INT((Census!$F155+AC$5))&gt;0.5,1,0)),Assumptions!$B$10))</f>
        <v>0</v>
      </c>
      <c r="AD155" s="30">
        <f>IF(AD$5&gt;$B155,0,INDEX(Decrements!$G$6:$G$58,Census!$G155+AD$5-18)/INDEX(Decrements!$G$6:$G$58,Census!$G155-17)*(INDEX(Decrements!$D$6:$D$58,Census!$G155+AD$5-18)+IF(AD$5=$B155,INDEX(Decrements!$F$6:$F$58,Census!$G155+AD$5-18),0)+INDEX(Decrements!$E$6:$E$58,Census!$G155+AD$5-18)*IF((Census!$F155+AD$5)&gt;=Assumptions!$B$11,1,0))*MIN(15/26*Census!$D155*(1+Assumptions!$B$9)^AD$5*(INT((Census!$F155+AD$5))+IF((Census!$F155+AD$5)-INT((Census!$F155+AD$5))&gt;0.5,1,0)),Assumptions!$B$10))</f>
        <v>0</v>
      </c>
      <c r="AE155" s="30">
        <f>IF(AE$5&gt;$B155,0,INDEX(Decrements!$G$6:$G$58,Census!$G155+AE$5-18)/INDEX(Decrements!$G$6:$G$58,Census!$G155-17)*(INDEX(Decrements!$D$6:$D$58,Census!$G155+AE$5-18)+IF(AE$5=$B155,INDEX(Decrements!$F$6:$F$58,Census!$G155+AE$5-18),0)+INDEX(Decrements!$E$6:$E$58,Census!$G155+AE$5-18)*IF((Census!$F155+AE$5)&gt;=Assumptions!$B$11,1,0))*MIN(15/26*Census!$D155*(1+Assumptions!$B$9)^AE$5*(INT((Census!$F155+AE$5))+IF((Census!$F155+AE$5)-INT((Census!$F155+AE$5))&gt;0.5,1,0)),Assumptions!$B$10))</f>
        <v>0</v>
      </c>
      <c r="AF155" s="30">
        <f>IF(AF$5&gt;$B155,0,INDEX(Decrements!$G$6:$G$58,Census!$G155+AF$5-18)/INDEX(Decrements!$G$6:$G$58,Census!$G155-17)*(INDEX(Decrements!$D$6:$D$58,Census!$G155+AF$5-18)+IF(AF$5=$B155,INDEX(Decrements!$F$6:$F$58,Census!$G155+AF$5-18),0)+INDEX(Decrements!$E$6:$E$58,Census!$G155+AF$5-18)*IF((Census!$F155+AF$5)&gt;=Assumptions!$B$11,1,0))*MIN(15/26*Census!$D155*(1+Assumptions!$B$9)^AF$5*(INT((Census!$F155+AF$5))+IF((Census!$F155+AF$5)-INT((Census!$F155+AF$5))&gt;0.5,1,0)),Assumptions!$B$10))</f>
        <v>0</v>
      </c>
      <c r="AG155" s="30">
        <f>IF(AG$5&gt;$B155,0,INDEX(Decrements!$G$6:$G$58,Census!$G155+AG$5-18)/INDEX(Decrements!$G$6:$G$58,Census!$G155-17)*(INDEX(Decrements!$D$6:$D$58,Census!$G155+AG$5-18)+IF(AG$5=$B155,INDEX(Decrements!$F$6:$F$58,Census!$G155+AG$5-18),0)+INDEX(Decrements!$E$6:$E$58,Census!$G155+AG$5-18)*IF((Census!$F155+AG$5)&gt;=Assumptions!$B$11,1,0))*MIN(15/26*Census!$D155*(1+Assumptions!$B$9)^AG$5*(INT((Census!$F155+AG$5))+IF((Census!$F155+AG$5)-INT((Census!$F155+AG$5))&gt;0.5,1,0)),Assumptions!$B$10))</f>
        <v>0</v>
      </c>
      <c r="AH155" s="30">
        <f>IF(AH$5&gt;$B155,0,INDEX(Decrements!$G$6:$G$58,Census!$G155+AH$5-18)/INDEX(Decrements!$G$6:$G$58,Census!$G155-17)*(INDEX(Decrements!$D$6:$D$58,Census!$G155+AH$5-18)+IF(AH$5=$B155,INDEX(Decrements!$F$6:$F$58,Census!$G155+AH$5-18),0)+INDEX(Decrements!$E$6:$E$58,Census!$G155+AH$5-18)*IF((Census!$F155+AH$5)&gt;=Assumptions!$B$11,1,0))*MIN(15/26*Census!$D155*(1+Assumptions!$B$9)^AH$5*(INT((Census!$F155+AH$5))+IF((Census!$F155+AH$5)-INT((Census!$F155+AH$5))&gt;0.5,1,0)),Assumptions!$B$10))</f>
        <v>0</v>
      </c>
      <c r="AI155" s="30">
        <f>IF(AI$5&gt;$B155,0,INDEX(Decrements!$G$6:$G$58,Census!$G155+AI$5-18)/INDEX(Decrements!$G$6:$G$58,Census!$G155-17)*(INDEX(Decrements!$D$6:$D$58,Census!$G155+AI$5-18)+IF(AI$5=$B155,INDEX(Decrements!$F$6:$F$58,Census!$G155+AI$5-18),0)+INDEX(Decrements!$E$6:$E$58,Census!$G155+AI$5-18)*IF((Census!$F155+AI$5)&gt;=Assumptions!$B$11,1,0))*MIN(15/26*Census!$D155*(1+Assumptions!$B$9)^AI$5*(INT((Census!$F155+AI$5))+IF((Census!$F155+AI$5)-INT((Census!$F155+AI$5))&gt;0.5,1,0)),Assumptions!$B$10))</f>
        <v>0</v>
      </c>
      <c r="AJ155" s="30">
        <f>IF(AJ$5&gt;$B155,0,INDEX(Decrements!$G$6:$G$58,Census!$G155+AJ$5-18)/INDEX(Decrements!$G$6:$G$58,Census!$G155-17)*(INDEX(Decrements!$D$6:$D$58,Census!$G155+AJ$5-18)+IF(AJ$5=$B155,INDEX(Decrements!$F$6:$F$58,Census!$G155+AJ$5-18),0)+INDEX(Decrements!$E$6:$E$58,Census!$G155+AJ$5-18)*IF((Census!$F155+AJ$5)&gt;=Assumptions!$B$11,1,0))*MIN(15/26*Census!$D155*(1+Assumptions!$B$9)^AJ$5*(INT((Census!$F155+AJ$5))+IF((Census!$F155+AJ$5)-INT((Census!$F155+AJ$5))&gt;0.5,1,0)),Assumptions!$B$10))</f>
        <v>0</v>
      </c>
      <c r="AK155" s="30">
        <f>IF(AK$5&gt;$B155,0,INDEX(Decrements!$G$6:$G$58,Census!$G155+AK$5-18)/INDEX(Decrements!$G$6:$G$58,Census!$G155-17)*(INDEX(Decrements!$D$6:$D$58,Census!$G155+AK$5-18)+IF(AK$5=$B155,INDEX(Decrements!$F$6:$F$58,Census!$G155+AK$5-18),0)+INDEX(Decrements!$E$6:$E$58,Census!$G155+AK$5-18)*IF((Census!$F155+AK$5)&gt;=Assumptions!$B$11,1,0))*MIN(15/26*Census!$D155*(1+Assumptions!$B$9)^AK$5*(INT((Census!$F155+AK$5))+IF((Census!$F155+AK$5)-INT((Census!$F155+AK$5))&gt;0.5,1,0)),Assumptions!$B$10))</f>
        <v>0</v>
      </c>
      <c r="AL155" s="30">
        <f>IF(AL$5&gt;$B155,0,INDEX(Decrements!$G$6:$G$58,Census!$G155+AL$5-18)/INDEX(Decrements!$G$6:$G$58,Census!$G155-17)*(INDEX(Decrements!$D$6:$D$58,Census!$G155+AL$5-18)+IF(AL$5=$B155,INDEX(Decrements!$F$6:$F$58,Census!$G155+AL$5-18),0)+INDEX(Decrements!$E$6:$E$58,Census!$G155+AL$5-18)*IF((Census!$F155+AL$5)&gt;=Assumptions!$B$11,1,0))*MIN(15/26*Census!$D155*(1+Assumptions!$B$9)^AL$5*(INT((Census!$F155+AL$5))+IF((Census!$F155+AL$5)-INT((Census!$F155+AL$5))&gt;0.5,1,0)),Assumptions!$B$10))</f>
        <v>0</v>
      </c>
      <c r="AM155" s="30">
        <f>IF(AM$5&gt;$B155,0,INDEX(Decrements!$G$6:$G$58,Census!$G155+AM$5-18)/INDEX(Decrements!$G$6:$G$58,Census!$G155-17)*(INDEX(Decrements!$D$6:$D$58,Census!$G155+AM$5-18)+IF(AM$5=$B155,INDEX(Decrements!$F$6:$F$58,Census!$G155+AM$5-18),0)+INDEX(Decrements!$E$6:$E$58,Census!$G155+AM$5-18)*IF((Census!$F155+AM$5)&gt;=Assumptions!$B$11,1,0))*MIN(15/26*Census!$D155*(1+Assumptions!$B$9)^AM$5*(INT((Census!$F155+AM$5))+IF((Census!$F155+AM$5)-INT((Census!$F155+AM$5))&gt;0.5,1,0)),Assumptions!$B$10))</f>
        <v>0</v>
      </c>
      <c r="AN155" s="30">
        <f>IF(AN$5&gt;$B155,0,INDEX(Decrements!$G$6:$G$58,Census!$G155+AN$5-18)/INDEX(Decrements!$G$6:$G$58,Census!$G155-17)*(INDEX(Decrements!$D$6:$D$58,Census!$G155+AN$5-18)+IF(AN$5=$B155,INDEX(Decrements!$F$6:$F$58,Census!$G155+AN$5-18),0)+INDEX(Decrements!$E$6:$E$58,Census!$G155+AN$5-18)*IF((Census!$F155+AN$5)&gt;=Assumptions!$B$11,1,0))*MIN(15/26*Census!$D155*(1+Assumptions!$B$9)^AN$5*(INT((Census!$F155+AN$5))+IF((Census!$F155+AN$5)-INT((Census!$F155+AN$5))&gt;0.5,1,0)),Assumptions!$B$10))</f>
        <v>0</v>
      </c>
      <c r="AO155" s="30">
        <f>IF(AO$5&gt;$B155,0,INDEX(Decrements!$G$6:$G$58,Census!$G155+AO$5-18)/INDEX(Decrements!$G$6:$G$58,Census!$G155-17)*(INDEX(Decrements!$D$6:$D$58,Census!$G155+AO$5-18)+IF(AO$5=$B155,INDEX(Decrements!$F$6:$F$58,Census!$G155+AO$5-18),0)+INDEX(Decrements!$E$6:$E$58,Census!$G155+AO$5-18)*IF((Census!$F155+AO$5)&gt;=Assumptions!$B$11,1,0))*MIN(15/26*Census!$D155*(1+Assumptions!$B$9)^AO$5*(INT((Census!$F155+AO$5))+IF((Census!$F155+AO$5)-INT((Census!$F155+AO$5))&gt;0.5,1,0)),Assumptions!$B$10))</f>
        <v>0</v>
      </c>
      <c r="AP155" s="30">
        <f>IF(AP$5&gt;$B155,0,INDEX(Decrements!$G$6:$G$58,Census!$G155+AP$5-18)/INDEX(Decrements!$G$6:$G$58,Census!$G155-17)*(INDEX(Decrements!$D$6:$D$58,Census!$G155+AP$5-18)+IF(AP$5=$B155,INDEX(Decrements!$F$6:$F$58,Census!$G155+AP$5-18),0)+INDEX(Decrements!$E$6:$E$58,Census!$G155+AP$5-18)*IF((Census!$F155+AP$5)&gt;=Assumptions!$B$11,1,0))*MIN(15/26*Census!$D155*(1+Assumptions!$B$9)^AP$5*(INT((Census!$F155+AP$5))+IF((Census!$F155+AP$5)-INT((Census!$F155+AP$5))&gt;0.5,1,0)),Assumptions!$B$10))</f>
        <v>0</v>
      </c>
      <c r="AQ155" s="30">
        <f>IF(AQ$5&gt;$B155,0,INDEX(Decrements!$G$6:$G$58,Census!$G155+AQ$5-18)/INDEX(Decrements!$G$6:$G$58,Census!$G155-17)*(INDEX(Decrements!$D$6:$D$58,Census!$G155+AQ$5-18)+IF(AQ$5=$B155,INDEX(Decrements!$F$6:$F$58,Census!$G155+AQ$5-18),0)+INDEX(Decrements!$E$6:$E$58,Census!$G155+AQ$5-18)*IF((Census!$F155+AQ$5)&gt;=Assumptions!$B$11,1,0))*MIN(15/26*Census!$D155*(1+Assumptions!$B$9)^AQ$5*(INT((Census!$F155+AQ$5))+IF((Census!$F155+AQ$5)-INT((Census!$F155+AQ$5))&gt;0.5,1,0)),Assumptions!$B$10))</f>
        <v>0</v>
      </c>
      <c r="AR155" s="30">
        <f>IF(AR$5&gt;$B155,0,INDEX(Decrements!$G$6:$G$58,Census!$G155+AR$5-18)/INDEX(Decrements!$G$6:$G$58,Census!$G155-17)*(INDEX(Decrements!$D$6:$D$58,Census!$G155+AR$5-18)+IF(AR$5=$B155,INDEX(Decrements!$F$6:$F$58,Census!$G155+AR$5-18),0)+INDEX(Decrements!$E$6:$E$58,Census!$G155+AR$5-18)*IF((Census!$F155+AR$5)&gt;=Assumptions!$B$11,1,0))*MIN(15/26*Census!$D155*(1+Assumptions!$B$9)^AR$5*(INT((Census!$F155+AR$5))+IF((Census!$F155+AR$5)-INT((Census!$F155+AR$5))&gt;0.5,1,0)),Assumptions!$B$10))</f>
        <v>0</v>
      </c>
      <c r="AS155" s="30">
        <f>IF(AS$5&gt;$B155,0,INDEX(Decrements!$G$6:$G$58,Census!$G155+AS$5-18)/INDEX(Decrements!$G$6:$G$58,Census!$G155-17)*(INDEX(Decrements!$D$6:$D$58,Census!$G155+AS$5-18)+IF(AS$5=$B155,INDEX(Decrements!$F$6:$F$58,Census!$G155+AS$5-18),0)+INDEX(Decrements!$E$6:$E$58,Census!$G155+AS$5-18)*IF((Census!$F155+AS$5)&gt;=Assumptions!$B$11,1,0))*MIN(15/26*Census!$D155*(1+Assumptions!$B$9)^AS$5*(INT((Census!$F155+AS$5))+IF((Census!$F155+AS$5)-INT((Census!$F155+AS$5))&gt;0.5,1,0)),Assumptions!$B$10))</f>
        <v>0</v>
      </c>
      <c r="AT155" s="30">
        <f>IF(AT$5&gt;$B155,0,INDEX(Decrements!$G$6:$G$58,Census!$G155+AT$5-18)/INDEX(Decrements!$G$6:$G$58,Census!$G155-17)*(INDEX(Decrements!$D$6:$D$58,Census!$G155+AT$5-18)+IF(AT$5=$B155,INDEX(Decrements!$F$6:$F$58,Census!$G155+AT$5-18),0)+INDEX(Decrements!$E$6:$E$58,Census!$G155+AT$5-18)*IF((Census!$F155+AT$5)&gt;=Assumptions!$B$11,1,0))*MIN(15/26*Census!$D155*(1+Assumptions!$B$9)^AT$5*(INT((Census!$F155+AT$5))+IF((Census!$F155+AT$5)-INT((Census!$F155+AT$5))&gt;0.5,1,0)),Assumptions!$B$10))</f>
        <v>0</v>
      </c>
      <c r="AU155" s="30">
        <f>IF(AU$5&gt;$B155,0,INDEX(Decrements!$G$6:$G$58,Census!$G155+AU$5-18)/INDEX(Decrements!$G$6:$G$58,Census!$G155-17)*(INDEX(Decrements!$D$6:$D$58,Census!$G155+AU$5-18)+IF(AU$5=$B155,INDEX(Decrements!$F$6:$F$58,Census!$G155+AU$5-18),0)+INDEX(Decrements!$E$6:$E$58,Census!$G155+AU$5-18)*IF((Census!$F155+AU$5)&gt;=Assumptions!$B$11,1,0))*MIN(15/26*Census!$D155*(1+Assumptions!$B$9)^AU$5*(INT((Census!$F155+AU$5))+IF((Census!$F155+AU$5)-INT((Census!$F155+AU$5))&gt;0.5,1,0)),Assumptions!$B$10)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0"/>
  <sheetViews>
    <sheetView zoomScaleNormal="100" workbookViewId="0"/>
  </sheetViews>
  <sheetFormatPr defaultColWidth="8.6640625" defaultRowHeight="14.4" x14ac:dyDescent="0.3"/>
  <cols>
    <col min="1" max="1" width="26" customWidth="1"/>
    <col min="2" max="3" width="16" customWidth="1"/>
    <col min="4" max="4" width="26" customWidth="1"/>
    <col min="5" max="16" width="16" customWidth="1"/>
  </cols>
  <sheetData>
    <row r="1" spans="1:16" ht="17.399999999999999" x14ac:dyDescent="0.3">
      <c r="A1" s="1" t="s">
        <v>227</v>
      </c>
    </row>
    <row r="2" spans="1:16" x14ac:dyDescent="0.3">
      <c r="A2" s="10" t="s">
        <v>228</v>
      </c>
    </row>
    <row r="3" spans="1:16" x14ac:dyDescent="0.3">
      <c r="A3" s="4" t="s">
        <v>229</v>
      </c>
      <c r="B3" s="31" t="s">
        <v>67</v>
      </c>
      <c r="D3" s="4" t="s">
        <v>61</v>
      </c>
      <c r="E3" s="32">
        <f>SUM(O16:O60)</f>
        <v>445115.15930111549</v>
      </c>
    </row>
    <row r="4" spans="1:16" x14ac:dyDescent="0.3">
      <c r="A4" s="4" t="s">
        <v>230</v>
      </c>
      <c r="B4" s="4">
        <f>MATCH(B3,Census!$A$6:$A$155,0)</f>
        <v>3</v>
      </c>
      <c r="D4" s="4" t="s">
        <v>62</v>
      </c>
      <c r="E4" s="32">
        <f>SUM(P16:P60)</f>
        <v>32022.515645998108</v>
      </c>
    </row>
    <row r="5" spans="1:16" x14ac:dyDescent="0.3">
      <c r="A5" s="4" t="s">
        <v>54</v>
      </c>
      <c r="B5" s="25">
        <f>INDEX(Census!$E$6:$E$155,$B$4)</f>
        <v>39.969883641341546</v>
      </c>
      <c r="D5" s="4" t="s">
        <v>231</v>
      </c>
      <c r="E5" s="7">
        <f>INDEX(Census!$L$6:$L$155,$B$4)</f>
        <v>445115.15930111555</v>
      </c>
    </row>
    <row r="6" spans="1:16" x14ac:dyDescent="0.3">
      <c r="A6" s="4" t="s">
        <v>55</v>
      </c>
      <c r="B6" s="25">
        <f>INDEX(Census!$F$6:$F$155,$B$4)</f>
        <v>13.900068446269678</v>
      </c>
      <c r="D6" s="4" t="s">
        <v>232</v>
      </c>
      <c r="E6" s="26">
        <f>E3-E5</f>
        <v>0</v>
      </c>
    </row>
    <row r="7" spans="1:16" x14ac:dyDescent="0.3">
      <c r="A7" s="4" t="s">
        <v>56</v>
      </c>
      <c r="B7" s="5">
        <f>INDEX(Census!$G$6:$G$155,$B$4)</f>
        <v>39</v>
      </c>
    </row>
    <row r="8" spans="1:16" x14ac:dyDescent="0.3">
      <c r="A8" s="4" t="s">
        <v>57</v>
      </c>
      <c r="B8" s="5">
        <f>INDEX(Census!$H$6:$H$155,$B$4)</f>
        <v>21</v>
      </c>
    </row>
    <row r="9" spans="1:16" x14ac:dyDescent="0.3">
      <c r="A9" s="4" t="s">
        <v>53</v>
      </c>
      <c r="B9" s="7">
        <f>INDEX(Census!$D$6:$D$155,$B$4)</f>
        <v>99400</v>
      </c>
    </row>
    <row r="15" spans="1:16" ht="45" customHeight="1" x14ac:dyDescent="0.3">
      <c r="A15" s="3" t="s">
        <v>233</v>
      </c>
      <c r="B15" s="3" t="s">
        <v>234</v>
      </c>
      <c r="C15" s="3" t="s">
        <v>235</v>
      </c>
      <c r="D15" s="3" t="s">
        <v>236</v>
      </c>
      <c r="E15" s="3" t="s">
        <v>237</v>
      </c>
      <c r="F15" s="3" t="s">
        <v>238</v>
      </c>
      <c r="G15" s="3" t="s">
        <v>239</v>
      </c>
      <c r="H15" s="3" t="s">
        <v>240</v>
      </c>
      <c r="I15" s="3" t="s">
        <v>241</v>
      </c>
      <c r="J15" s="3" t="s">
        <v>242</v>
      </c>
      <c r="K15" s="3" t="s">
        <v>243</v>
      </c>
      <c r="L15" s="3" t="s">
        <v>244</v>
      </c>
      <c r="M15" s="3" t="s">
        <v>245</v>
      </c>
      <c r="N15" s="3" t="s">
        <v>18</v>
      </c>
      <c r="O15" s="3" t="s">
        <v>246</v>
      </c>
      <c r="P15" s="3" t="s">
        <v>247</v>
      </c>
    </row>
    <row r="16" spans="1:16" x14ac:dyDescent="0.3">
      <c r="A16" s="5">
        <v>1</v>
      </c>
      <c r="B16" s="5">
        <f t="shared" ref="B16:B60" si="0">IF($A16&gt;$B$8,"",$B$7+$A16-1)</f>
        <v>39</v>
      </c>
      <c r="C16" s="13">
        <f>IF($A16&gt;$B$8,"",INDEX(Decrements!$G$6:$G$58,$B$7+$A16-18)/INDEX(Decrements!$G$6:$G$58,$B$7-17))</f>
        <v>1</v>
      </c>
      <c r="D16" s="13">
        <f>IF($A16&gt;$B$8,"",C16*INDEX(Decrements!$D$6:$D$58,$B$7+$A16-18))</f>
        <v>1.2120855449294864E-3</v>
      </c>
      <c r="E16" s="13">
        <f>IF($A16&gt;$B$8,"",C16*INDEX(Decrements!$E$6:$E$58,$B$7+$A16-18))</f>
        <v>7.9949496435627945E-2</v>
      </c>
      <c r="F16" s="13">
        <f>IF($A16&gt;$B$8,"",IF($A16=$B$8,C16*INDEX(Decrements!$F$6:$F$58,$B$7+$A16-18),0))</f>
        <v>0</v>
      </c>
      <c r="G16" s="25">
        <f t="shared" ref="G16:G60" si="1">IF($A16&gt;$B$8,"",$B$6+$A16)</f>
        <v>14.900068446269678</v>
      </c>
      <c r="H16" s="7">
        <f>IF($A16&gt;$B$8,"",$B$9*(1+Assumptions!$B$9)^$A16)</f>
        <v>107352</v>
      </c>
      <c r="I16" s="5">
        <f t="shared" ref="I16:I60" si="2">IF($A16&gt;$B$8,"",INT(G16)+IF(G16-INT(G16)&gt;0.5,1,0))</f>
        <v>15</v>
      </c>
      <c r="J16" s="7">
        <f>IF($A16&gt;$B$8,"",MIN(15/26*H16*I16,Assumptions!$B$10))</f>
        <v>929007.69230769225</v>
      </c>
      <c r="K16" s="13">
        <f>IF($A16&gt;$B$8,"",D16+F16+E16*IF(G16&gt;=Assumptions!$B$11,1,0))</f>
        <v>8.1161581980557437E-2</v>
      </c>
      <c r="L16" s="7">
        <f t="shared" ref="L16:L60" si="3">IF($A16&gt;$B$8,"",K16*J16)</f>
        <v>75399.733979799246</v>
      </c>
      <c r="M16" s="33">
        <f t="shared" ref="M16:M60" si="4">IF($A16&gt;$B$8,"",$B$6/G16)</f>
        <v>0.93288621434149477</v>
      </c>
      <c r="N16" s="13">
        <f>IF($A16&gt;$B$8,"",(1/(1+Assumptions!$B$8))^$A16)</f>
        <v>0.93457943925233644</v>
      </c>
      <c r="O16" s="7">
        <f t="shared" ref="O16:O60" si="5">IF($A16&gt;$B$8,"",L16*M16*N16)</f>
        <v>65737.731210066064</v>
      </c>
      <c r="P16" s="7">
        <f t="shared" ref="P16:P60" si="6">IF($A16&gt;$B$8,"",L16/G16*N16)</f>
        <v>4729.3098925500544</v>
      </c>
    </row>
    <row r="17" spans="1:16" x14ac:dyDescent="0.3">
      <c r="A17" s="5">
        <f t="shared" ref="A17:A60" si="7">A16+1</f>
        <v>2</v>
      </c>
      <c r="B17" s="5">
        <f t="shared" si="0"/>
        <v>40</v>
      </c>
      <c r="C17" s="13">
        <f>IF($A17&gt;$B$8,"",INDEX(Decrements!$G$6:$G$58,$B$7+$A17-18)/INDEX(Decrements!$G$6:$G$58,$B$7-17))</f>
        <v>0.91883841801944255</v>
      </c>
      <c r="D17" s="13">
        <f>IF($A17&gt;$B$8,"",C17*INDEX(Decrements!$D$6:$D$58,$B$7+$A17-18))</f>
        <v>1.2083595196932917E-3</v>
      </c>
      <c r="E17" s="13">
        <f>IF($A17&gt;$B$8,"",C17*INDEX(Decrements!$E$6:$E$58,$B$7+$A17-18))</f>
        <v>4.5910937323544093E-2</v>
      </c>
      <c r="F17" s="13">
        <f>IF($A17&gt;$B$8,"",IF($A17=$B$8,C17*INDEX(Decrements!$F$6:$F$58,$B$7+$A17-18),0))</f>
        <v>0</v>
      </c>
      <c r="G17" s="25">
        <f t="shared" si="1"/>
        <v>15.900068446269678</v>
      </c>
      <c r="H17" s="7">
        <f>IF($A17&gt;$B$8,"",$B$9*(1+Assumptions!$B$9)^$A17)</f>
        <v>115940.16</v>
      </c>
      <c r="I17" s="5">
        <f t="shared" si="2"/>
        <v>16</v>
      </c>
      <c r="J17" s="7">
        <f>IF($A17&gt;$B$8,"",MIN(15/26*H17*I17,Assumptions!$B$10))</f>
        <v>1070216.8615384614</v>
      </c>
      <c r="K17" s="13">
        <f>IF($A17&gt;$B$8,"",D17+F17+E17*IF(G17&gt;=Assumptions!$B$11,1,0))</f>
        <v>4.7119296843237388E-2</v>
      </c>
      <c r="L17" s="7">
        <f t="shared" si="3"/>
        <v>50427.865985468648</v>
      </c>
      <c r="M17" s="33">
        <f t="shared" si="4"/>
        <v>0.87421437795953505</v>
      </c>
      <c r="N17" s="13">
        <f>IF($A17&gt;$B$8,"",(1/(1+Assumptions!$B$8))^$A17)</f>
        <v>0.87343872827321167</v>
      </c>
      <c r="O17" s="7">
        <f t="shared" si="5"/>
        <v>38505.341509575752</v>
      </c>
      <c r="P17" s="7">
        <f t="shared" si="6"/>
        <v>2770.154813151968</v>
      </c>
    </row>
    <row r="18" spans="1:16" x14ac:dyDescent="0.3">
      <c r="A18" s="5">
        <f t="shared" si="7"/>
        <v>3</v>
      </c>
      <c r="B18" s="5">
        <f t="shared" si="0"/>
        <v>41</v>
      </c>
      <c r="C18" s="13">
        <f>IF($A18&gt;$B$8,"",INDEX(Decrements!$G$6:$G$58,$B$7+$A18-18)/INDEX(Decrements!$G$6:$G$58,$B$7-17))</f>
        <v>0.87171912117620509</v>
      </c>
      <c r="D18" s="13">
        <f>IF($A18&gt;$B$8,"",C18*INDEX(Decrements!$D$6:$D$58,$B$7+$A18-18))</f>
        <v>1.2270001349646632E-3</v>
      </c>
      <c r="E18" s="13">
        <f>IF($A18&gt;$B$8,"",C18*INDEX(Decrements!$E$6:$E$58,$B$7+$A18-18))</f>
        <v>4.355449451688808E-2</v>
      </c>
      <c r="F18" s="13">
        <f>IF($A18&gt;$B$8,"",IF($A18=$B$8,C18*INDEX(Decrements!$F$6:$F$58,$B$7+$A18-18),0))</f>
        <v>0</v>
      </c>
      <c r="G18" s="25">
        <f t="shared" si="1"/>
        <v>16.900068446269678</v>
      </c>
      <c r="H18" s="7">
        <f>IF($A18&gt;$B$8,"",$B$9*(1+Assumptions!$B$9)^$A18)</f>
        <v>125215.37280000001</v>
      </c>
      <c r="I18" s="5">
        <f t="shared" si="2"/>
        <v>17</v>
      </c>
      <c r="J18" s="7">
        <f>IF($A18&gt;$B$8,"",MIN(15/26*H18*I18,Assumptions!$B$10))</f>
        <v>1228073.8486153847</v>
      </c>
      <c r="K18" s="13">
        <f>IF($A18&gt;$B$8,"",D18+F18+E18*IF(G18&gt;=Assumptions!$B$11,1,0))</f>
        <v>4.4781494651852743E-2</v>
      </c>
      <c r="L18" s="7">
        <f t="shared" si="3"/>
        <v>54994.982483850064</v>
      </c>
      <c r="M18" s="33">
        <f t="shared" si="4"/>
        <v>0.82248592604592763</v>
      </c>
      <c r="N18" s="13">
        <f>IF($A18&gt;$B$8,"",(1/(1+Assumptions!$B$8))^$A18)</f>
        <v>0.81629787689085198</v>
      </c>
      <c r="O18" s="7">
        <f t="shared" si="5"/>
        <v>36923.274608408843</v>
      </c>
      <c r="P18" s="7">
        <f t="shared" si="6"/>
        <v>2656.3376109358537</v>
      </c>
    </row>
    <row r="19" spans="1:16" x14ac:dyDescent="0.3">
      <c r="A19" s="5">
        <f t="shared" si="7"/>
        <v>4</v>
      </c>
      <c r="B19" s="5">
        <f t="shared" si="0"/>
        <v>42</v>
      </c>
      <c r="C19" s="13">
        <f>IF($A19&gt;$B$8,"",INDEX(Decrements!$G$6:$G$58,$B$7+$A19-18)/INDEX(Decrements!$G$6:$G$58,$B$7-17))</f>
        <v>0.82693762652435232</v>
      </c>
      <c r="D19" s="13">
        <f>IF($A19&gt;$B$8,"",C19*INDEX(Decrements!$D$6:$D$58,$B$7+$A19-18))</f>
        <v>1.2480716039052469E-3</v>
      </c>
      <c r="E19" s="13">
        <f>IF($A19&gt;$B$8,"",C19*INDEX(Decrements!$E$6:$E$58,$B$7+$A19-18))</f>
        <v>4.1314879490220051E-2</v>
      </c>
      <c r="F19" s="13">
        <f>IF($A19&gt;$B$8,"",IF($A19=$B$8,C19*INDEX(Decrements!$F$6:$F$58,$B$7+$A19-18),0))</f>
        <v>0</v>
      </c>
      <c r="G19" s="25">
        <f t="shared" si="1"/>
        <v>17.900068446269678</v>
      </c>
      <c r="H19" s="7">
        <f>IF($A19&gt;$B$8,"",$B$9*(1+Assumptions!$B$9)^$A19)</f>
        <v>135232.60262400002</v>
      </c>
      <c r="I19" s="5">
        <f t="shared" si="2"/>
        <v>18</v>
      </c>
      <c r="J19" s="7">
        <f>IF($A19&gt;$B$8,"",MIN(15/26*H19*I19,Assumptions!$B$10))</f>
        <v>1404338.5657107693</v>
      </c>
      <c r="K19" s="13">
        <f>IF($A19&gt;$B$8,"",D19+F19+E19*IF(G19&gt;=Assumptions!$B$11,1,0))</f>
        <v>4.2562951094125299E-2</v>
      </c>
      <c r="L19" s="7">
        <f t="shared" si="3"/>
        <v>59772.793691941537</v>
      </c>
      <c r="M19" s="33">
        <f t="shared" si="4"/>
        <v>0.77653716732945854</v>
      </c>
      <c r="N19" s="13">
        <f>IF($A19&gt;$B$8,"",(1/(1+Assumptions!$B$8))^$A19)</f>
        <v>0.76289521204752531</v>
      </c>
      <c r="O19" s="7">
        <f t="shared" si="5"/>
        <v>35410.388453126594</v>
      </c>
      <c r="P19" s="7">
        <f t="shared" si="6"/>
        <v>2547.4974162900312</v>
      </c>
    </row>
    <row r="20" spans="1:16" x14ac:dyDescent="0.3">
      <c r="A20" s="5">
        <f t="shared" si="7"/>
        <v>5</v>
      </c>
      <c r="B20" s="5">
        <f t="shared" si="0"/>
        <v>43</v>
      </c>
      <c r="C20" s="13">
        <f>IF($A20&gt;$B$8,"",INDEX(Decrements!$G$6:$G$58,$B$7+$A20-18)/INDEX(Decrements!$G$6:$G$58,$B$7-17))</f>
        <v>0.78437467543022699</v>
      </c>
      <c r="D20" s="13">
        <f>IF($A20&gt;$B$8,"",C20*INDEX(Decrements!$D$6:$D$58,$B$7+$A20-18))</f>
        <v>1.2715759367649764E-3</v>
      </c>
      <c r="E20" s="13">
        <f>IF($A20&gt;$B$8,"",C20*INDEX(Decrements!$E$6:$E$58,$B$7+$A20-18))</f>
        <v>3.9186129260312251E-2</v>
      </c>
      <c r="F20" s="13">
        <f>IF($A20&gt;$B$8,"",IF($A20=$B$8,C20*INDEX(Decrements!$F$6:$F$58,$B$7+$A20-18),0))</f>
        <v>0</v>
      </c>
      <c r="G20" s="25">
        <f t="shared" si="1"/>
        <v>18.900068446269678</v>
      </c>
      <c r="H20" s="7">
        <f>IF($A20&gt;$B$8,"",$B$9*(1+Assumptions!$B$9)^$A20)</f>
        <v>146051.21083392002</v>
      </c>
      <c r="I20" s="5">
        <f t="shared" si="2"/>
        <v>19</v>
      </c>
      <c r="J20" s="7">
        <f>IF($A20&gt;$B$8,"",MIN(15/26*H20*I20,Assumptions!$B$10))</f>
        <v>1600945.9649102769</v>
      </c>
      <c r="K20" s="13">
        <f>IF($A20&gt;$B$8,"",D20+F20+E20*IF(G20&gt;=Assumptions!$B$11,1,0))</f>
        <v>4.0457705197077226E-2</v>
      </c>
      <c r="L20" s="7">
        <f t="shared" si="3"/>
        <v>64770.599884790325</v>
      </c>
      <c r="M20" s="33">
        <f t="shared" si="4"/>
        <v>0.73545069351392456</v>
      </c>
      <c r="N20" s="13">
        <f>IF($A20&gt;$B$8,"",(1/(1+Assumptions!$B$8))^$A20)</f>
        <v>0.71298617948366849</v>
      </c>
      <c r="O20" s="7">
        <f t="shared" si="5"/>
        <v>33963.512048719589</v>
      </c>
      <c r="P20" s="7">
        <f t="shared" si="6"/>
        <v>2443.406101200479</v>
      </c>
    </row>
    <row r="21" spans="1:16" x14ac:dyDescent="0.3">
      <c r="A21" s="5">
        <f t="shared" si="7"/>
        <v>6</v>
      </c>
      <c r="B21" s="5">
        <f t="shared" si="0"/>
        <v>44</v>
      </c>
      <c r="C21" s="13">
        <f>IF($A21&gt;$B$8,"",INDEX(Decrements!$G$6:$G$58,$B$7+$A21-18)/INDEX(Decrements!$G$6:$G$58,$B$7-17))</f>
        <v>0.74391697023314973</v>
      </c>
      <c r="D21" s="13">
        <f>IF($A21&gt;$B$8,"",C21*INDEX(Decrements!$D$6:$D$58,$B$7+$A21-18))</f>
        <v>1.2975168393296161E-3</v>
      </c>
      <c r="E21" s="13">
        <f>IF($A21&gt;$B$8,"",C21*INDEX(Decrements!$E$6:$E$58,$B$7+$A21-18))</f>
        <v>3.7162578849110575E-2</v>
      </c>
      <c r="F21" s="13">
        <f>IF($A21&gt;$B$8,"",IF($A21=$B$8,C21*INDEX(Decrements!$F$6:$F$58,$B$7+$A21-18),0))</f>
        <v>0</v>
      </c>
      <c r="G21" s="25">
        <f t="shared" si="1"/>
        <v>19.900068446269678</v>
      </c>
      <c r="H21" s="7">
        <f>IF($A21&gt;$B$8,"",$B$9*(1+Assumptions!$B$9)^$A21)</f>
        <v>157735.30770063365</v>
      </c>
      <c r="I21" s="5">
        <f t="shared" si="2"/>
        <v>20</v>
      </c>
      <c r="J21" s="7">
        <f>IF($A21&gt;$B$8,"",MIN(15/26*H21*I21,Assumptions!$B$10))</f>
        <v>1820022.7811611574</v>
      </c>
      <c r="K21" s="13">
        <f>IF($A21&gt;$B$8,"",D21+F21+E21*IF(G21&gt;=Assumptions!$B$11,1,0))</f>
        <v>3.8460095688440193E-2</v>
      </c>
      <c r="L21" s="7">
        <f t="shared" si="3"/>
        <v>69998.250318599166</v>
      </c>
      <c r="M21" s="33">
        <f t="shared" si="4"/>
        <v>0.69849349934649518</v>
      </c>
      <c r="N21" s="13">
        <f>IF($A21&gt;$B$8,"",(1/(1+Assumptions!$B$8))^$A21)</f>
        <v>0.66634222381651265</v>
      </c>
      <c r="O21" s="7">
        <f t="shared" si="5"/>
        <v>32579.6854531065</v>
      </c>
      <c r="P21" s="7">
        <f t="shared" si="6"/>
        <v>2343.8507212422983</v>
      </c>
    </row>
    <row r="22" spans="1:16" x14ac:dyDescent="0.3">
      <c r="A22" s="5">
        <f t="shared" si="7"/>
        <v>7</v>
      </c>
      <c r="B22" s="5">
        <f t="shared" si="0"/>
        <v>45</v>
      </c>
      <c r="C22" s="13">
        <f>IF($A22&gt;$B$8,"",INDEX(Decrements!$G$6:$G$58,$B$7+$A22-18)/INDEX(Decrements!$G$6:$G$58,$B$7-17))</f>
        <v>0.70545687454470951</v>
      </c>
      <c r="D22" s="13">
        <f>IF($A22&gt;$B$8,"",C22*INDEX(Decrements!$D$6:$D$58,$B$7+$A22-18))</f>
        <v>1.3394981369401172E-3</v>
      </c>
      <c r="E22" s="13">
        <f>IF($A22&gt;$B$8,"",C22*INDEX(Decrements!$E$6:$E$58,$B$7+$A22-18))</f>
        <v>2.1143307787555396E-2</v>
      </c>
      <c r="F22" s="13">
        <f>IF($A22&gt;$B$8,"",IF($A22=$B$8,C22*INDEX(Decrements!$F$6:$F$58,$B$7+$A22-18),0))</f>
        <v>0</v>
      </c>
      <c r="G22" s="25">
        <f t="shared" si="1"/>
        <v>20.900068446269678</v>
      </c>
      <c r="H22" s="7">
        <f>IF($A22&gt;$B$8,"",$B$9*(1+Assumptions!$B$9)^$A22)</f>
        <v>170354.13231668435</v>
      </c>
      <c r="I22" s="5">
        <f t="shared" si="2"/>
        <v>21</v>
      </c>
      <c r="J22" s="7">
        <f>IF($A22&gt;$B$8,"",MIN(15/26*H22*I22,Assumptions!$B$10))</f>
        <v>2000000</v>
      </c>
      <c r="K22" s="13">
        <f>IF($A22&gt;$B$8,"",D22+F22+E22*IF(G22&gt;=Assumptions!$B$11,1,0))</f>
        <v>2.2482805924495513E-2</v>
      </c>
      <c r="L22" s="7">
        <f t="shared" si="3"/>
        <v>44965.611848991022</v>
      </c>
      <c r="M22" s="33">
        <f t="shared" si="4"/>
        <v>0.66507286720157199</v>
      </c>
      <c r="N22" s="13">
        <f>IF($A22&gt;$B$8,"",(1/(1+Assumptions!$B$8))^$A22)</f>
        <v>0.6227497418845912</v>
      </c>
      <c r="O22" s="7">
        <f t="shared" si="5"/>
        <v>18623.585360733952</v>
      </c>
      <c r="P22" s="7">
        <f t="shared" si="6"/>
        <v>1339.8196874154175</v>
      </c>
    </row>
    <row r="23" spans="1:16" x14ac:dyDescent="0.3">
      <c r="A23" s="5">
        <f t="shared" si="7"/>
        <v>8</v>
      </c>
      <c r="B23" s="5">
        <f t="shared" si="0"/>
        <v>46</v>
      </c>
      <c r="C23" s="13">
        <f>IF($A23&gt;$B$8,"",INDEX(Decrements!$G$6:$G$58,$B$7+$A23-18)/INDEX(Decrements!$G$6:$G$58,$B$7-17))</f>
        <v>0.68297406862021404</v>
      </c>
      <c r="D23" s="13">
        <f>IF($A23&gt;$B$8,"",C23*INDEX(Decrements!$D$6:$D$58,$B$7+$A23-18))</f>
        <v>1.3994991512925401E-3</v>
      </c>
      <c r="E23" s="13">
        <f>IF($A23&gt;$B$8,"",C23*INDEX(Decrements!$E$6:$E$58,$B$7+$A23-18))</f>
        <v>2.0467909888789784E-2</v>
      </c>
      <c r="F23" s="13">
        <f>IF($A23&gt;$B$8,"",IF($A23=$B$8,C23*INDEX(Decrements!$F$6:$F$58,$B$7+$A23-18),0))</f>
        <v>0</v>
      </c>
      <c r="G23" s="25">
        <f t="shared" si="1"/>
        <v>21.900068446269678</v>
      </c>
      <c r="H23" s="7">
        <f>IF($A23&gt;$B$8,"",$B$9*(1+Assumptions!$B$9)^$A23)</f>
        <v>183982.46290201909</v>
      </c>
      <c r="I23" s="5">
        <f t="shared" si="2"/>
        <v>22</v>
      </c>
      <c r="J23" s="7">
        <f>IF($A23&gt;$B$8,"",MIN(15/26*H23*I23,Assumptions!$B$10))</f>
        <v>2000000</v>
      </c>
      <c r="K23" s="13">
        <f>IF($A23&gt;$B$8,"",D23+F23+E23*IF(G23&gt;=Assumptions!$B$11,1,0))</f>
        <v>2.1867409040082324E-2</v>
      </c>
      <c r="L23" s="7">
        <f t="shared" si="3"/>
        <v>43734.818080164645</v>
      </c>
      <c r="M23" s="33">
        <f t="shared" si="4"/>
        <v>0.63470433804225523</v>
      </c>
      <c r="N23" s="13">
        <f>IF($A23&gt;$B$8,"",(1/(1+Assumptions!$B$8))^$A23)</f>
        <v>0.58200910456503863</v>
      </c>
      <c r="O23" s="7">
        <f t="shared" si="5"/>
        <v>16155.803768416312</v>
      </c>
      <c r="P23" s="7">
        <f t="shared" si="6"/>
        <v>1162.2823175918966</v>
      </c>
    </row>
    <row r="24" spans="1:16" x14ac:dyDescent="0.3">
      <c r="A24" s="5">
        <f t="shared" si="7"/>
        <v>9</v>
      </c>
      <c r="B24" s="5">
        <f t="shared" si="0"/>
        <v>47</v>
      </c>
      <c r="C24" s="13">
        <f>IF($A24&gt;$B$8,"",INDEX(Decrements!$G$6:$G$58,$B$7+$A24-18)/INDEX(Decrements!$G$6:$G$58,$B$7-17))</f>
        <v>0.66110665958013171</v>
      </c>
      <c r="D24" s="13">
        <f>IF($A24&gt;$B$8,"",C24*INDEX(Decrements!$D$6:$D$58,$B$7+$A24-18))</f>
        <v>1.4640154895368574E-3</v>
      </c>
      <c r="E24" s="13">
        <f>IF($A24&gt;$B$8,"",C24*INDEX(Decrements!$E$6:$E$58,$B$7+$A24-18))</f>
        <v>1.9810905135279024E-2</v>
      </c>
      <c r="F24" s="13">
        <f>IF($A24&gt;$B$8,"",IF($A24=$B$8,C24*INDEX(Decrements!$F$6:$F$58,$B$7+$A24-18),0))</f>
        <v>0</v>
      </c>
      <c r="G24" s="25">
        <f t="shared" si="1"/>
        <v>22.900068446269678</v>
      </c>
      <c r="H24" s="7">
        <f>IF($A24&gt;$B$8,"",$B$9*(1+Assumptions!$B$9)^$A24)</f>
        <v>198701.05993418064</v>
      </c>
      <c r="I24" s="5">
        <f t="shared" si="2"/>
        <v>23</v>
      </c>
      <c r="J24" s="7">
        <f>IF($A24&gt;$B$8,"",MIN(15/26*H24*I24,Assumptions!$B$10))</f>
        <v>2000000</v>
      </c>
      <c r="K24" s="13">
        <f>IF($A24&gt;$B$8,"",D24+F24+E24*IF(G24&gt;=Assumptions!$B$11,1,0))</f>
        <v>2.1274920624815882E-2</v>
      </c>
      <c r="L24" s="7">
        <f t="shared" si="3"/>
        <v>42549.841249631761</v>
      </c>
      <c r="M24" s="33">
        <f t="shared" si="4"/>
        <v>0.6069880742445527</v>
      </c>
      <c r="N24" s="13">
        <f>IF($A24&gt;$B$8,"",(1/(1+Assumptions!$B$8))^$A24)</f>
        <v>0.54393374258414828</v>
      </c>
      <c r="O24" s="7">
        <f t="shared" si="5"/>
        <v>14048.31068595008</v>
      </c>
      <c r="P24" s="7">
        <f t="shared" si="6"/>
        <v>1010.6648568137221</v>
      </c>
    </row>
    <row r="25" spans="1:16" x14ac:dyDescent="0.3">
      <c r="A25" s="5">
        <f t="shared" si="7"/>
        <v>10</v>
      </c>
      <c r="B25" s="5">
        <f t="shared" si="0"/>
        <v>48</v>
      </c>
      <c r="C25" s="13">
        <f>IF($A25&gt;$B$8,"",INDEX(Decrements!$G$6:$G$58,$B$7+$A25-18)/INDEX(Decrements!$G$6:$G$58,$B$7-17))</f>
        <v>0.63983173895531587</v>
      </c>
      <c r="D25" s="13">
        <f>IF($A25&gt;$B$8,"",C25*INDEX(Decrements!$D$6:$D$58,$B$7+$A25-18))</f>
        <v>1.5332697223008672E-3</v>
      </c>
      <c r="E25" s="13">
        <f>IF($A25&gt;$B$8,"",C25*INDEX(Decrements!$E$6:$E$58,$B$7+$A25-18))</f>
        <v>1.9171602883548293E-2</v>
      </c>
      <c r="F25" s="13">
        <f>IF($A25&gt;$B$8,"",IF($A25=$B$8,C25*INDEX(Decrements!$F$6:$F$58,$B$7+$A25-18),0))</f>
        <v>0</v>
      </c>
      <c r="G25" s="25">
        <f t="shared" si="1"/>
        <v>23.900068446269678</v>
      </c>
      <c r="H25" s="7">
        <f>IF($A25&gt;$B$8,"",$B$9*(1+Assumptions!$B$9)^$A25)</f>
        <v>214597.1447289151</v>
      </c>
      <c r="I25" s="5">
        <f t="shared" si="2"/>
        <v>24</v>
      </c>
      <c r="J25" s="7">
        <f>IF($A25&gt;$B$8,"",MIN(15/26*H25*I25,Assumptions!$B$10))</f>
        <v>2000000</v>
      </c>
      <c r="K25" s="13">
        <f>IF($A25&gt;$B$8,"",D25+F25+E25*IF(G25&gt;=Assumptions!$B$11,1,0))</f>
        <v>2.0704872605849162E-2</v>
      </c>
      <c r="L25" s="7">
        <f t="shared" si="3"/>
        <v>41409.745211698326</v>
      </c>
      <c r="M25" s="33">
        <f t="shared" si="4"/>
        <v>0.58159115642362103</v>
      </c>
      <c r="N25" s="13">
        <f>IF($A25&gt;$B$8,"",(1/(1+Assumptions!$B$8))^$A25)</f>
        <v>0.50834929213471802</v>
      </c>
      <c r="O25" s="7">
        <f t="shared" si="5"/>
        <v>12242.851326937338</v>
      </c>
      <c r="P25" s="7">
        <f t="shared" si="6"/>
        <v>880.77633389085349</v>
      </c>
    </row>
    <row r="26" spans="1:16" x14ac:dyDescent="0.3">
      <c r="A26" s="5">
        <f t="shared" si="7"/>
        <v>11</v>
      </c>
      <c r="B26" s="5">
        <f t="shared" si="0"/>
        <v>49</v>
      </c>
      <c r="C26" s="13">
        <f>IF($A26&gt;$B$8,"",INDEX(Decrements!$G$6:$G$58,$B$7+$A26-18)/INDEX(Decrements!$G$6:$G$58,$B$7-17))</f>
        <v>0.61912686634946668</v>
      </c>
      <c r="D26" s="13">
        <f>IF($A26&gt;$B$8,"",C26*INDEX(Decrements!$D$6:$D$58,$B$7+$A26-18))</f>
        <v>1.607491162124765E-3</v>
      </c>
      <c r="E26" s="13">
        <f>IF($A26&gt;$B$8,"",C26*INDEX(Decrements!$E$6:$E$58,$B$7+$A26-18))</f>
        <v>1.8549326429639461E-2</v>
      </c>
      <c r="F26" s="13">
        <f>IF($A26&gt;$B$8,"",IF($A26=$B$8,C26*INDEX(Decrements!$F$6:$F$58,$B$7+$A26-18),0))</f>
        <v>0</v>
      </c>
      <c r="G26" s="25">
        <f t="shared" si="1"/>
        <v>24.900068446269678</v>
      </c>
      <c r="H26" s="7">
        <f>IF($A26&gt;$B$8,"",$B$9*(1+Assumptions!$B$9)^$A26)</f>
        <v>231764.9163072283</v>
      </c>
      <c r="I26" s="5">
        <f t="shared" si="2"/>
        <v>25</v>
      </c>
      <c r="J26" s="7">
        <f>IF($A26&gt;$B$8,"",MIN(15/26*H26*I26,Assumptions!$B$10))</f>
        <v>2000000</v>
      </c>
      <c r="K26" s="13">
        <f>IF($A26&gt;$B$8,"",D26+F26+E26*IF(G26&gt;=Assumptions!$B$11,1,0))</f>
        <v>2.0156817591764225E-2</v>
      </c>
      <c r="L26" s="7">
        <f t="shared" si="3"/>
        <v>40313.635183528451</v>
      </c>
      <c r="M26" s="33">
        <f t="shared" si="4"/>
        <v>0.55823414607328403</v>
      </c>
      <c r="N26" s="13">
        <f>IF($A26&gt;$B$8,"",(1/(1+Assumptions!$B$8))^$A26)</f>
        <v>0.47509279638758689</v>
      </c>
      <c r="O26" s="7">
        <f t="shared" si="5"/>
        <v>10691.700994551071</v>
      </c>
      <c r="P26" s="7">
        <f t="shared" si="6"/>
        <v>769.18333430367909</v>
      </c>
    </row>
    <row r="27" spans="1:16" x14ac:dyDescent="0.3">
      <c r="A27" s="5">
        <f t="shared" si="7"/>
        <v>12</v>
      </c>
      <c r="B27" s="5">
        <f t="shared" si="0"/>
        <v>50</v>
      </c>
      <c r="C27" s="13">
        <f>IF($A27&gt;$B$8,"",INDEX(Decrements!$G$6:$G$58,$B$7+$A27-18)/INDEX(Decrements!$G$6:$G$58,$B$7-17))</f>
        <v>0.59897004875770243</v>
      </c>
      <c r="D27" s="13">
        <f>IF($A27&gt;$B$8,"",C27*INDEX(Decrements!$D$6:$D$58,$B$7+$A27-18))</f>
        <v>1.6954778615125858E-3</v>
      </c>
      <c r="E27" s="13">
        <f>IF($A27&gt;$B$8,"",C27*INDEX(Decrements!$E$6:$E$58,$B$7+$A27-18))</f>
        <v>1.1962274936148872E-2</v>
      </c>
      <c r="F27" s="13">
        <f>IF($A27&gt;$B$8,"",IF($A27=$B$8,C27*INDEX(Decrements!$F$6:$F$58,$B$7+$A27-18),0))</f>
        <v>0</v>
      </c>
      <c r="G27" s="25">
        <f t="shared" si="1"/>
        <v>25.900068446269678</v>
      </c>
      <c r="H27" s="7">
        <f>IF($A27&gt;$B$8,"",$B$9*(1+Assumptions!$B$9)^$A27)</f>
        <v>250306.10961180661</v>
      </c>
      <c r="I27" s="5">
        <f t="shared" si="2"/>
        <v>26</v>
      </c>
      <c r="J27" s="7">
        <f>IF($A27&gt;$B$8,"",MIN(15/26*H27*I27,Assumptions!$B$10))</f>
        <v>2000000</v>
      </c>
      <c r="K27" s="13">
        <f>IF($A27&gt;$B$8,"",D27+F27+E27*IF(G27&gt;=Assumptions!$B$11,1,0))</f>
        <v>1.3657752797661458E-2</v>
      </c>
      <c r="L27" s="7">
        <f t="shared" si="3"/>
        <v>27315.505595322917</v>
      </c>
      <c r="M27" s="33">
        <f t="shared" si="4"/>
        <v>0.5366807610993658</v>
      </c>
      <c r="N27" s="13">
        <f>IF($A27&gt;$B$8,"",(1/(1+Assumptions!$B$8))^$A27)</f>
        <v>0.4440119592407355</v>
      </c>
      <c r="O27" s="7">
        <f t="shared" si="5"/>
        <v>6509.0849306812233</v>
      </c>
      <c r="P27" s="7">
        <f t="shared" si="6"/>
        <v>468.27718552911489</v>
      </c>
    </row>
    <row r="28" spans="1:16" x14ac:dyDescent="0.3">
      <c r="A28" s="5">
        <f t="shared" si="7"/>
        <v>13</v>
      </c>
      <c r="B28" s="5">
        <f t="shared" si="0"/>
        <v>51</v>
      </c>
      <c r="C28" s="13">
        <f>IF($A28&gt;$B$8,"",INDEX(Decrements!$G$6:$G$58,$B$7+$A28-18)/INDEX(Decrements!$G$6:$G$58,$B$7-17))</f>
        <v>0.58531229596004086</v>
      </c>
      <c r="D28" s="13">
        <f>IF($A28&gt;$B$8,"",C28*INDEX(Decrements!$D$6:$D$58,$B$7+$A28-18))</f>
        <v>1.7991325031616592E-3</v>
      </c>
      <c r="E28" s="13">
        <f>IF($A28&gt;$B$8,"",C28*INDEX(Decrements!$E$6:$E$58,$B$7+$A28-18))</f>
        <v>1.1688072863613326E-2</v>
      </c>
      <c r="F28" s="13">
        <f>IF($A28&gt;$B$8,"",IF($A28=$B$8,C28*INDEX(Decrements!$F$6:$F$58,$B$7+$A28-18),0))</f>
        <v>0</v>
      </c>
      <c r="G28" s="25">
        <f t="shared" si="1"/>
        <v>26.900068446269678</v>
      </c>
      <c r="H28" s="7">
        <f>IF($A28&gt;$B$8,"",$B$9*(1+Assumptions!$B$9)^$A28)</f>
        <v>270330.59838075115</v>
      </c>
      <c r="I28" s="5">
        <f t="shared" si="2"/>
        <v>27</v>
      </c>
      <c r="J28" s="7">
        <f>IF($A28&gt;$B$8,"",MIN(15/26*H28*I28,Assumptions!$B$10))</f>
        <v>2000000</v>
      </c>
      <c r="K28" s="13">
        <f>IF($A28&gt;$B$8,"",D28+F28+E28*IF(G28&gt;=Assumptions!$B$11,1,0))</f>
        <v>1.3487205366774984E-2</v>
      </c>
      <c r="L28" s="7">
        <f t="shared" si="3"/>
        <v>26974.410733549968</v>
      </c>
      <c r="M28" s="33">
        <f t="shared" si="4"/>
        <v>0.5167298542021832</v>
      </c>
      <c r="N28" s="13">
        <f>IF($A28&gt;$B$8,"",(1/(1+Assumptions!$B$8))^$A28)</f>
        <v>0.41496444788853781</v>
      </c>
      <c r="O28" s="7">
        <f t="shared" si="5"/>
        <v>5783.9750375850854</v>
      </c>
      <c r="P28" s="7">
        <f t="shared" si="6"/>
        <v>416.11126304470201</v>
      </c>
    </row>
    <row r="29" spans="1:16" x14ac:dyDescent="0.3">
      <c r="A29" s="5">
        <f t="shared" si="7"/>
        <v>14</v>
      </c>
      <c r="B29" s="5">
        <f t="shared" si="0"/>
        <v>52</v>
      </c>
      <c r="C29" s="13">
        <f>IF($A29&gt;$B$8,"",INDEX(Decrements!$G$6:$G$58,$B$7+$A29-18)/INDEX(Decrements!$G$6:$G$58,$B$7-17))</f>
        <v>0.57182509059326592</v>
      </c>
      <c r="D29" s="13">
        <f>IF($A29&gt;$B$8,"",C29*INDEX(Decrements!$D$6:$D$58,$B$7+$A29-18))</f>
        <v>1.9105752638514156E-3</v>
      </c>
      <c r="E29" s="13">
        <f>IF($A29&gt;$B$8,"",C29*INDEX(Decrements!$E$6:$E$58,$B$7+$A29-18))</f>
        <v>1.1417203071826417E-2</v>
      </c>
      <c r="F29" s="13">
        <f>IF($A29&gt;$B$8,"",IF($A29=$B$8,C29*INDEX(Decrements!$F$6:$F$58,$B$7+$A29-18),0))</f>
        <v>0</v>
      </c>
      <c r="G29" s="25">
        <f t="shared" si="1"/>
        <v>27.900068446269678</v>
      </c>
      <c r="H29" s="7">
        <f>IF($A29&gt;$B$8,"",$B$9*(1+Assumptions!$B$9)^$A29)</f>
        <v>291957.04625121126</v>
      </c>
      <c r="I29" s="5">
        <f t="shared" si="2"/>
        <v>28</v>
      </c>
      <c r="J29" s="7">
        <f>IF($A29&gt;$B$8,"",MIN(15/26*H29*I29,Assumptions!$B$10))</f>
        <v>2000000</v>
      </c>
      <c r="K29" s="13">
        <f>IF($A29&gt;$B$8,"",D29+F29+E29*IF(G29&gt;=Assumptions!$B$11,1,0))</f>
        <v>1.3327778335677833E-2</v>
      </c>
      <c r="L29" s="7">
        <f t="shared" si="3"/>
        <v>26655.556671355665</v>
      </c>
      <c r="M29" s="33">
        <f t="shared" si="4"/>
        <v>0.49820911633384035</v>
      </c>
      <c r="N29" s="13">
        <f>IF($A29&gt;$B$8,"",(1/(1+Assumptions!$B$8))^$A29)</f>
        <v>0.38781724101732507</v>
      </c>
      <c r="O29" s="7">
        <f t="shared" si="5"/>
        <v>5150.2289909894143</v>
      </c>
      <c r="P29" s="7">
        <f t="shared" si="6"/>
        <v>370.51824679119238</v>
      </c>
    </row>
    <row r="30" spans="1:16" x14ac:dyDescent="0.3">
      <c r="A30" s="5">
        <f t="shared" si="7"/>
        <v>15</v>
      </c>
      <c r="B30" s="5">
        <f t="shared" si="0"/>
        <v>53</v>
      </c>
      <c r="C30" s="13">
        <f>IF($A30&gt;$B$8,"",INDEX(Decrements!$G$6:$G$58,$B$7+$A30-18)/INDEX(Decrements!$G$6:$G$58,$B$7-17))</f>
        <v>0.55849731225758803</v>
      </c>
      <c r="D30" s="13">
        <f>IF($A30&gt;$B$8,"",C30*INDEX(Decrements!$D$6:$D$58,$B$7+$A30-18))</f>
        <v>2.0302675409160659E-3</v>
      </c>
      <c r="E30" s="13">
        <f>IF($A30&gt;$B$8,"",C30*INDEX(Decrements!$E$6:$E$58,$B$7+$A30-18))</f>
        <v>1.1149438492213214E-2</v>
      </c>
      <c r="F30" s="13">
        <f>IF($A30&gt;$B$8,"",IF($A30=$B$8,C30*INDEX(Decrements!$F$6:$F$58,$B$7+$A30-18),0))</f>
        <v>0</v>
      </c>
      <c r="G30" s="25">
        <f t="shared" si="1"/>
        <v>28.900068446269678</v>
      </c>
      <c r="H30" s="7">
        <f>IF($A30&gt;$B$8,"",$B$9*(1+Assumptions!$B$9)^$A30)</f>
        <v>315313.60995130817</v>
      </c>
      <c r="I30" s="5">
        <f t="shared" si="2"/>
        <v>29</v>
      </c>
      <c r="J30" s="7">
        <f>IF($A30&gt;$B$8,"",MIN(15/26*H30*I30,Assumptions!$B$10))</f>
        <v>2000000</v>
      </c>
      <c r="K30" s="13">
        <f>IF($A30&gt;$B$8,"",D30+F30+E30*IF(G30&gt;=Assumptions!$B$11,1,0))</f>
        <v>1.317970603312928E-2</v>
      </c>
      <c r="L30" s="7">
        <f t="shared" si="3"/>
        <v>26359.412066258559</v>
      </c>
      <c r="M30" s="33">
        <f t="shared" si="4"/>
        <v>0.48097008739312697</v>
      </c>
      <c r="N30" s="13">
        <f>IF($A30&gt;$B$8,"",(1/(1+Assumptions!$B$8))^$A30)</f>
        <v>0.36244601964235984</v>
      </c>
      <c r="O30" s="7">
        <f t="shared" si="5"/>
        <v>4595.1227950996099</v>
      </c>
      <c r="P30" s="7">
        <f t="shared" si="6"/>
        <v>330.58274589523978</v>
      </c>
    </row>
    <row r="31" spans="1:16" x14ac:dyDescent="0.3">
      <c r="A31" s="5">
        <f t="shared" si="7"/>
        <v>16</v>
      </c>
      <c r="B31" s="5">
        <f t="shared" si="0"/>
        <v>54</v>
      </c>
      <c r="C31" s="13">
        <f>IF($A31&gt;$B$8,"",INDEX(Decrements!$G$6:$G$58,$B$7+$A31-18)/INDEX(Decrements!$G$6:$G$58,$B$7-17))</f>
        <v>0.5453176062244588</v>
      </c>
      <c r="D31" s="13">
        <f>IF($A31&gt;$B$8,"",C31*INDEX(Decrements!$D$6:$D$58,$B$7+$A31-18))</f>
        <v>2.1586832778194447E-3</v>
      </c>
      <c r="E31" s="13">
        <f>IF($A31&gt;$B$8,"",C31*INDEX(Decrements!$E$6:$E$58,$B$7+$A31-18))</f>
        <v>1.0884547242895041E-2</v>
      </c>
      <c r="F31" s="13">
        <f>IF($A31&gt;$B$8,"",IF($A31=$B$8,C31*INDEX(Decrements!$F$6:$F$58,$B$7+$A31-18),0))</f>
        <v>0</v>
      </c>
      <c r="G31" s="25">
        <f t="shared" si="1"/>
        <v>29.900068446269678</v>
      </c>
      <c r="H31" s="7">
        <f>IF($A31&gt;$B$8,"",$B$9*(1+Assumptions!$B$9)^$A31)</f>
        <v>340538.69874741283</v>
      </c>
      <c r="I31" s="5">
        <f t="shared" si="2"/>
        <v>30</v>
      </c>
      <c r="J31" s="7">
        <f>IF($A31&gt;$B$8,"",MIN(15/26*H31*I31,Assumptions!$B$10))</f>
        <v>2000000</v>
      </c>
      <c r="K31" s="13">
        <f>IF($A31&gt;$B$8,"",D31+F31+E31*IF(G31&gt;=Assumptions!$B$11,1,0))</f>
        <v>1.3043230520714485E-2</v>
      </c>
      <c r="L31" s="7">
        <f t="shared" si="3"/>
        <v>26086.461041428971</v>
      </c>
      <c r="M31" s="33">
        <f t="shared" si="4"/>
        <v>0.46488416811647287</v>
      </c>
      <c r="N31" s="13">
        <f>IF($A31&gt;$B$8,"",(1/(1+Assumptions!$B$8))^$A31)</f>
        <v>0.33873459779659809</v>
      </c>
      <c r="O31" s="7">
        <f t="shared" si="5"/>
        <v>4107.8963679574517</v>
      </c>
      <c r="P31" s="7">
        <f t="shared" si="6"/>
        <v>295.53065755297598</v>
      </c>
    </row>
    <row r="32" spans="1:16" x14ac:dyDescent="0.3">
      <c r="A32" s="5">
        <f t="shared" si="7"/>
        <v>17</v>
      </c>
      <c r="B32" s="5">
        <f t="shared" si="0"/>
        <v>55</v>
      </c>
      <c r="C32" s="13">
        <f>IF($A32&gt;$B$8,"",INDEX(Decrements!$G$6:$G$58,$B$7+$A32-18)/INDEX(Decrements!$G$6:$G$58,$B$7-17))</f>
        <v>0.53227437570374425</v>
      </c>
      <c r="D32" s="13">
        <f>IF($A32&gt;$B$8,"",C32*INDEX(Decrements!$D$6:$D$58,$B$7+$A32-18))</f>
        <v>2.3079034389799895E-3</v>
      </c>
      <c r="E32" s="13">
        <f>IF($A32&gt;$B$8,"",C32*INDEX(Decrements!$E$6:$E$58,$B$7+$A32-18))</f>
        <v>5.3111462523189506E-3</v>
      </c>
      <c r="F32" s="13">
        <f>IF($A32&gt;$B$8,"",IF($A32=$B$8,C32*INDEX(Decrements!$F$6:$F$58,$B$7+$A32-18),0))</f>
        <v>0</v>
      </c>
      <c r="G32" s="25">
        <f t="shared" si="1"/>
        <v>30.900068446269678</v>
      </c>
      <c r="H32" s="7">
        <f>IF($A32&gt;$B$8,"",$B$9*(1+Assumptions!$B$9)^$A32)</f>
        <v>367781.79464720585</v>
      </c>
      <c r="I32" s="5">
        <f t="shared" si="2"/>
        <v>31</v>
      </c>
      <c r="J32" s="7">
        <f>IF($A32&gt;$B$8,"",MIN(15/26*H32*I32,Assumptions!$B$10))</f>
        <v>2000000</v>
      </c>
      <c r="K32" s="13">
        <f>IF($A32&gt;$B$8,"",D32+F32+E32*IF(G32&gt;=Assumptions!$B$11,1,0))</f>
        <v>7.6190496912989401E-3</v>
      </c>
      <c r="L32" s="7">
        <f t="shared" si="3"/>
        <v>15238.09938259788</v>
      </c>
      <c r="M32" s="33">
        <f t="shared" si="4"/>
        <v>0.44983940635729314</v>
      </c>
      <c r="N32" s="13">
        <f>IF($A32&gt;$B$8,"",(1/(1+Assumptions!$B$8))^$A32)</f>
        <v>0.31657439046411034</v>
      </c>
      <c r="O32" s="7">
        <f t="shared" si="5"/>
        <v>2170.0217082933536</v>
      </c>
      <c r="P32" s="7">
        <f t="shared" si="6"/>
        <v>156.11590091671212</v>
      </c>
    </row>
    <row r="33" spans="1:16" x14ac:dyDescent="0.3">
      <c r="A33" s="5">
        <f t="shared" si="7"/>
        <v>18</v>
      </c>
      <c r="B33" s="5">
        <f t="shared" si="0"/>
        <v>56</v>
      </c>
      <c r="C33" s="13">
        <f>IF($A33&gt;$B$8,"",INDEX(Decrements!$G$6:$G$58,$B$7+$A33-18)/INDEX(Decrements!$G$6:$G$58,$B$7-17))</f>
        <v>0.52465532601244536</v>
      </c>
      <c r="D33" s="13">
        <f>IF($A33&gt;$B$8,"",C33*INDEX(Decrements!$D$6:$D$58,$B$7+$A33-18))</f>
        <v>2.4810269986625696E-3</v>
      </c>
      <c r="E33" s="13">
        <f>IF($A33&gt;$B$8,"",C33*INDEX(Decrements!$E$6:$E$58,$B$7+$A33-18))</f>
        <v>5.2340857877693648E-3</v>
      </c>
      <c r="F33" s="13">
        <f>IF($A33&gt;$B$8,"",IF($A33=$B$8,C33*INDEX(Decrements!$F$6:$F$58,$B$7+$A33-18),0))</f>
        <v>0</v>
      </c>
      <c r="G33" s="25">
        <f t="shared" si="1"/>
        <v>31.900068446269678</v>
      </c>
      <c r="H33" s="7">
        <f>IF($A33&gt;$B$8,"",$B$9*(1+Assumptions!$B$9)^$A33)</f>
        <v>397204.33821898239</v>
      </c>
      <c r="I33" s="5">
        <f t="shared" si="2"/>
        <v>32</v>
      </c>
      <c r="J33" s="7">
        <f>IF($A33&gt;$B$8,"",MIN(15/26*H33*I33,Assumptions!$B$10))</f>
        <v>2000000</v>
      </c>
      <c r="K33" s="13">
        <f>IF($A33&gt;$B$8,"",D33+F33+E33*IF(G33&gt;=Assumptions!$B$11,1,0))</f>
        <v>7.7151127864319349E-3</v>
      </c>
      <c r="L33" s="7">
        <f t="shared" si="3"/>
        <v>15430.22557286387</v>
      </c>
      <c r="M33" s="33">
        <f t="shared" si="4"/>
        <v>0.43573788782560186</v>
      </c>
      <c r="N33" s="13">
        <f>IF($A33&gt;$B$8,"",(1/(1+Assumptions!$B$8))^$A33)</f>
        <v>0.29586391632159847</v>
      </c>
      <c r="O33" s="7">
        <f t="shared" si="5"/>
        <v>1989.2510711135767</v>
      </c>
      <c r="P33" s="7">
        <f t="shared" si="6"/>
        <v>143.11088314442267</v>
      </c>
    </row>
    <row r="34" spans="1:16" x14ac:dyDescent="0.3">
      <c r="A34" s="5">
        <f t="shared" si="7"/>
        <v>19</v>
      </c>
      <c r="B34" s="5">
        <f t="shared" si="0"/>
        <v>57</v>
      </c>
      <c r="C34" s="13">
        <f>IF($A34&gt;$B$8,"",INDEX(Decrements!$G$6:$G$58,$B$7+$A34-18)/INDEX(Decrements!$G$6:$G$58,$B$7-17))</f>
        <v>0.51694021322601336</v>
      </c>
      <c r="D34" s="13">
        <f>IF($A34&gt;$B$8,"",C34*INDEX(Decrements!$D$6:$D$58,$B$7+$A34-18))</f>
        <v>2.6678905542427194E-3</v>
      </c>
      <c r="E34" s="13">
        <f>IF($A34&gt;$B$8,"",C34*INDEX(Decrements!$E$6:$E$58,$B$7+$A34-18))</f>
        <v>5.1559956470629336E-3</v>
      </c>
      <c r="F34" s="13">
        <f>IF($A34&gt;$B$8,"",IF($A34=$B$8,C34*INDEX(Decrements!$F$6:$F$58,$B$7+$A34-18),0))</f>
        <v>0</v>
      </c>
      <c r="G34" s="25">
        <f t="shared" si="1"/>
        <v>32.900068446269678</v>
      </c>
      <c r="H34" s="7">
        <f>IF($A34&gt;$B$8,"",$B$9*(1+Assumptions!$B$9)^$A34)</f>
        <v>428980.685276501</v>
      </c>
      <c r="I34" s="5">
        <f t="shared" si="2"/>
        <v>33</v>
      </c>
      <c r="J34" s="7">
        <f>IF($A34&gt;$B$8,"",MIN(15/26*H34*I34,Assumptions!$B$10))</f>
        <v>2000000</v>
      </c>
      <c r="K34" s="13">
        <f>IF($A34&gt;$B$8,"",D34+F34+E34*IF(G34&gt;=Assumptions!$B$11,1,0))</f>
        <v>7.8238862013056531E-3</v>
      </c>
      <c r="L34" s="7">
        <f t="shared" si="3"/>
        <v>15647.772402611306</v>
      </c>
      <c r="M34" s="33">
        <f t="shared" si="4"/>
        <v>0.42249360267959307</v>
      </c>
      <c r="N34" s="13">
        <f>IF($A34&gt;$B$8,"",(1/(1+Assumptions!$B$8))^$A34)</f>
        <v>0.27650833301083971</v>
      </c>
      <c r="O34" s="7">
        <f t="shared" si="5"/>
        <v>1828.0197433165008</v>
      </c>
      <c r="P34" s="7">
        <f t="shared" si="6"/>
        <v>131.51156416118809</v>
      </c>
    </row>
    <row r="35" spans="1:16" x14ac:dyDescent="0.3">
      <c r="A35" s="5">
        <f t="shared" si="7"/>
        <v>20</v>
      </c>
      <c r="B35" s="5">
        <f t="shared" si="0"/>
        <v>58</v>
      </c>
      <c r="C35" s="13">
        <f>IF($A35&gt;$B$8,"",INDEX(Decrements!$G$6:$G$58,$B$7+$A35-18)/INDEX(Decrements!$G$6:$G$58,$B$7-17))</f>
        <v>0.50911632702470766</v>
      </c>
      <c r="D35" s="13">
        <f>IF($A35&gt;$B$8,"",C35*INDEX(Decrements!$D$6:$D$58,$B$7+$A35-18))</f>
        <v>2.8693648648497432E-3</v>
      </c>
      <c r="E35" s="13">
        <f>IF($A35&gt;$B$8,"",C35*INDEX(Decrements!$E$6:$E$58,$B$7+$A35-18))</f>
        <v>5.0767443513282341E-3</v>
      </c>
      <c r="F35" s="13">
        <f>IF($A35&gt;$B$8,"",IF($A35=$B$8,C35*INDEX(Decrements!$F$6:$F$58,$B$7+$A35-18),0))</f>
        <v>0</v>
      </c>
      <c r="G35" s="25">
        <f t="shared" si="1"/>
        <v>33.900068446269678</v>
      </c>
      <c r="H35" s="7">
        <f>IF($A35&gt;$B$8,"",$B$9*(1+Assumptions!$B$9)^$A35)</f>
        <v>463299.14009862108</v>
      </c>
      <c r="I35" s="5">
        <f t="shared" si="2"/>
        <v>34</v>
      </c>
      <c r="J35" s="7">
        <f>IF($A35&gt;$B$8,"",MIN(15/26*H35*I35,Assumptions!$B$10))</f>
        <v>2000000</v>
      </c>
      <c r="K35" s="13">
        <f>IF($A35&gt;$B$8,"",D35+F35+E35*IF(G35&gt;=Assumptions!$B$11,1,0))</f>
        <v>7.9461092161779781E-3</v>
      </c>
      <c r="L35" s="7">
        <f t="shared" si="3"/>
        <v>15892.218432355956</v>
      </c>
      <c r="M35" s="33">
        <f t="shared" si="4"/>
        <v>0.41003068971087064</v>
      </c>
      <c r="N35" s="13">
        <f>IF($A35&gt;$B$8,"",(1/(1+Assumptions!$B$8))^$A35)</f>
        <v>0.25841900281386893</v>
      </c>
      <c r="O35" s="7">
        <f t="shared" si="5"/>
        <v>1683.9350463908795</v>
      </c>
      <c r="P35" s="7">
        <f t="shared" si="6"/>
        <v>121.1458096699367</v>
      </c>
    </row>
    <row r="36" spans="1:16" x14ac:dyDescent="0.3">
      <c r="A36" s="5">
        <f t="shared" si="7"/>
        <v>21</v>
      </c>
      <c r="B36" s="5">
        <f t="shared" si="0"/>
        <v>59</v>
      </c>
      <c r="C36" s="13">
        <f>IF($A36&gt;$B$8,"",INDEX(Decrements!$G$6:$G$58,$B$7+$A36-18)/INDEX(Decrements!$G$6:$G$58,$B$7-17))</f>
        <v>0.50117021780852977</v>
      </c>
      <c r="D36" s="13">
        <f>IF($A36&gt;$B$8,"",C36*INDEX(Decrements!$D$6:$D$58,$B$7+$A36-18))</f>
        <v>3.0863347229271028E-3</v>
      </c>
      <c r="E36" s="13">
        <f>IF($A36&gt;$B$8,"",C36*INDEX(Decrements!$E$6:$E$58,$B$7+$A36-18))</f>
        <v>4.9961929583720952E-3</v>
      </c>
      <c r="F36" s="13">
        <f>IF($A36&gt;$B$8,"",IF($A36=$B$8,C36*INDEX(Decrements!$F$6:$F$58,$B$7+$A36-18),0))</f>
        <v>0.49308769012723053</v>
      </c>
      <c r="G36" s="25">
        <f t="shared" si="1"/>
        <v>34.900068446269678</v>
      </c>
      <c r="H36" s="7">
        <f>IF($A36&gt;$B$8,"",$B$9*(1+Assumptions!$B$9)^$A36)</f>
        <v>500363.07130651077</v>
      </c>
      <c r="I36" s="5">
        <f t="shared" si="2"/>
        <v>35</v>
      </c>
      <c r="J36" s="7">
        <f>IF($A36&gt;$B$8,"",MIN(15/26*H36*I36,Assumptions!$B$10))</f>
        <v>2000000</v>
      </c>
      <c r="K36" s="13">
        <f>IF($A36&gt;$B$8,"",D36+F36+E36*IF(G36&gt;=Assumptions!$B$11,1,0))</f>
        <v>0.50117021780852966</v>
      </c>
      <c r="L36" s="7">
        <f t="shared" si="3"/>
        <v>1002340.4356170594</v>
      </c>
      <c r="M36" s="33">
        <f t="shared" si="4"/>
        <v>0.39828198238835827</v>
      </c>
      <c r="N36" s="13">
        <f>IF($A36&gt;$B$8,"",(1/(1+Assumptions!$B$8))^$A36)</f>
        <v>0.24151308674193356</v>
      </c>
      <c r="O36" s="7">
        <f t="shared" si="5"/>
        <v>96415.438190096349</v>
      </c>
      <c r="P36" s="7">
        <f t="shared" si="6"/>
        <v>6936.3283039063799</v>
      </c>
    </row>
    <row r="37" spans="1:16" x14ac:dyDescent="0.3">
      <c r="A37" s="5">
        <f t="shared" si="7"/>
        <v>22</v>
      </c>
      <c r="B37" s="5" t="str">
        <f t="shared" si="0"/>
        <v/>
      </c>
      <c r="C37" s="13" t="str">
        <f>IF($A37&gt;$B$8,"",INDEX(Decrements!$G$6:$G$58,$B$7+$A37-18)/INDEX(Decrements!$G$6:$G$58,$B$7-17))</f>
        <v/>
      </c>
      <c r="D37" s="13" t="str">
        <f>IF($A37&gt;$B$8,"",C37*INDEX(Decrements!$D$6:$D$58,$B$7+$A37-18))</f>
        <v/>
      </c>
      <c r="E37" s="13" t="str">
        <f>IF($A37&gt;$B$8,"",C37*INDEX(Decrements!$E$6:$E$58,$B$7+$A37-18))</f>
        <v/>
      </c>
      <c r="F37" s="13" t="str">
        <f>IF($A37&gt;$B$8,"",IF($A37=$B$8,C37*INDEX(Decrements!$F$6:$F$58,$B$7+$A37-18),0))</f>
        <v/>
      </c>
      <c r="G37" s="25" t="str">
        <f t="shared" si="1"/>
        <v/>
      </c>
      <c r="H37" s="7" t="str">
        <f>IF($A37&gt;$B$8,"",$B$9*(1+Assumptions!$B$9)^$A37)</f>
        <v/>
      </c>
      <c r="I37" s="5" t="str">
        <f t="shared" si="2"/>
        <v/>
      </c>
      <c r="J37" s="7" t="str">
        <f>IF($A37&gt;$B$8,"",MIN(15/26*H37*I37,Assumptions!$B$10))</f>
        <v/>
      </c>
      <c r="K37" s="13" t="str">
        <f>IF($A37&gt;$B$8,"",D37+F37+E37*IF(G37&gt;=Assumptions!$B$11,1,0))</f>
        <v/>
      </c>
      <c r="L37" s="7" t="str">
        <f t="shared" si="3"/>
        <v/>
      </c>
      <c r="M37" s="33" t="str">
        <f t="shared" si="4"/>
        <v/>
      </c>
      <c r="N37" s="13" t="str">
        <f>IF($A37&gt;$B$8,"",(1/(1+Assumptions!$B$8))^$A37)</f>
        <v/>
      </c>
      <c r="O37" s="7" t="str">
        <f t="shared" si="5"/>
        <v/>
      </c>
      <c r="P37" s="7" t="str">
        <f t="shared" si="6"/>
        <v/>
      </c>
    </row>
    <row r="38" spans="1:16" x14ac:dyDescent="0.3">
      <c r="A38" s="5">
        <f t="shared" si="7"/>
        <v>23</v>
      </c>
      <c r="B38" s="5" t="str">
        <f t="shared" si="0"/>
        <v/>
      </c>
      <c r="C38" s="13" t="str">
        <f>IF($A38&gt;$B$8,"",INDEX(Decrements!$G$6:$G$58,$B$7+$A38-18)/INDEX(Decrements!$G$6:$G$58,$B$7-17))</f>
        <v/>
      </c>
      <c r="D38" s="13" t="str">
        <f>IF($A38&gt;$B$8,"",C38*INDEX(Decrements!$D$6:$D$58,$B$7+$A38-18))</f>
        <v/>
      </c>
      <c r="E38" s="13" t="str">
        <f>IF($A38&gt;$B$8,"",C38*INDEX(Decrements!$E$6:$E$58,$B$7+$A38-18))</f>
        <v/>
      </c>
      <c r="F38" s="13" t="str">
        <f>IF($A38&gt;$B$8,"",IF($A38=$B$8,C38*INDEX(Decrements!$F$6:$F$58,$B$7+$A38-18),0))</f>
        <v/>
      </c>
      <c r="G38" s="25" t="str">
        <f t="shared" si="1"/>
        <v/>
      </c>
      <c r="H38" s="7" t="str">
        <f>IF($A38&gt;$B$8,"",$B$9*(1+Assumptions!$B$9)^$A38)</f>
        <v/>
      </c>
      <c r="I38" s="5" t="str">
        <f t="shared" si="2"/>
        <v/>
      </c>
      <c r="J38" s="7" t="str">
        <f>IF($A38&gt;$B$8,"",MIN(15/26*H38*I38,Assumptions!$B$10))</f>
        <v/>
      </c>
      <c r="K38" s="13" t="str">
        <f>IF($A38&gt;$B$8,"",D38+F38+E38*IF(G38&gt;=Assumptions!$B$11,1,0))</f>
        <v/>
      </c>
      <c r="L38" s="7" t="str">
        <f t="shared" si="3"/>
        <v/>
      </c>
      <c r="M38" s="33" t="str">
        <f t="shared" si="4"/>
        <v/>
      </c>
      <c r="N38" s="13" t="str">
        <f>IF($A38&gt;$B$8,"",(1/(1+Assumptions!$B$8))^$A38)</f>
        <v/>
      </c>
      <c r="O38" s="7" t="str">
        <f t="shared" si="5"/>
        <v/>
      </c>
      <c r="P38" s="7" t="str">
        <f t="shared" si="6"/>
        <v/>
      </c>
    </row>
    <row r="39" spans="1:16" x14ac:dyDescent="0.3">
      <c r="A39" s="5">
        <f t="shared" si="7"/>
        <v>24</v>
      </c>
      <c r="B39" s="5" t="str">
        <f t="shared" si="0"/>
        <v/>
      </c>
      <c r="C39" s="13" t="str">
        <f>IF($A39&gt;$B$8,"",INDEX(Decrements!$G$6:$G$58,$B$7+$A39-18)/INDEX(Decrements!$G$6:$G$58,$B$7-17))</f>
        <v/>
      </c>
      <c r="D39" s="13" t="str">
        <f>IF($A39&gt;$B$8,"",C39*INDEX(Decrements!$D$6:$D$58,$B$7+$A39-18))</f>
        <v/>
      </c>
      <c r="E39" s="13" t="str">
        <f>IF($A39&gt;$B$8,"",C39*INDEX(Decrements!$E$6:$E$58,$B$7+$A39-18))</f>
        <v/>
      </c>
      <c r="F39" s="13" t="str">
        <f>IF($A39&gt;$B$8,"",IF($A39=$B$8,C39*INDEX(Decrements!$F$6:$F$58,$B$7+$A39-18),0))</f>
        <v/>
      </c>
      <c r="G39" s="25" t="str">
        <f t="shared" si="1"/>
        <v/>
      </c>
      <c r="H39" s="7" t="str">
        <f>IF($A39&gt;$B$8,"",$B$9*(1+Assumptions!$B$9)^$A39)</f>
        <v/>
      </c>
      <c r="I39" s="5" t="str">
        <f t="shared" si="2"/>
        <v/>
      </c>
      <c r="J39" s="7" t="str">
        <f>IF($A39&gt;$B$8,"",MIN(15/26*H39*I39,Assumptions!$B$10))</f>
        <v/>
      </c>
      <c r="K39" s="13" t="str">
        <f>IF($A39&gt;$B$8,"",D39+F39+E39*IF(G39&gt;=Assumptions!$B$11,1,0))</f>
        <v/>
      </c>
      <c r="L39" s="7" t="str">
        <f t="shared" si="3"/>
        <v/>
      </c>
      <c r="M39" s="33" t="str">
        <f t="shared" si="4"/>
        <v/>
      </c>
      <c r="N39" s="13" t="str">
        <f>IF($A39&gt;$B$8,"",(1/(1+Assumptions!$B$8))^$A39)</f>
        <v/>
      </c>
      <c r="O39" s="7" t="str">
        <f t="shared" si="5"/>
        <v/>
      </c>
      <c r="P39" s="7" t="str">
        <f t="shared" si="6"/>
        <v/>
      </c>
    </row>
    <row r="40" spans="1:16" x14ac:dyDescent="0.3">
      <c r="A40" s="5">
        <f t="shared" si="7"/>
        <v>25</v>
      </c>
      <c r="B40" s="5" t="str">
        <f t="shared" si="0"/>
        <v/>
      </c>
      <c r="C40" s="13" t="str">
        <f>IF($A40&gt;$B$8,"",INDEX(Decrements!$G$6:$G$58,$B$7+$A40-18)/INDEX(Decrements!$G$6:$G$58,$B$7-17))</f>
        <v/>
      </c>
      <c r="D40" s="13" t="str">
        <f>IF($A40&gt;$B$8,"",C40*INDEX(Decrements!$D$6:$D$58,$B$7+$A40-18))</f>
        <v/>
      </c>
      <c r="E40" s="13" t="str">
        <f>IF($A40&gt;$B$8,"",C40*INDEX(Decrements!$E$6:$E$58,$B$7+$A40-18))</f>
        <v/>
      </c>
      <c r="F40" s="13" t="str">
        <f>IF($A40&gt;$B$8,"",IF($A40=$B$8,C40*INDEX(Decrements!$F$6:$F$58,$B$7+$A40-18),0))</f>
        <v/>
      </c>
      <c r="G40" s="25" t="str">
        <f t="shared" si="1"/>
        <v/>
      </c>
      <c r="H40" s="7" t="str">
        <f>IF($A40&gt;$B$8,"",$B$9*(1+Assumptions!$B$9)^$A40)</f>
        <v/>
      </c>
      <c r="I40" s="5" t="str">
        <f t="shared" si="2"/>
        <v/>
      </c>
      <c r="J40" s="7" t="str">
        <f>IF($A40&gt;$B$8,"",MIN(15/26*H40*I40,Assumptions!$B$10))</f>
        <v/>
      </c>
      <c r="K40" s="13" t="str">
        <f>IF($A40&gt;$B$8,"",D40+F40+E40*IF(G40&gt;=Assumptions!$B$11,1,0))</f>
        <v/>
      </c>
      <c r="L40" s="7" t="str">
        <f t="shared" si="3"/>
        <v/>
      </c>
      <c r="M40" s="33" t="str">
        <f t="shared" si="4"/>
        <v/>
      </c>
      <c r="N40" s="13" t="str">
        <f>IF($A40&gt;$B$8,"",(1/(1+Assumptions!$B$8))^$A40)</f>
        <v/>
      </c>
      <c r="O40" s="7" t="str">
        <f t="shared" si="5"/>
        <v/>
      </c>
      <c r="P40" s="7" t="str">
        <f t="shared" si="6"/>
        <v/>
      </c>
    </row>
    <row r="41" spans="1:16" x14ac:dyDescent="0.3">
      <c r="A41" s="5">
        <f t="shared" si="7"/>
        <v>26</v>
      </c>
      <c r="B41" s="5" t="str">
        <f t="shared" si="0"/>
        <v/>
      </c>
      <c r="C41" s="13" t="str">
        <f>IF($A41&gt;$B$8,"",INDEX(Decrements!$G$6:$G$58,$B$7+$A41-18)/INDEX(Decrements!$G$6:$G$58,$B$7-17))</f>
        <v/>
      </c>
      <c r="D41" s="13" t="str">
        <f>IF($A41&gt;$B$8,"",C41*INDEX(Decrements!$D$6:$D$58,$B$7+$A41-18))</f>
        <v/>
      </c>
      <c r="E41" s="13" t="str">
        <f>IF($A41&gt;$B$8,"",C41*INDEX(Decrements!$E$6:$E$58,$B$7+$A41-18))</f>
        <v/>
      </c>
      <c r="F41" s="13" t="str">
        <f>IF($A41&gt;$B$8,"",IF($A41=$B$8,C41*INDEX(Decrements!$F$6:$F$58,$B$7+$A41-18),0))</f>
        <v/>
      </c>
      <c r="G41" s="25" t="str">
        <f t="shared" si="1"/>
        <v/>
      </c>
      <c r="H41" s="7" t="str">
        <f>IF($A41&gt;$B$8,"",$B$9*(1+Assumptions!$B$9)^$A41)</f>
        <v/>
      </c>
      <c r="I41" s="5" t="str">
        <f t="shared" si="2"/>
        <v/>
      </c>
      <c r="J41" s="7" t="str">
        <f>IF($A41&gt;$B$8,"",MIN(15/26*H41*I41,Assumptions!$B$10))</f>
        <v/>
      </c>
      <c r="K41" s="13" t="str">
        <f>IF($A41&gt;$B$8,"",D41+F41+E41*IF(G41&gt;=Assumptions!$B$11,1,0))</f>
        <v/>
      </c>
      <c r="L41" s="7" t="str">
        <f t="shared" si="3"/>
        <v/>
      </c>
      <c r="M41" s="33" t="str">
        <f t="shared" si="4"/>
        <v/>
      </c>
      <c r="N41" s="13" t="str">
        <f>IF($A41&gt;$B$8,"",(1/(1+Assumptions!$B$8))^$A41)</f>
        <v/>
      </c>
      <c r="O41" s="7" t="str">
        <f t="shared" si="5"/>
        <v/>
      </c>
      <c r="P41" s="7" t="str">
        <f t="shared" si="6"/>
        <v/>
      </c>
    </row>
    <row r="42" spans="1:16" x14ac:dyDescent="0.3">
      <c r="A42" s="5">
        <f t="shared" si="7"/>
        <v>27</v>
      </c>
      <c r="B42" s="5" t="str">
        <f t="shared" si="0"/>
        <v/>
      </c>
      <c r="C42" s="13" t="str">
        <f>IF($A42&gt;$B$8,"",INDEX(Decrements!$G$6:$G$58,$B$7+$A42-18)/INDEX(Decrements!$G$6:$G$58,$B$7-17))</f>
        <v/>
      </c>
      <c r="D42" s="13" t="str">
        <f>IF($A42&gt;$B$8,"",C42*INDEX(Decrements!$D$6:$D$58,$B$7+$A42-18))</f>
        <v/>
      </c>
      <c r="E42" s="13" t="str">
        <f>IF($A42&gt;$B$8,"",C42*INDEX(Decrements!$E$6:$E$58,$B$7+$A42-18))</f>
        <v/>
      </c>
      <c r="F42" s="13" t="str">
        <f>IF($A42&gt;$B$8,"",IF($A42=$B$8,C42*INDEX(Decrements!$F$6:$F$58,$B$7+$A42-18),0))</f>
        <v/>
      </c>
      <c r="G42" s="25" t="str">
        <f t="shared" si="1"/>
        <v/>
      </c>
      <c r="H42" s="7" t="str">
        <f>IF($A42&gt;$B$8,"",$B$9*(1+Assumptions!$B$9)^$A42)</f>
        <v/>
      </c>
      <c r="I42" s="5" t="str">
        <f t="shared" si="2"/>
        <v/>
      </c>
      <c r="J42" s="7" t="str">
        <f>IF($A42&gt;$B$8,"",MIN(15/26*H42*I42,Assumptions!$B$10))</f>
        <v/>
      </c>
      <c r="K42" s="13" t="str">
        <f>IF($A42&gt;$B$8,"",D42+F42+E42*IF(G42&gt;=Assumptions!$B$11,1,0))</f>
        <v/>
      </c>
      <c r="L42" s="7" t="str">
        <f t="shared" si="3"/>
        <v/>
      </c>
      <c r="M42" s="33" t="str">
        <f t="shared" si="4"/>
        <v/>
      </c>
      <c r="N42" s="13" t="str">
        <f>IF($A42&gt;$B$8,"",(1/(1+Assumptions!$B$8))^$A42)</f>
        <v/>
      </c>
      <c r="O42" s="7" t="str">
        <f t="shared" si="5"/>
        <v/>
      </c>
      <c r="P42" s="7" t="str">
        <f t="shared" si="6"/>
        <v/>
      </c>
    </row>
    <row r="43" spans="1:16" x14ac:dyDescent="0.3">
      <c r="A43" s="5">
        <f t="shared" si="7"/>
        <v>28</v>
      </c>
      <c r="B43" s="5" t="str">
        <f t="shared" si="0"/>
        <v/>
      </c>
      <c r="C43" s="13" t="str">
        <f>IF($A43&gt;$B$8,"",INDEX(Decrements!$G$6:$G$58,$B$7+$A43-18)/INDEX(Decrements!$G$6:$G$58,$B$7-17))</f>
        <v/>
      </c>
      <c r="D43" s="13" t="str">
        <f>IF($A43&gt;$B$8,"",C43*INDEX(Decrements!$D$6:$D$58,$B$7+$A43-18))</f>
        <v/>
      </c>
      <c r="E43" s="13" t="str">
        <f>IF($A43&gt;$B$8,"",C43*INDEX(Decrements!$E$6:$E$58,$B$7+$A43-18))</f>
        <v/>
      </c>
      <c r="F43" s="13" t="str">
        <f>IF($A43&gt;$B$8,"",IF($A43=$B$8,C43*INDEX(Decrements!$F$6:$F$58,$B$7+$A43-18),0))</f>
        <v/>
      </c>
      <c r="G43" s="25" t="str">
        <f t="shared" si="1"/>
        <v/>
      </c>
      <c r="H43" s="7" t="str">
        <f>IF($A43&gt;$B$8,"",$B$9*(1+Assumptions!$B$9)^$A43)</f>
        <v/>
      </c>
      <c r="I43" s="5" t="str">
        <f t="shared" si="2"/>
        <v/>
      </c>
      <c r="J43" s="7" t="str">
        <f>IF($A43&gt;$B$8,"",MIN(15/26*H43*I43,Assumptions!$B$10))</f>
        <v/>
      </c>
      <c r="K43" s="13" t="str">
        <f>IF($A43&gt;$B$8,"",D43+F43+E43*IF(G43&gt;=Assumptions!$B$11,1,0))</f>
        <v/>
      </c>
      <c r="L43" s="7" t="str">
        <f t="shared" si="3"/>
        <v/>
      </c>
      <c r="M43" s="33" t="str">
        <f t="shared" si="4"/>
        <v/>
      </c>
      <c r="N43" s="13" t="str">
        <f>IF($A43&gt;$B$8,"",(1/(1+Assumptions!$B$8))^$A43)</f>
        <v/>
      </c>
      <c r="O43" s="7" t="str">
        <f t="shared" si="5"/>
        <v/>
      </c>
      <c r="P43" s="7" t="str">
        <f t="shared" si="6"/>
        <v/>
      </c>
    </row>
    <row r="44" spans="1:16" x14ac:dyDescent="0.3">
      <c r="A44" s="5">
        <f t="shared" si="7"/>
        <v>29</v>
      </c>
      <c r="B44" s="5" t="str">
        <f t="shared" si="0"/>
        <v/>
      </c>
      <c r="C44" s="13" t="str">
        <f>IF($A44&gt;$B$8,"",INDEX(Decrements!$G$6:$G$58,$B$7+$A44-18)/INDEX(Decrements!$G$6:$G$58,$B$7-17))</f>
        <v/>
      </c>
      <c r="D44" s="13" t="str">
        <f>IF($A44&gt;$B$8,"",C44*INDEX(Decrements!$D$6:$D$58,$B$7+$A44-18))</f>
        <v/>
      </c>
      <c r="E44" s="13" t="str">
        <f>IF($A44&gt;$B$8,"",C44*INDEX(Decrements!$E$6:$E$58,$B$7+$A44-18))</f>
        <v/>
      </c>
      <c r="F44" s="13" t="str">
        <f>IF($A44&gt;$B$8,"",IF($A44=$B$8,C44*INDEX(Decrements!$F$6:$F$58,$B$7+$A44-18),0))</f>
        <v/>
      </c>
      <c r="G44" s="25" t="str">
        <f t="shared" si="1"/>
        <v/>
      </c>
      <c r="H44" s="7" t="str">
        <f>IF($A44&gt;$B$8,"",$B$9*(1+Assumptions!$B$9)^$A44)</f>
        <v/>
      </c>
      <c r="I44" s="5" t="str">
        <f t="shared" si="2"/>
        <v/>
      </c>
      <c r="J44" s="7" t="str">
        <f>IF($A44&gt;$B$8,"",MIN(15/26*H44*I44,Assumptions!$B$10))</f>
        <v/>
      </c>
      <c r="K44" s="13" t="str">
        <f>IF($A44&gt;$B$8,"",D44+F44+E44*IF(G44&gt;=Assumptions!$B$11,1,0))</f>
        <v/>
      </c>
      <c r="L44" s="7" t="str">
        <f t="shared" si="3"/>
        <v/>
      </c>
      <c r="M44" s="33" t="str">
        <f t="shared" si="4"/>
        <v/>
      </c>
      <c r="N44" s="13" t="str">
        <f>IF($A44&gt;$B$8,"",(1/(1+Assumptions!$B$8))^$A44)</f>
        <v/>
      </c>
      <c r="O44" s="7" t="str">
        <f t="shared" si="5"/>
        <v/>
      </c>
      <c r="P44" s="7" t="str">
        <f t="shared" si="6"/>
        <v/>
      </c>
    </row>
    <row r="45" spans="1:16" x14ac:dyDescent="0.3">
      <c r="A45" s="5">
        <f t="shared" si="7"/>
        <v>30</v>
      </c>
      <c r="B45" s="5" t="str">
        <f t="shared" si="0"/>
        <v/>
      </c>
      <c r="C45" s="13" t="str">
        <f>IF($A45&gt;$B$8,"",INDEX(Decrements!$G$6:$G$58,$B$7+$A45-18)/INDEX(Decrements!$G$6:$G$58,$B$7-17))</f>
        <v/>
      </c>
      <c r="D45" s="13" t="str">
        <f>IF($A45&gt;$B$8,"",C45*INDEX(Decrements!$D$6:$D$58,$B$7+$A45-18))</f>
        <v/>
      </c>
      <c r="E45" s="13" t="str">
        <f>IF($A45&gt;$B$8,"",C45*INDEX(Decrements!$E$6:$E$58,$B$7+$A45-18))</f>
        <v/>
      </c>
      <c r="F45" s="13" t="str">
        <f>IF($A45&gt;$B$8,"",IF($A45=$B$8,C45*INDEX(Decrements!$F$6:$F$58,$B$7+$A45-18),0))</f>
        <v/>
      </c>
      <c r="G45" s="25" t="str">
        <f t="shared" si="1"/>
        <v/>
      </c>
      <c r="H45" s="7" t="str">
        <f>IF($A45&gt;$B$8,"",$B$9*(1+Assumptions!$B$9)^$A45)</f>
        <v/>
      </c>
      <c r="I45" s="5" t="str">
        <f t="shared" si="2"/>
        <v/>
      </c>
      <c r="J45" s="7" t="str">
        <f>IF($A45&gt;$B$8,"",MIN(15/26*H45*I45,Assumptions!$B$10))</f>
        <v/>
      </c>
      <c r="K45" s="13" t="str">
        <f>IF($A45&gt;$B$8,"",D45+F45+E45*IF(G45&gt;=Assumptions!$B$11,1,0))</f>
        <v/>
      </c>
      <c r="L45" s="7" t="str">
        <f t="shared" si="3"/>
        <v/>
      </c>
      <c r="M45" s="33" t="str">
        <f t="shared" si="4"/>
        <v/>
      </c>
      <c r="N45" s="13" t="str">
        <f>IF($A45&gt;$B$8,"",(1/(1+Assumptions!$B$8))^$A45)</f>
        <v/>
      </c>
      <c r="O45" s="7" t="str">
        <f t="shared" si="5"/>
        <v/>
      </c>
      <c r="P45" s="7" t="str">
        <f t="shared" si="6"/>
        <v/>
      </c>
    </row>
    <row r="46" spans="1:16" x14ac:dyDescent="0.3">
      <c r="A46" s="5">
        <f t="shared" si="7"/>
        <v>31</v>
      </c>
      <c r="B46" s="5" t="str">
        <f t="shared" si="0"/>
        <v/>
      </c>
      <c r="C46" s="13" t="str">
        <f>IF($A46&gt;$B$8,"",INDEX(Decrements!$G$6:$G$58,$B$7+$A46-18)/INDEX(Decrements!$G$6:$G$58,$B$7-17))</f>
        <v/>
      </c>
      <c r="D46" s="13" t="str">
        <f>IF($A46&gt;$B$8,"",C46*INDEX(Decrements!$D$6:$D$58,$B$7+$A46-18))</f>
        <v/>
      </c>
      <c r="E46" s="13" t="str">
        <f>IF($A46&gt;$B$8,"",C46*INDEX(Decrements!$E$6:$E$58,$B$7+$A46-18))</f>
        <v/>
      </c>
      <c r="F46" s="13" t="str">
        <f>IF($A46&gt;$B$8,"",IF($A46=$B$8,C46*INDEX(Decrements!$F$6:$F$58,$B$7+$A46-18),0))</f>
        <v/>
      </c>
      <c r="G46" s="25" t="str">
        <f t="shared" si="1"/>
        <v/>
      </c>
      <c r="H46" s="7" t="str">
        <f>IF($A46&gt;$B$8,"",$B$9*(1+Assumptions!$B$9)^$A46)</f>
        <v/>
      </c>
      <c r="I46" s="5" t="str">
        <f t="shared" si="2"/>
        <v/>
      </c>
      <c r="J46" s="7" t="str">
        <f>IF($A46&gt;$B$8,"",MIN(15/26*H46*I46,Assumptions!$B$10))</f>
        <v/>
      </c>
      <c r="K46" s="13" t="str">
        <f>IF($A46&gt;$B$8,"",D46+F46+E46*IF(G46&gt;=Assumptions!$B$11,1,0))</f>
        <v/>
      </c>
      <c r="L46" s="7" t="str">
        <f t="shared" si="3"/>
        <v/>
      </c>
      <c r="M46" s="33" t="str">
        <f t="shared" si="4"/>
        <v/>
      </c>
      <c r="N46" s="13" t="str">
        <f>IF($A46&gt;$B$8,"",(1/(1+Assumptions!$B$8))^$A46)</f>
        <v/>
      </c>
      <c r="O46" s="7" t="str">
        <f t="shared" si="5"/>
        <v/>
      </c>
      <c r="P46" s="7" t="str">
        <f t="shared" si="6"/>
        <v/>
      </c>
    </row>
    <row r="47" spans="1:16" x14ac:dyDescent="0.3">
      <c r="A47" s="5">
        <f t="shared" si="7"/>
        <v>32</v>
      </c>
      <c r="B47" s="5" t="str">
        <f t="shared" si="0"/>
        <v/>
      </c>
      <c r="C47" s="13" t="str">
        <f>IF($A47&gt;$B$8,"",INDEX(Decrements!$G$6:$G$58,$B$7+$A47-18)/INDEX(Decrements!$G$6:$G$58,$B$7-17))</f>
        <v/>
      </c>
      <c r="D47" s="13" t="str">
        <f>IF($A47&gt;$B$8,"",C47*INDEX(Decrements!$D$6:$D$58,$B$7+$A47-18))</f>
        <v/>
      </c>
      <c r="E47" s="13" t="str">
        <f>IF($A47&gt;$B$8,"",C47*INDEX(Decrements!$E$6:$E$58,$B$7+$A47-18))</f>
        <v/>
      </c>
      <c r="F47" s="13" t="str">
        <f>IF($A47&gt;$B$8,"",IF($A47=$B$8,C47*INDEX(Decrements!$F$6:$F$58,$B$7+$A47-18),0))</f>
        <v/>
      </c>
      <c r="G47" s="25" t="str">
        <f t="shared" si="1"/>
        <v/>
      </c>
      <c r="H47" s="7" t="str">
        <f>IF($A47&gt;$B$8,"",$B$9*(1+Assumptions!$B$9)^$A47)</f>
        <v/>
      </c>
      <c r="I47" s="5" t="str">
        <f t="shared" si="2"/>
        <v/>
      </c>
      <c r="J47" s="7" t="str">
        <f>IF($A47&gt;$B$8,"",MIN(15/26*H47*I47,Assumptions!$B$10))</f>
        <v/>
      </c>
      <c r="K47" s="13" t="str">
        <f>IF($A47&gt;$B$8,"",D47+F47+E47*IF(G47&gt;=Assumptions!$B$11,1,0))</f>
        <v/>
      </c>
      <c r="L47" s="7" t="str">
        <f t="shared" si="3"/>
        <v/>
      </c>
      <c r="M47" s="33" t="str">
        <f t="shared" si="4"/>
        <v/>
      </c>
      <c r="N47" s="13" t="str">
        <f>IF($A47&gt;$B$8,"",(1/(1+Assumptions!$B$8))^$A47)</f>
        <v/>
      </c>
      <c r="O47" s="7" t="str">
        <f t="shared" si="5"/>
        <v/>
      </c>
      <c r="P47" s="7" t="str">
        <f t="shared" si="6"/>
        <v/>
      </c>
    </row>
    <row r="48" spans="1:16" x14ac:dyDescent="0.3">
      <c r="A48" s="5">
        <f t="shared" si="7"/>
        <v>33</v>
      </c>
      <c r="B48" s="5" t="str">
        <f t="shared" si="0"/>
        <v/>
      </c>
      <c r="C48" s="13" t="str">
        <f>IF($A48&gt;$B$8,"",INDEX(Decrements!$G$6:$G$58,$B$7+$A48-18)/INDEX(Decrements!$G$6:$G$58,$B$7-17))</f>
        <v/>
      </c>
      <c r="D48" s="13" t="str">
        <f>IF($A48&gt;$B$8,"",C48*INDEX(Decrements!$D$6:$D$58,$B$7+$A48-18))</f>
        <v/>
      </c>
      <c r="E48" s="13" t="str">
        <f>IF($A48&gt;$B$8,"",C48*INDEX(Decrements!$E$6:$E$58,$B$7+$A48-18))</f>
        <v/>
      </c>
      <c r="F48" s="13" t="str">
        <f>IF($A48&gt;$B$8,"",IF($A48=$B$8,C48*INDEX(Decrements!$F$6:$F$58,$B$7+$A48-18),0))</f>
        <v/>
      </c>
      <c r="G48" s="25" t="str">
        <f t="shared" si="1"/>
        <v/>
      </c>
      <c r="H48" s="7" t="str">
        <f>IF($A48&gt;$B$8,"",$B$9*(1+Assumptions!$B$9)^$A48)</f>
        <v/>
      </c>
      <c r="I48" s="5" t="str">
        <f t="shared" si="2"/>
        <v/>
      </c>
      <c r="J48" s="7" t="str">
        <f>IF($A48&gt;$B$8,"",MIN(15/26*H48*I48,Assumptions!$B$10))</f>
        <v/>
      </c>
      <c r="K48" s="13" t="str">
        <f>IF($A48&gt;$B$8,"",D48+F48+E48*IF(G48&gt;=Assumptions!$B$11,1,0))</f>
        <v/>
      </c>
      <c r="L48" s="7" t="str">
        <f t="shared" si="3"/>
        <v/>
      </c>
      <c r="M48" s="33" t="str">
        <f t="shared" si="4"/>
        <v/>
      </c>
      <c r="N48" s="13" t="str">
        <f>IF($A48&gt;$B$8,"",(1/(1+Assumptions!$B$8))^$A48)</f>
        <v/>
      </c>
      <c r="O48" s="7" t="str">
        <f t="shared" si="5"/>
        <v/>
      </c>
      <c r="P48" s="7" t="str">
        <f t="shared" si="6"/>
        <v/>
      </c>
    </row>
    <row r="49" spans="1:16" x14ac:dyDescent="0.3">
      <c r="A49" s="5">
        <f t="shared" si="7"/>
        <v>34</v>
      </c>
      <c r="B49" s="5" t="str">
        <f t="shared" si="0"/>
        <v/>
      </c>
      <c r="C49" s="13" t="str">
        <f>IF($A49&gt;$B$8,"",INDEX(Decrements!$G$6:$G$58,$B$7+$A49-18)/INDEX(Decrements!$G$6:$G$58,$B$7-17))</f>
        <v/>
      </c>
      <c r="D49" s="13" t="str">
        <f>IF($A49&gt;$B$8,"",C49*INDEX(Decrements!$D$6:$D$58,$B$7+$A49-18))</f>
        <v/>
      </c>
      <c r="E49" s="13" t="str">
        <f>IF($A49&gt;$B$8,"",C49*INDEX(Decrements!$E$6:$E$58,$B$7+$A49-18))</f>
        <v/>
      </c>
      <c r="F49" s="13" t="str">
        <f>IF($A49&gt;$B$8,"",IF($A49=$B$8,C49*INDEX(Decrements!$F$6:$F$58,$B$7+$A49-18),0))</f>
        <v/>
      </c>
      <c r="G49" s="25" t="str">
        <f t="shared" si="1"/>
        <v/>
      </c>
      <c r="H49" s="7" t="str">
        <f>IF($A49&gt;$B$8,"",$B$9*(1+Assumptions!$B$9)^$A49)</f>
        <v/>
      </c>
      <c r="I49" s="5" t="str">
        <f t="shared" si="2"/>
        <v/>
      </c>
      <c r="J49" s="7" t="str">
        <f>IF($A49&gt;$B$8,"",MIN(15/26*H49*I49,Assumptions!$B$10))</f>
        <v/>
      </c>
      <c r="K49" s="13" t="str">
        <f>IF($A49&gt;$B$8,"",D49+F49+E49*IF(G49&gt;=Assumptions!$B$11,1,0))</f>
        <v/>
      </c>
      <c r="L49" s="7" t="str">
        <f t="shared" si="3"/>
        <v/>
      </c>
      <c r="M49" s="33" t="str">
        <f t="shared" si="4"/>
        <v/>
      </c>
      <c r="N49" s="13" t="str">
        <f>IF($A49&gt;$B$8,"",(1/(1+Assumptions!$B$8))^$A49)</f>
        <v/>
      </c>
      <c r="O49" s="7" t="str">
        <f t="shared" si="5"/>
        <v/>
      </c>
      <c r="P49" s="7" t="str">
        <f t="shared" si="6"/>
        <v/>
      </c>
    </row>
    <row r="50" spans="1:16" x14ac:dyDescent="0.3">
      <c r="A50" s="5">
        <f t="shared" si="7"/>
        <v>35</v>
      </c>
      <c r="B50" s="5" t="str">
        <f t="shared" si="0"/>
        <v/>
      </c>
      <c r="C50" s="13" t="str">
        <f>IF($A50&gt;$B$8,"",INDEX(Decrements!$G$6:$G$58,$B$7+$A50-18)/INDEX(Decrements!$G$6:$G$58,$B$7-17))</f>
        <v/>
      </c>
      <c r="D50" s="13" t="str">
        <f>IF($A50&gt;$B$8,"",C50*INDEX(Decrements!$D$6:$D$58,$B$7+$A50-18))</f>
        <v/>
      </c>
      <c r="E50" s="13" t="str">
        <f>IF($A50&gt;$B$8,"",C50*INDEX(Decrements!$E$6:$E$58,$B$7+$A50-18))</f>
        <v/>
      </c>
      <c r="F50" s="13" t="str">
        <f>IF($A50&gt;$B$8,"",IF($A50=$B$8,C50*INDEX(Decrements!$F$6:$F$58,$B$7+$A50-18),0))</f>
        <v/>
      </c>
      <c r="G50" s="25" t="str">
        <f t="shared" si="1"/>
        <v/>
      </c>
      <c r="H50" s="7" t="str">
        <f>IF($A50&gt;$B$8,"",$B$9*(1+Assumptions!$B$9)^$A50)</f>
        <v/>
      </c>
      <c r="I50" s="5" t="str">
        <f t="shared" si="2"/>
        <v/>
      </c>
      <c r="J50" s="7" t="str">
        <f>IF($A50&gt;$B$8,"",MIN(15/26*H50*I50,Assumptions!$B$10))</f>
        <v/>
      </c>
      <c r="K50" s="13" t="str">
        <f>IF($A50&gt;$B$8,"",D50+F50+E50*IF(G50&gt;=Assumptions!$B$11,1,0))</f>
        <v/>
      </c>
      <c r="L50" s="7" t="str">
        <f t="shared" si="3"/>
        <v/>
      </c>
      <c r="M50" s="33" t="str">
        <f t="shared" si="4"/>
        <v/>
      </c>
      <c r="N50" s="13" t="str">
        <f>IF($A50&gt;$B$8,"",(1/(1+Assumptions!$B$8))^$A50)</f>
        <v/>
      </c>
      <c r="O50" s="7" t="str">
        <f t="shared" si="5"/>
        <v/>
      </c>
      <c r="P50" s="7" t="str">
        <f t="shared" si="6"/>
        <v/>
      </c>
    </row>
    <row r="51" spans="1:16" x14ac:dyDescent="0.3">
      <c r="A51" s="5">
        <f t="shared" si="7"/>
        <v>36</v>
      </c>
      <c r="B51" s="5" t="str">
        <f t="shared" si="0"/>
        <v/>
      </c>
      <c r="C51" s="13" t="str">
        <f>IF($A51&gt;$B$8,"",INDEX(Decrements!$G$6:$G$58,$B$7+$A51-18)/INDEX(Decrements!$G$6:$G$58,$B$7-17))</f>
        <v/>
      </c>
      <c r="D51" s="13" t="str">
        <f>IF($A51&gt;$B$8,"",C51*INDEX(Decrements!$D$6:$D$58,$B$7+$A51-18))</f>
        <v/>
      </c>
      <c r="E51" s="13" t="str">
        <f>IF($A51&gt;$B$8,"",C51*INDEX(Decrements!$E$6:$E$58,$B$7+$A51-18))</f>
        <v/>
      </c>
      <c r="F51" s="13" t="str">
        <f>IF($A51&gt;$B$8,"",IF($A51=$B$8,C51*INDEX(Decrements!$F$6:$F$58,$B$7+$A51-18),0))</f>
        <v/>
      </c>
      <c r="G51" s="25" t="str">
        <f t="shared" si="1"/>
        <v/>
      </c>
      <c r="H51" s="7" t="str">
        <f>IF($A51&gt;$B$8,"",$B$9*(1+Assumptions!$B$9)^$A51)</f>
        <v/>
      </c>
      <c r="I51" s="5" t="str">
        <f t="shared" si="2"/>
        <v/>
      </c>
      <c r="J51" s="7" t="str">
        <f>IF($A51&gt;$B$8,"",MIN(15/26*H51*I51,Assumptions!$B$10))</f>
        <v/>
      </c>
      <c r="K51" s="13" t="str">
        <f>IF($A51&gt;$B$8,"",D51+F51+E51*IF(G51&gt;=Assumptions!$B$11,1,0))</f>
        <v/>
      </c>
      <c r="L51" s="7" t="str">
        <f t="shared" si="3"/>
        <v/>
      </c>
      <c r="M51" s="33" t="str">
        <f t="shared" si="4"/>
        <v/>
      </c>
      <c r="N51" s="13" t="str">
        <f>IF($A51&gt;$B$8,"",(1/(1+Assumptions!$B$8))^$A51)</f>
        <v/>
      </c>
      <c r="O51" s="7" t="str">
        <f t="shared" si="5"/>
        <v/>
      </c>
      <c r="P51" s="7" t="str">
        <f t="shared" si="6"/>
        <v/>
      </c>
    </row>
    <row r="52" spans="1:16" x14ac:dyDescent="0.3">
      <c r="A52" s="5">
        <f t="shared" si="7"/>
        <v>37</v>
      </c>
      <c r="B52" s="5" t="str">
        <f t="shared" si="0"/>
        <v/>
      </c>
      <c r="C52" s="13" t="str">
        <f>IF($A52&gt;$B$8,"",INDEX(Decrements!$G$6:$G$58,$B$7+$A52-18)/INDEX(Decrements!$G$6:$G$58,$B$7-17))</f>
        <v/>
      </c>
      <c r="D52" s="13" t="str">
        <f>IF($A52&gt;$B$8,"",C52*INDEX(Decrements!$D$6:$D$58,$B$7+$A52-18))</f>
        <v/>
      </c>
      <c r="E52" s="13" t="str">
        <f>IF($A52&gt;$B$8,"",C52*INDEX(Decrements!$E$6:$E$58,$B$7+$A52-18))</f>
        <v/>
      </c>
      <c r="F52" s="13" t="str">
        <f>IF($A52&gt;$B$8,"",IF($A52=$B$8,C52*INDEX(Decrements!$F$6:$F$58,$B$7+$A52-18),0))</f>
        <v/>
      </c>
      <c r="G52" s="25" t="str">
        <f t="shared" si="1"/>
        <v/>
      </c>
      <c r="H52" s="7" t="str">
        <f>IF($A52&gt;$B$8,"",$B$9*(1+Assumptions!$B$9)^$A52)</f>
        <v/>
      </c>
      <c r="I52" s="5" t="str">
        <f t="shared" si="2"/>
        <v/>
      </c>
      <c r="J52" s="7" t="str">
        <f>IF($A52&gt;$B$8,"",MIN(15/26*H52*I52,Assumptions!$B$10))</f>
        <v/>
      </c>
      <c r="K52" s="13" t="str">
        <f>IF($A52&gt;$B$8,"",D52+F52+E52*IF(G52&gt;=Assumptions!$B$11,1,0))</f>
        <v/>
      </c>
      <c r="L52" s="7" t="str">
        <f t="shared" si="3"/>
        <v/>
      </c>
      <c r="M52" s="33" t="str">
        <f t="shared" si="4"/>
        <v/>
      </c>
      <c r="N52" s="13" t="str">
        <f>IF($A52&gt;$B$8,"",(1/(1+Assumptions!$B$8))^$A52)</f>
        <v/>
      </c>
      <c r="O52" s="7" t="str">
        <f t="shared" si="5"/>
        <v/>
      </c>
      <c r="P52" s="7" t="str">
        <f t="shared" si="6"/>
        <v/>
      </c>
    </row>
    <row r="53" spans="1:16" x14ac:dyDescent="0.3">
      <c r="A53" s="5">
        <f t="shared" si="7"/>
        <v>38</v>
      </c>
      <c r="B53" s="5" t="str">
        <f t="shared" si="0"/>
        <v/>
      </c>
      <c r="C53" s="13" t="str">
        <f>IF($A53&gt;$B$8,"",INDEX(Decrements!$G$6:$G$58,$B$7+$A53-18)/INDEX(Decrements!$G$6:$G$58,$B$7-17))</f>
        <v/>
      </c>
      <c r="D53" s="13" t="str">
        <f>IF($A53&gt;$B$8,"",C53*INDEX(Decrements!$D$6:$D$58,$B$7+$A53-18))</f>
        <v/>
      </c>
      <c r="E53" s="13" t="str">
        <f>IF($A53&gt;$B$8,"",C53*INDEX(Decrements!$E$6:$E$58,$B$7+$A53-18))</f>
        <v/>
      </c>
      <c r="F53" s="13" t="str">
        <f>IF($A53&gt;$B$8,"",IF($A53=$B$8,C53*INDEX(Decrements!$F$6:$F$58,$B$7+$A53-18),0))</f>
        <v/>
      </c>
      <c r="G53" s="25" t="str">
        <f t="shared" si="1"/>
        <v/>
      </c>
      <c r="H53" s="7" t="str">
        <f>IF($A53&gt;$B$8,"",$B$9*(1+Assumptions!$B$9)^$A53)</f>
        <v/>
      </c>
      <c r="I53" s="5" t="str">
        <f t="shared" si="2"/>
        <v/>
      </c>
      <c r="J53" s="7" t="str">
        <f>IF($A53&gt;$B$8,"",MIN(15/26*H53*I53,Assumptions!$B$10))</f>
        <v/>
      </c>
      <c r="K53" s="13" t="str">
        <f>IF($A53&gt;$B$8,"",D53+F53+E53*IF(G53&gt;=Assumptions!$B$11,1,0))</f>
        <v/>
      </c>
      <c r="L53" s="7" t="str">
        <f t="shared" si="3"/>
        <v/>
      </c>
      <c r="M53" s="33" t="str">
        <f t="shared" si="4"/>
        <v/>
      </c>
      <c r="N53" s="13" t="str">
        <f>IF($A53&gt;$B$8,"",(1/(1+Assumptions!$B$8))^$A53)</f>
        <v/>
      </c>
      <c r="O53" s="7" t="str">
        <f t="shared" si="5"/>
        <v/>
      </c>
      <c r="P53" s="7" t="str">
        <f t="shared" si="6"/>
        <v/>
      </c>
    </row>
    <row r="54" spans="1:16" x14ac:dyDescent="0.3">
      <c r="A54" s="5">
        <f t="shared" si="7"/>
        <v>39</v>
      </c>
      <c r="B54" s="5" t="str">
        <f t="shared" si="0"/>
        <v/>
      </c>
      <c r="C54" s="13" t="str">
        <f>IF($A54&gt;$B$8,"",INDEX(Decrements!$G$6:$G$58,$B$7+$A54-18)/INDEX(Decrements!$G$6:$G$58,$B$7-17))</f>
        <v/>
      </c>
      <c r="D54" s="13" t="str">
        <f>IF($A54&gt;$B$8,"",C54*INDEX(Decrements!$D$6:$D$58,$B$7+$A54-18))</f>
        <v/>
      </c>
      <c r="E54" s="13" t="str">
        <f>IF($A54&gt;$B$8,"",C54*INDEX(Decrements!$E$6:$E$58,$B$7+$A54-18))</f>
        <v/>
      </c>
      <c r="F54" s="13" t="str">
        <f>IF($A54&gt;$B$8,"",IF($A54=$B$8,C54*INDEX(Decrements!$F$6:$F$58,$B$7+$A54-18),0))</f>
        <v/>
      </c>
      <c r="G54" s="25" t="str">
        <f t="shared" si="1"/>
        <v/>
      </c>
      <c r="H54" s="7" t="str">
        <f>IF($A54&gt;$B$8,"",$B$9*(1+Assumptions!$B$9)^$A54)</f>
        <v/>
      </c>
      <c r="I54" s="5" t="str">
        <f t="shared" si="2"/>
        <v/>
      </c>
      <c r="J54" s="7" t="str">
        <f>IF($A54&gt;$B$8,"",MIN(15/26*H54*I54,Assumptions!$B$10))</f>
        <v/>
      </c>
      <c r="K54" s="13" t="str">
        <f>IF($A54&gt;$B$8,"",D54+F54+E54*IF(G54&gt;=Assumptions!$B$11,1,0))</f>
        <v/>
      </c>
      <c r="L54" s="7" t="str">
        <f t="shared" si="3"/>
        <v/>
      </c>
      <c r="M54" s="33" t="str">
        <f t="shared" si="4"/>
        <v/>
      </c>
      <c r="N54" s="13" t="str">
        <f>IF($A54&gt;$B$8,"",(1/(1+Assumptions!$B$8))^$A54)</f>
        <v/>
      </c>
      <c r="O54" s="7" t="str">
        <f t="shared" si="5"/>
        <v/>
      </c>
      <c r="P54" s="7" t="str">
        <f t="shared" si="6"/>
        <v/>
      </c>
    </row>
    <row r="55" spans="1:16" x14ac:dyDescent="0.3">
      <c r="A55" s="5">
        <f t="shared" si="7"/>
        <v>40</v>
      </c>
      <c r="B55" s="5" t="str">
        <f t="shared" si="0"/>
        <v/>
      </c>
      <c r="C55" s="13" t="str">
        <f>IF($A55&gt;$B$8,"",INDEX(Decrements!$G$6:$G$58,$B$7+$A55-18)/INDEX(Decrements!$G$6:$G$58,$B$7-17))</f>
        <v/>
      </c>
      <c r="D55" s="13" t="str">
        <f>IF($A55&gt;$B$8,"",C55*INDEX(Decrements!$D$6:$D$58,$B$7+$A55-18))</f>
        <v/>
      </c>
      <c r="E55" s="13" t="str">
        <f>IF($A55&gt;$B$8,"",C55*INDEX(Decrements!$E$6:$E$58,$B$7+$A55-18))</f>
        <v/>
      </c>
      <c r="F55" s="13" t="str">
        <f>IF($A55&gt;$B$8,"",IF($A55=$B$8,C55*INDEX(Decrements!$F$6:$F$58,$B$7+$A55-18),0))</f>
        <v/>
      </c>
      <c r="G55" s="25" t="str">
        <f t="shared" si="1"/>
        <v/>
      </c>
      <c r="H55" s="7" t="str">
        <f>IF($A55&gt;$B$8,"",$B$9*(1+Assumptions!$B$9)^$A55)</f>
        <v/>
      </c>
      <c r="I55" s="5" t="str">
        <f t="shared" si="2"/>
        <v/>
      </c>
      <c r="J55" s="7" t="str">
        <f>IF($A55&gt;$B$8,"",MIN(15/26*H55*I55,Assumptions!$B$10))</f>
        <v/>
      </c>
      <c r="K55" s="13" t="str">
        <f>IF($A55&gt;$B$8,"",D55+F55+E55*IF(G55&gt;=Assumptions!$B$11,1,0))</f>
        <v/>
      </c>
      <c r="L55" s="7" t="str">
        <f t="shared" si="3"/>
        <v/>
      </c>
      <c r="M55" s="33" t="str">
        <f t="shared" si="4"/>
        <v/>
      </c>
      <c r="N55" s="13" t="str">
        <f>IF($A55&gt;$B$8,"",(1/(1+Assumptions!$B$8))^$A55)</f>
        <v/>
      </c>
      <c r="O55" s="7" t="str">
        <f t="shared" si="5"/>
        <v/>
      </c>
      <c r="P55" s="7" t="str">
        <f t="shared" si="6"/>
        <v/>
      </c>
    </row>
    <row r="56" spans="1:16" x14ac:dyDescent="0.3">
      <c r="A56" s="5">
        <f t="shared" si="7"/>
        <v>41</v>
      </c>
      <c r="B56" s="5" t="str">
        <f t="shared" si="0"/>
        <v/>
      </c>
      <c r="C56" s="13" t="str">
        <f>IF($A56&gt;$B$8,"",INDEX(Decrements!$G$6:$G$58,$B$7+$A56-18)/INDEX(Decrements!$G$6:$G$58,$B$7-17))</f>
        <v/>
      </c>
      <c r="D56" s="13" t="str">
        <f>IF($A56&gt;$B$8,"",C56*INDEX(Decrements!$D$6:$D$58,$B$7+$A56-18))</f>
        <v/>
      </c>
      <c r="E56" s="13" t="str">
        <f>IF($A56&gt;$B$8,"",C56*INDEX(Decrements!$E$6:$E$58,$B$7+$A56-18))</f>
        <v/>
      </c>
      <c r="F56" s="13" t="str">
        <f>IF($A56&gt;$B$8,"",IF($A56=$B$8,C56*INDEX(Decrements!$F$6:$F$58,$B$7+$A56-18),0))</f>
        <v/>
      </c>
      <c r="G56" s="25" t="str">
        <f t="shared" si="1"/>
        <v/>
      </c>
      <c r="H56" s="7" t="str">
        <f>IF($A56&gt;$B$8,"",$B$9*(1+Assumptions!$B$9)^$A56)</f>
        <v/>
      </c>
      <c r="I56" s="5" t="str">
        <f t="shared" si="2"/>
        <v/>
      </c>
      <c r="J56" s="7" t="str">
        <f>IF($A56&gt;$B$8,"",MIN(15/26*H56*I56,Assumptions!$B$10))</f>
        <v/>
      </c>
      <c r="K56" s="13" t="str">
        <f>IF($A56&gt;$B$8,"",D56+F56+E56*IF(G56&gt;=Assumptions!$B$11,1,0))</f>
        <v/>
      </c>
      <c r="L56" s="7" t="str">
        <f t="shared" si="3"/>
        <v/>
      </c>
      <c r="M56" s="33" t="str">
        <f t="shared" si="4"/>
        <v/>
      </c>
      <c r="N56" s="13" t="str">
        <f>IF($A56&gt;$B$8,"",(1/(1+Assumptions!$B$8))^$A56)</f>
        <v/>
      </c>
      <c r="O56" s="7" t="str">
        <f t="shared" si="5"/>
        <v/>
      </c>
      <c r="P56" s="7" t="str">
        <f t="shared" si="6"/>
        <v/>
      </c>
    </row>
    <row r="57" spans="1:16" x14ac:dyDescent="0.3">
      <c r="A57" s="5">
        <f t="shared" si="7"/>
        <v>42</v>
      </c>
      <c r="B57" s="5" t="str">
        <f t="shared" si="0"/>
        <v/>
      </c>
      <c r="C57" s="13" t="str">
        <f>IF($A57&gt;$B$8,"",INDEX(Decrements!$G$6:$G$58,$B$7+$A57-18)/INDEX(Decrements!$G$6:$G$58,$B$7-17))</f>
        <v/>
      </c>
      <c r="D57" s="13" t="str">
        <f>IF($A57&gt;$B$8,"",C57*INDEX(Decrements!$D$6:$D$58,$B$7+$A57-18))</f>
        <v/>
      </c>
      <c r="E57" s="13" t="str">
        <f>IF($A57&gt;$B$8,"",C57*INDEX(Decrements!$E$6:$E$58,$B$7+$A57-18))</f>
        <v/>
      </c>
      <c r="F57" s="13" t="str">
        <f>IF($A57&gt;$B$8,"",IF($A57=$B$8,C57*INDEX(Decrements!$F$6:$F$58,$B$7+$A57-18),0))</f>
        <v/>
      </c>
      <c r="G57" s="25" t="str">
        <f t="shared" si="1"/>
        <v/>
      </c>
      <c r="H57" s="7" t="str">
        <f>IF($A57&gt;$B$8,"",$B$9*(1+Assumptions!$B$9)^$A57)</f>
        <v/>
      </c>
      <c r="I57" s="5" t="str">
        <f t="shared" si="2"/>
        <v/>
      </c>
      <c r="J57" s="7" t="str">
        <f>IF($A57&gt;$B$8,"",MIN(15/26*H57*I57,Assumptions!$B$10))</f>
        <v/>
      </c>
      <c r="K57" s="13" t="str">
        <f>IF($A57&gt;$B$8,"",D57+F57+E57*IF(G57&gt;=Assumptions!$B$11,1,0))</f>
        <v/>
      </c>
      <c r="L57" s="7" t="str">
        <f t="shared" si="3"/>
        <v/>
      </c>
      <c r="M57" s="33" t="str">
        <f t="shared" si="4"/>
        <v/>
      </c>
      <c r="N57" s="13" t="str">
        <f>IF($A57&gt;$B$8,"",(1/(1+Assumptions!$B$8))^$A57)</f>
        <v/>
      </c>
      <c r="O57" s="7" t="str">
        <f t="shared" si="5"/>
        <v/>
      </c>
      <c r="P57" s="7" t="str">
        <f t="shared" si="6"/>
        <v/>
      </c>
    </row>
    <row r="58" spans="1:16" x14ac:dyDescent="0.3">
      <c r="A58" s="5">
        <f t="shared" si="7"/>
        <v>43</v>
      </c>
      <c r="B58" s="5" t="str">
        <f t="shared" si="0"/>
        <v/>
      </c>
      <c r="C58" s="13" t="str">
        <f>IF($A58&gt;$B$8,"",INDEX(Decrements!$G$6:$G$58,$B$7+$A58-18)/INDEX(Decrements!$G$6:$G$58,$B$7-17))</f>
        <v/>
      </c>
      <c r="D58" s="13" t="str">
        <f>IF($A58&gt;$B$8,"",C58*INDEX(Decrements!$D$6:$D$58,$B$7+$A58-18))</f>
        <v/>
      </c>
      <c r="E58" s="13" t="str">
        <f>IF($A58&gt;$B$8,"",C58*INDEX(Decrements!$E$6:$E$58,$B$7+$A58-18))</f>
        <v/>
      </c>
      <c r="F58" s="13" t="str">
        <f>IF($A58&gt;$B$8,"",IF($A58=$B$8,C58*INDEX(Decrements!$F$6:$F$58,$B$7+$A58-18),0))</f>
        <v/>
      </c>
      <c r="G58" s="25" t="str">
        <f t="shared" si="1"/>
        <v/>
      </c>
      <c r="H58" s="7" t="str">
        <f>IF($A58&gt;$B$8,"",$B$9*(1+Assumptions!$B$9)^$A58)</f>
        <v/>
      </c>
      <c r="I58" s="5" t="str">
        <f t="shared" si="2"/>
        <v/>
      </c>
      <c r="J58" s="7" t="str">
        <f>IF($A58&gt;$B$8,"",MIN(15/26*H58*I58,Assumptions!$B$10))</f>
        <v/>
      </c>
      <c r="K58" s="13" t="str">
        <f>IF($A58&gt;$B$8,"",D58+F58+E58*IF(G58&gt;=Assumptions!$B$11,1,0))</f>
        <v/>
      </c>
      <c r="L58" s="7" t="str">
        <f t="shared" si="3"/>
        <v/>
      </c>
      <c r="M58" s="33" t="str">
        <f t="shared" si="4"/>
        <v/>
      </c>
      <c r="N58" s="13" t="str">
        <f>IF($A58&gt;$B$8,"",(1/(1+Assumptions!$B$8))^$A58)</f>
        <v/>
      </c>
      <c r="O58" s="7" t="str">
        <f t="shared" si="5"/>
        <v/>
      </c>
      <c r="P58" s="7" t="str">
        <f t="shared" si="6"/>
        <v/>
      </c>
    </row>
    <row r="59" spans="1:16" x14ac:dyDescent="0.3">
      <c r="A59" s="5">
        <f t="shared" si="7"/>
        <v>44</v>
      </c>
      <c r="B59" s="5" t="str">
        <f t="shared" si="0"/>
        <v/>
      </c>
      <c r="C59" s="13" t="str">
        <f>IF($A59&gt;$B$8,"",INDEX(Decrements!$G$6:$G$58,$B$7+$A59-18)/INDEX(Decrements!$G$6:$G$58,$B$7-17))</f>
        <v/>
      </c>
      <c r="D59" s="13" t="str">
        <f>IF($A59&gt;$B$8,"",C59*INDEX(Decrements!$D$6:$D$58,$B$7+$A59-18))</f>
        <v/>
      </c>
      <c r="E59" s="13" t="str">
        <f>IF($A59&gt;$B$8,"",C59*INDEX(Decrements!$E$6:$E$58,$B$7+$A59-18))</f>
        <v/>
      </c>
      <c r="F59" s="13" t="str">
        <f>IF($A59&gt;$B$8,"",IF($A59=$B$8,C59*INDEX(Decrements!$F$6:$F$58,$B$7+$A59-18),0))</f>
        <v/>
      </c>
      <c r="G59" s="25" t="str">
        <f t="shared" si="1"/>
        <v/>
      </c>
      <c r="H59" s="7" t="str">
        <f>IF($A59&gt;$B$8,"",$B$9*(1+Assumptions!$B$9)^$A59)</f>
        <v/>
      </c>
      <c r="I59" s="5" t="str">
        <f t="shared" si="2"/>
        <v/>
      </c>
      <c r="J59" s="7" t="str">
        <f>IF($A59&gt;$B$8,"",MIN(15/26*H59*I59,Assumptions!$B$10))</f>
        <v/>
      </c>
      <c r="K59" s="13" t="str">
        <f>IF($A59&gt;$B$8,"",D59+F59+E59*IF(G59&gt;=Assumptions!$B$11,1,0))</f>
        <v/>
      </c>
      <c r="L59" s="7" t="str">
        <f t="shared" si="3"/>
        <v/>
      </c>
      <c r="M59" s="33" t="str">
        <f t="shared" si="4"/>
        <v/>
      </c>
      <c r="N59" s="13" t="str">
        <f>IF($A59&gt;$B$8,"",(1/(1+Assumptions!$B$8))^$A59)</f>
        <v/>
      </c>
      <c r="O59" s="7" t="str">
        <f t="shared" si="5"/>
        <v/>
      </c>
      <c r="P59" s="7" t="str">
        <f t="shared" si="6"/>
        <v/>
      </c>
    </row>
    <row r="60" spans="1:16" x14ac:dyDescent="0.3">
      <c r="A60" s="5">
        <f t="shared" si="7"/>
        <v>45</v>
      </c>
      <c r="B60" s="5" t="str">
        <f t="shared" si="0"/>
        <v/>
      </c>
      <c r="C60" s="13" t="str">
        <f>IF($A60&gt;$B$8,"",INDEX(Decrements!$G$6:$G$58,$B$7+$A60-18)/INDEX(Decrements!$G$6:$G$58,$B$7-17))</f>
        <v/>
      </c>
      <c r="D60" s="13" t="str">
        <f>IF($A60&gt;$B$8,"",C60*INDEX(Decrements!$D$6:$D$58,$B$7+$A60-18))</f>
        <v/>
      </c>
      <c r="E60" s="13" t="str">
        <f>IF($A60&gt;$B$8,"",C60*INDEX(Decrements!$E$6:$E$58,$B$7+$A60-18))</f>
        <v/>
      </c>
      <c r="F60" s="13" t="str">
        <f>IF($A60&gt;$B$8,"",IF($A60=$B$8,C60*INDEX(Decrements!$F$6:$F$58,$B$7+$A60-18),0))</f>
        <v/>
      </c>
      <c r="G60" s="25" t="str">
        <f t="shared" si="1"/>
        <v/>
      </c>
      <c r="H60" s="7" t="str">
        <f>IF($A60&gt;$B$8,"",$B$9*(1+Assumptions!$B$9)^$A60)</f>
        <v/>
      </c>
      <c r="I60" s="5" t="str">
        <f t="shared" si="2"/>
        <v/>
      </c>
      <c r="J60" s="7" t="str">
        <f>IF($A60&gt;$B$8,"",MIN(15/26*H60*I60,Assumptions!$B$10))</f>
        <v/>
      </c>
      <c r="K60" s="13" t="str">
        <f>IF($A60&gt;$B$8,"",D60+F60+E60*IF(G60&gt;=Assumptions!$B$11,1,0))</f>
        <v/>
      </c>
      <c r="L60" s="7" t="str">
        <f t="shared" si="3"/>
        <v/>
      </c>
      <c r="M60" s="33" t="str">
        <f t="shared" si="4"/>
        <v/>
      </c>
      <c r="N60" s="13" t="str">
        <f>IF($A60&gt;$B$8,"",(1/(1+Assumptions!$B$8))^$A60)</f>
        <v/>
      </c>
      <c r="O60" s="7" t="str">
        <f t="shared" si="5"/>
        <v/>
      </c>
      <c r="P60" s="7" t="str">
        <f t="shared" si="6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5"/>
  <sheetViews>
    <sheetView zoomScaleNormal="100" workbookViewId="0"/>
  </sheetViews>
  <sheetFormatPr defaultColWidth="8.6640625" defaultRowHeight="14.4" x14ac:dyDescent="0.3"/>
  <cols>
    <col min="1" max="1" width="42" customWidth="1"/>
    <col min="2" max="2" width="18" customWidth="1"/>
  </cols>
  <sheetData>
    <row r="1" spans="1:2" ht="17.399999999999999" x14ac:dyDescent="0.3">
      <c r="A1" s="1" t="s">
        <v>248</v>
      </c>
    </row>
    <row r="2" spans="1:2" x14ac:dyDescent="0.3">
      <c r="A2" s="10" t="s">
        <v>249</v>
      </c>
    </row>
    <row r="4" spans="1:2" x14ac:dyDescent="0.3">
      <c r="A4" s="3" t="s">
        <v>250</v>
      </c>
      <c r="B4" s="3" t="s">
        <v>3</v>
      </c>
    </row>
    <row r="5" spans="1:2" x14ac:dyDescent="0.3">
      <c r="A5" s="4" t="s">
        <v>251</v>
      </c>
      <c r="B5" s="18">
        <v>40</v>
      </c>
    </row>
    <row r="6" spans="1:2" x14ac:dyDescent="0.3">
      <c r="A6" s="4" t="s">
        <v>252</v>
      </c>
      <c r="B6" s="18">
        <v>10</v>
      </c>
    </row>
    <row r="7" spans="1:2" x14ac:dyDescent="0.3">
      <c r="A7" s="4" t="s">
        <v>253</v>
      </c>
      <c r="B7" s="24">
        <v>60000</v>
      </c>
    </row>
    <row r="8" spans="1:2" x14ac:dyDescent="0.3">
      <c r="A8" s="4" t="s">
        <v>254</v>
      </c>
      <c r="B8" s="18">
        <v>60</v>
      </c>
    </row>
    <row r="9" spans="1:2" x14ac:dyDescent="0.3">
      <c r="A9" s="4" t="s">
        <v>255</v>
      </c>
      <c r="B9" s="22">
        <v>0.06</v>
      </c>
    </row>
    <row r="10" spans="1:2" x14ac:dyDescent="0.3">
      <c r="A10" s="4" t="s">
        <v>29</v>
      </c>
      <c r="B10" s="22">
        <v>7.0000000000000007E-2</v>
      </c>
    </row>
    <row r="11" spans="1:2" x14ac:dyDescent="0.3">
      <c r="A11" s="4" t="s">
        <v>256</v>
      </c>
      <c r="B11" s="24">
        <v>2000000</v>
      </c>
    </row>
    <row r="12" spans="1:2" x14ac:dyDescent="0.3">
      <c r="A12" s="4" t="s">
        <v>57</v>
      </c>
      <c r="B12" s="5">
        <f>B8-B5</f>
        <v>20</v>
      </c>
    </row>
    <row r="13" spans="1:2" x14ac:dyDescent="0.3">
      <c r="A13" s="4" t="s">
        <v>257</v>
      </c>
      <c r="B13" s="7">
        <f>B7*(1+B9)^B12</f>
        <v>192428.12833277087</v>
      </c>
    </row>
    <row r="14" spans="1:2" x14ac:dyDescent="0.3">
      <c r="A14" s="4" t="s">
        <v>258</v>
      </c>
      <c r="B14" s="5">
        <f>B6+B12</f>
        <v>30</v>
      </c>
    </row>
    <row r="15" spans="1:2" x14ac:dyDescent="0.3">
      <c r="A15" s="4" t="s">
        <v>259</v>
      </c>
      <c r="B15" s="7">
        <f>15/26*B13*B14</f>
        <v>3330486.8365287259</v>
      </c>
    </row>
    <row r="16" spans="1:2" x14ac:dyDescent="0.3">
      <c r="A16" s="4" t="s">
        <v>260</v>
      </c>
      <c r="B16" s="7">
        <f>MIN(B15,B11)</f>
        <v>2000000</v>
      </c>
    </row>
    <row r="17" spans="1:2" x14ac:dyDescent="0.3">
      <c r="A17" s="4" t="s">
        <v>18</v>
      </c>
      <c r="B17" s="13">
        <f>(1+B10)^-B12</f>
        <v>0.2584190028138687</v>
      </c>
    </row>
    <row r="18" spans="1:2" x14ac:dyDescent="0.3">
      <c r="A18" s="4" t="s">
        <v>61</v>
      </c>
      <c r="B18" s="7">
        <f>B16*B6/B14*B17</f>
        <v>172279.33520924579</v>
      </c>
    </row>
    <row r="19" spans="1:2" x14ac:dyDescent="0.3">
      <c r="A19" s="4" t="s">
        <v>62</v>
      </c>
      <c r="B19" s="7">
        <f>B16/B14*B17</f>
        <v>17227.93352092458</v>
      </c>
    </row>
    <row r="21" spans="1:2" x14ac:dyDescent="0.3">
      <c r="A21" s="4" t="s">
        <v>261</v>
      </c>
      <c r="B21" s="24">
        <v>172279</v>
      </c>
    </row>
    <row r="22" spans="1:2" x14ac:dyDescent="0.3">
      <c r="A22" s="4" t="s">
        <v>262</v>
      </c>
      <c r="B22" s="24">
        <v>17228</v>
      </c>
    </row>
    <row r="23" spans="1:2" x14ac:dyDescent="0.3">
      <c r="A23" s="4" t="s">
        <v>263</v>
      </c>
      <c r="B23" s="32" t="str">
        <f>IF(AND(ABS(B18-B21)&lt;5,ABS(B19-B22)&lt;2),"PASS","CHECK")</f>
        <v>PASS</v>
      </c>
    </row>
    <row r="25" spans="1:2" x14ac:dyDescent="0.3">
      <c r="A25" s="10" t="s">
        <v>264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zoomScaleNormal="100" workbookViewId="0"/>
  </sheetViews>
  <sheetFormatPr defaultColWidth="8.6640625" defaultRowHeight="14.4" x14ac:dyDescent="0.3"/>
  <cols>
    <col min="1" max="1" width="46" customWidth="1"/>
    <col min="2" max="6" width="18" customWidth="1"/>
  </cols>
  <sheetData>
    <row r="1" spans="1:6" ht="17.399999999999999" x14ac:dyDescent="0.3">
      <c r="A1" s="1" t="s">
        <v>265</v>
      </c>
    </row>
    <row r="2" spans="1:6" x14ac:dyDescent="0.3">
      <c r="A2" s="10" t="s">
        <v>266</v>
      </c>
    </row>
    <row r="4" spans="1:6" x14ac:dyDescent="0.3">
      <c r="A4" s="3" t="s">
        <v>2</v>
      </c>
      <c r="B4" s="3" t="s">
        <v>267</v>
      </c>
      <c r="C4" s="3" t="s">
        <v>268</v>
      </c>
      <c r="D4" s="3" t="s">
        <v>269</v>
      </c>
      <c r="E4" s="3" t="s">
        <v>270</v>
      </c>
      <c r="F4" s="3" t="s">
        <v>271</v>
      </c>
    </row>
    <row r="5" spans="1:6" x14ac:dyDescent="0.3">
      <c r="A5" s="4" t="s">
        <v>61</v>
      </c>
      <c r="B5" s="7">
        <f>Summary!B7</f>
        <v>46785527.70573131</v>
      </c>
      <c r="C5" s="24">
        <v>46785527.705731302</v>
      </c>
      <c r="D5" s="34">
        <f t="shared" ref="D5:D10" si="0">B5-C5</f>
        <v>0</v>
      </c>
      <c r="E5" s="23">
        <v>1</v>
      </c>
      <c r="F5" s="4" t="str">
        <f t="shared" ref="F5:F10" si="1">IF(ABS(D5)&lt;=E5,"PASS","CHECK")</f>
        <v>PASS</v>
      </c>
    </row>
    <row r="6" spans="1:6" x14ac:dyDescent="0.3">
      <c r="A6" s="4" t="s">
        <v>62</v>
      </c>
      <c r="B6" s="7">
        <f>Summary!B8</f>
        <v>3723248.3790012724</v>
      </c>
      <c r="C6" s="24">
        <v>3723248.37900127</v>
      </c>
      <c r="D6" s="34">
        <f t="shared" si="0"/>
        <v>0</v>
      </c>
      <c r="E6" s="23">
        <v>1</v>
      </c>
      <c r="F6" s="4" t="str">
        <f t="shared" si="1"/>
        <v>PASS</v>
      </c>
    </row>
    <row r="7" spans="1:6" x14ac:dyDescent="0.3">
      <c r="A7" s="4" t="s">
        <v>272</v>
      </c>
      <c r="B7" s="7">
        <f>Summary!B10</f>
        <v>3990406.005181496</v>
      </c>
      <c r="C7" s="24">
        <v>3990406.0051815002</v>
      </c>
      <c r="D7" s="34">
        <f t="shared" si="0"/>
        <v>-4.1909515857696533E-9</v>
      </c>
      <c r="E7" s="23">
        <v>1</v>
      </c>
      <c r="F7" s="4" t="str">
        <f t="shared" si="1"/>
        <v>PASS</v>
      </c>
    </row>
    <row r="8" spans="1:6" x14ac:dyDescent="0.3">
      <c r="A8" s="4" t="s">
        <v>273</v>
      </c>
      <c r="B8" s="33">
        <f>Summary!B11</f>
        <v>8.6756229834513903</v>
      </c>
      <c r="C8" s="35">
        <v>8.6756229834513903</v>
      </c>
      <c r="D8" s="34">
        <f t="shared" si="0"/>
        <v>0</v>
      </c>
      <c r="E8" s="23">
        <v>1E-3</v>
      </c>
      <c r="F8" s="4" t="str">
        <f t="shared" si="1"/>
        <v>PASS</v>
      </c>
    </row>
    <row r="9" spans="1:6" x14ac:dyDescent="0.3">
      <c r="A9" s="4" t="s">
        <v>274</v>
      </c>
      <c r="B9" s="7">
        <f>Summary!B12</f>
        <v>78425826.923076898</v>
      </c>
      <c r="C9" s="24">
        <v>78425826.923076898</v>
      </c>
      <c r="D9" s="34">
        <f t="shared" si="0"/>
        <v>0</v>
      </c>
      <c r="E9" s="23">
        <v>1</v>
      </c>
      <c r="F9" s="4" t="str">
        <f t="shared" si="1"/>
        <v>PASS</v>
      </c>
    </row>
    <row r="10" spans="1:6" x14ac:dyDescent="0.3">
      <c r="A10" s="4" t="s">
        <v>275</v>
      </c>
      <c r="B10" s="36">
        <f>Summary!B14</f>
        <v>0.22813264773885608</v>
      </c>
      <c r="C10" s="37">
        <v>0.228132647738856</v>
      </c>
      <c r="D10" s="34">
        <f t="shared" si="0"/>
        <v>0</v>
      </c>
      <c r="E10" s="23">
        <v>1E-4</v>
      </c>
      <c r="F10" s="4" t="str">
        <f t="shared" si="1"/>
        <v>PASS</v>
      </c>
    </row>
    <row r="11" spans="1:6" x14ac:dyDescent="0.3">
      <c r="A11" s="4" t="s">
        <v>276</v>
      </c>
      <c r="B11" s="13">
        <f>MAX(MAX(Census!$O$6:$O$155),-MIN(Census!$O$6:$O$155))</f>
        <v>4.9779191613197327E-7</v>
      </c>
      <c r="C11" s="4"/>
      <c r="D11" s="4"/>
      <c r="E11" s="23">
        <v>0.01</v>
      </c>
      <c r="F11" s="4" t="str">
        <f>IF(B11&lt;=E11,"PASS","CHECK")</f>
        <v>PASS</v>
      </c>
    </row>
    <row r="12" spans="1:6" x14ac:dyDescent="0.3">
      <c r="A12" s="4" t="s">
        <v>277</v>
      </c>
      <c r="B12" s="4"/>
      <c r="C12" s="4"/>
      <c r="D12" s="4"/>
      <c r="E12" s="4"/>
      <c r="F12" s="4" t="str">
        <f>Hand_Check!B23</f>
        <v>PASS</v>
      </c>
    </row>
    <row r="14" spans="1:6" x14ac:dyDescent="0.3">
      <c r="A14" s="12" t="s">
        <v>278</v>
      </c>
      <c r="F14" s="12" t="str">
        <f>IF(COUNTIF(F5:F12,"PASS")=8,"ALL PASS","CHECK")</f>
        <v>ALL PASS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Assumptions</vt:lpstr>
      <vt:lpstr>Census</vt:lpstr>
      <vt:lpstr>Decrements</vt:lpstr>
      <vt:lpstr>Benefit_Grid</vt:lpstr>
      <vt:lpstr>Employee_Workings</vt:lpstr>
      <vt:lpstr>Hand_Check</vt:lpstr>
      <vt:lpstr>Check_vs_Python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Paras Gulati</cp:lastModifiedBy>
  <cp:revision>1</cp:revision>
  <dcterms:created xsi:type="dcterms:W3CDTF">2026-10-17T09:14:29Z</dcterms:created>
  <dcterms:modified xsi:type="dcterms:W3CDTF">2026-10-19T19:09:55Z</dcterms:modified>
  <dc:language>en-US</dc:language>
</cp:coreProperties>
</file>